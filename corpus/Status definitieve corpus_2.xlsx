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erikakuijpers/[Chronicles] team proceedings/Metadata kronieken/"/>
    </mc:Choice>
  </mc:AlternateContent>
  <xr:revisionPtr revIDLastSave="0" documentId="13_ncr:1_{B95336F0-30F0-B246-A981-B63E67DC5AF0}" xr6:coauthVersionLast="47" xr6:coauthVersionMax="47" xr10:uidLastSave="{00000000-0000-0000-0000-000000000000}"/>
  <bookViews>
    <workbookView xWindow="0" yWindow="760" windowWidth="34560" windowHeight="21580" tabRatio="500" activeTab="3" xr2:uid="{00000000-000D-0000-FFFF-FFFF00000000}"/>
  </bookViews>
  <sheets>
    <sheet name="Batch 1" sheetId="1" state="hidden" r:id="rId1"/>
    <sheet name="Batch 2" sheetId="2" state="hidden" r:id="rId2"/>
    <sheet name="Sheet2" sheetId="3" state="hidden" r:id="rId3"/>
    <sheet name="Alle kronieken" sheetId="4" r:id="rId4"/>
    <sheet name="Overzicht werkzaamheden batch 1" sheetId="5" r:id="rId5"/>
    <sheet name="Overzicht werkzaamheden batch 2" sheetId="6" r:id="rId6"/>
    <sheet name="Batch 3" sheetId="7" r:id="rId7"/>
    <sheet name="Batch 4" sheetId="8" r:id="rId8"/>
    <sheet name="Kronieken waar iets mee is" sheetId="9" r:id="rId9"/>
    <sheet name="TL Project 1" sheetId="10" r:id="rId10"/>
    <sheet name="TL Project 2" sheetId="11" r:id="rId11"/>
  </sheets>
  <definedNames>
    <definedName name="_xlnm._FilterDatabase" localSheetId="7">'Batch 4'!$A$1:$AG$75</definedName>
    <definedName name="Batch_3_najaar_2019" localSheetId="6">'Batch 3'!$B$1:$BS$26</definedName>
    <definedName name="Batch_4_Januari_2020" localSheetId="7">'Batch 4'!$A$1:$AE$69</definedName>
    <definedName name="Billet_batch_4" localSheetId="7">'Batch 4'!$A$70:$AE$73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15" i="4" l="1"/>
  <c r="F75" i="8"/>
  <c r="F28" i="7"/>
  <c r="E50" i="6"/>
  <c r="E35" i="5"/>
  <c r="H324" i="4"/>
  <c r="K321" i="4"/>
  <c r="J321" i="4"/>
  <c r="I321" i="4"/>
  <c r="H321" i="4"/>
  <c r="H320" i="4"/>
  <c r="G320" i="4"/>
  <c r="H319" i="4"/>
  <c r="G319" i="4"/>
  <c r="E57" i="2"/>
  <c r="F34" i="1"/>
  <c r="G321" i="4" l="1"/>
  <c r="H322" i="4"/>
</calcChain>
</file>

<file path=xl/sharedStrings.xml><?xml version="1.0" encoding="utf-8"?>
<sst xmlns="http://schemas.openxmlformats.org/spreadsheetml/2006/main" count="6133" uniqueCount="1331">
  <si>
    <t>Call Number</t>
  </si>
  <si>
    <t>Author</t>
  </si>
  <si>
    <t>Title</t>
  </si>
  <si>
    <t>Datering manuscript</t>
  </si>
  <si>
    <t>Moeilijkheidsgraad</t>
  </si>
  <si>
    <t>Aant scans</t>
  </si>
  <si>
    <t>Num Pages</t>
  </si>
  <si>
    <t>Plaats</t>
  </si>
  <si>
    <t>Archive</t>
  </si>
  <si>
    <t>Beschreven periode</t>
  </si>
  <si>
    <t>Commentaar</t>
  </si>
  <si>
    <t>1575_Hoor_Matt</t>
  </si>
  <si>
    <t>Matthijsz., Jacob</t>
  </si>
  <si>
    <t>'Origo civitatis Hornensis' over de jaren 1316-1536; 'Een cort verhael van 't geene in Hollant ende den omleggende plaetsen geschyet is over 1572-1575', overgeschreven van Jacob Matthijsz. Rol, oud-burgemeester van Purmerend; 'Brevissima Chronologia et Topographia Ecclesiarum et Conventuum civitatis Hoemensis' over de jaren 1330-1526, anoniem, eind 16e eeuw</t>
  </si>
  <si>
    <t>Hoorn</t>
  </si>
  <si>
    <t>Noord Hollands Archief Haarlem</t>
  </si>
  <si>
    <t>1316-1536, 1572-1575</t>
  </si>
  <si>
    <t>1582_Stee_Steg</t>
  </si>
  <si>
    <t>Stege, Zijger ter</t>
  </si>
  <si>
    <t>Aentekening van verscheyden saken, welke in en omtrent Steenwijk sijn voorgevallen op het papier eertijds gestelt door Mr. Zijger ter Stege in sijn leven Secretaris deser Stadt Steenwijck</t>
  </si>
  <si>
    <t>afschrift 18e eeuw</t>
  </si>
  <si>
    <t>Steenwijk</t>
  </si>
  <si>
    <t>Historisch Centrum Overijssel</t>
  </si>
  <si>
    <t>1216-1582</t>
  </si>
  <si>
    <t>1604_Bosc_anon</t>
  </si>
  <si>
    <t>Anoniem</t>
  </si>
  <si>
    <t>Narratio rerum Silvaducessium</t>
  </si>
  <si>
    <t>Den Bosch</t>
  </si>
  <si>
    <t>Stadsarchief Den Bosch</t>
  </si>
  <si>
    <t>ME - 1604</t>
  </si>
  <si>
    <t>1648_Rott_Waer</t>
  </si>
  <si>
    <t>Waerschut, J.G. Van; Anonymus</t>
  </si>
  <si>
    <t>Kroniek van Rotterdam</t>
  </si>
  <si>
    <t>Rotterdam</t>
  </si>
  <si>
    <t>Stadsarchief Rotterdam</t>
  </si>
  <si>
    <t>1426-1648</t>
  </si>
  <si>
    <t>1652_Rijp_Dirc</t>
  </si>
  <si>
    <t>Dircksen, Meijnert</t>
  </si>
  <si>
    <t>Dagboekjes van dagelijkse voorvallen en ambtelijke zaken, door Meijnert Dircksen, schepen en gaarder in De Rijp, 1636-1641, 1651-1652</t>
  </si>
  <si>
    <t>De Rijp</t>
  </si>
  <si>
    <t>1636-1641 en 1651-1652</t>
  </si>
  <si>
    <t>1658_Rott_Waer</t>
  </si>
  <si>
    <t>1424-1658</t>
  </si>
  <si>
    <t>1663_Rott_Waer</t>
  </si>
  <si>
    <t>Waarschut, Jan Gerritsz.; Picolet, P.T.</t>
  </si>
  <si>
    <t>Kronijk, inhoudende den opgang en voortgang van de scheepryke wijdvermaarde Koopstad Rotterdam, beschreven door Jan Gerritsz. van Waarschut, bakker overleden int jaar 1623. Met een vervolgh tot het jaar 1663". Afschrift eerste kwart 18e eeuw</t>
  </si>
  <si>
    <t>1424-1663</t>
  </si>
  <si>
    <t>1671_Rott_Lois</t>
  </si>
  <si>
    <t>Lois, Jacob</t>
  </si>
  <si>
    <t>Beschrijving: “Cronycke ofte een corte waare oude beschrivinge der stadt Rotterdam, beschreven door Jacob Lois, schepen derselve stad beginnende van den jare 1270 tot den jare 1664 en voorts vervolgt anno 1671, vergaderd uit veel oude memorien, contracten, hantvesten, prevelegien ende geschreve notitien, ende by hem veel genooteert etc. ende int kordt byeengevoucht"</t>
  </si>
  <si>
    <t>334+ 61</t>
  </si>
  <si>
    <t>1270-1671</t>
  </si>
  <si>
    <t>1681_Zwol_Catt</t>
  </si>
  <si>
    <t>Cattenbelt, L.F.</t>
  </si>
  <si>
    <t>"Eenige gedenckwaerdige geschiedenissen raeckende meest het Landt van Overijssel ende deszelfs Steden?", kroniek van Overijssel en in het bijzonder Zwolle, geschreven door L.F. Cattenbelt, 1678 - 1681.</t>
  </si>
  <si>
    <t>ca. 103</t>
  </si>
  <si>
    <t>Zwolle</t>
  </si>
  <si>
    <t>1678-1681</t>
  </si>
  <si>
    <t>1690_Rott_anon</t>
  </si>
  <si>
    <t>Beschryvinge der stad Rotterdam mitsgaders geschiedenissen zoo binnen de stad als elders voorgevallen, van den jare 1426 tot den jare 1690". Afschrift uit het einde der 17e eeuw</t>
  </si>
  <si>
    <t>1426-1690</t>
  </si>
  <si>
    <t>1713_Hout_Dres</t>
  </si>
  <si>
    <t>Dresens, Joannes</t>
  </si>
  <si>
    <t>Kroniek Joannes Dresens, schepen van Houthem 1673-1713</t>
  </si>
  <si>
    <t>Houthem</t>
  </si>
  <si>
    <t>RHCL</t>
  </si>
  <si>
    <t>1673 tot 1713.</t>
  </si>
  <si>
    <t>1716_Jisp_anon</t>
  </si>
  <si>
    <t>Aantekenboek betreffende Jisp, met beschrijving,1647-1716</t>
  </si>
  <si>
    <t>Jisp</t>
  </si>
  <si>
    <t>Waterlands Archief</t>
  </si>
  <si>
    <t>1647-1716</t>
  </si>
  <si>
    <t>Ook hier foto's weer gedraaid bij mij</t>
  </si>
  <si>
    <t>1747_Amst_Boer</t>
  </si>
  <si>
    <t>Boer, Jan de</t>
  </si>
  <si>
    <t>Chronologische Historie van het geen is Voorgevallen, by de komste van Willem Karel Hendrik Friso. Prince van Oranie &amp;ct… Door den Schrijver dezes. Jan de Boer, 1747 en vervolg</t>
  </si>
  <si>
    <t>Amsterdam</t>
  </si>
  <si>
    <t>KB Den Haag</t>
  </si>
  <si>
    <t>1747-1748</t>
  </si>
  <si>
    <t>1749_Maas_anon</t>
  </si>
  <si>
    <t>Chronyk van Maestrigt, 1750-1800</t>
  </si>
  <si>
    <t>Maastricht</t>
  </si>
  <si>
    <t>1e deel: 1-1700; 2e deel: 1700-1725; 3e deel: 1726-1749</t>
  </si>
  <si>
    <t>1749_Rott_Sche</t>
  </si>
  <si>
    <t>Schelling, P. van der</t>
  </si>
  <si>
    <t>Aanteekeningen van het voorgevallene te Rotterdam, tijdens de verkiezingen van Z.D.H, tot Stadhouder en de voorgestelde afschaffing der pachten, 1747-1749, door P. van der Schelling</t>
  </si>
  <si>
    <t>1753_Vliss_anon</t>
  </si>
  <si>
    <t>anoniem</t>
  </si>
  <si>
    <t>Beschrivinge van Vlissinge - uijt verscheide Schrivers bij een - vergaderd</t>
  </si>
  <si>
    <t>Vlissingen</t>
  </si>
  <si>
    <t>Privébezit</t>
  </si>
  <si>
    <t>620-1753</t>
  </si>
  <si>
    <t>1755_Leuv_anon</t>
  </si>
  <si>
    <t>Historien oft kort verhael van eenige gedenckweirdige gebeurtenissen van 't beginsel des weirelts</t>
  </si>
  <si>
    <t>Leuven</t>
  </si>
  <si>
    <t>Stadsarchief Leuven</t>
  </si>
  <si>
    <t>door de ingeplakte strookjes even lastig met definieren van tekstregio's, wel de moeite waard.</t>
  </si>
  <si>
    <t>1758_Maas_anon</t>
  </si>
  <si>
    <t>Kroniek van Maastricht 1236-1758</t>
  </si>
  <si>
    <t>1236-1758</t>
  </si>
  <si>
    <t>1762_Maas_anon</t>
  </si>
  <si>
    <t>Chronijk (van Maastricht).</t>
  </si>
  <si>
    <t>3926 na de schepping tot en met 1762</t>
  </si>
  <si>
    <t>1772_Amst_Bikk</t>
  </si>
  <si>
    <t>Bikker Raye, Jakob</t>
  </si>
  <si>
    <t>Notietie van het merkwaardigste meijn bekent dat in het jaar 1732 binnen Amsterdam is voorgevallen. 1733, 1734, 1735, 1736, 1737, 1738, 1739.</t>
  </si>
  <si>
    <t>2 dln.; 20,2 x 31,5; 100 en 413 p.</t>
  </si>
  <si>
    <t>Stadsarchief Amsterdam</t>
  </si>
  <si>
    <t>7 januari 1732 - 1 december 1772</t>
  </si>
  <si>
    <t>1789_Doet_Duys</t>
  </si>
  <si>
    <t>van Duysborg, M.</t>
  </si>
  <si>
    <t>Kroniek van M. van Duysborg, koster te Doetinchem, 1527-1789. 1 deel</t>
  </si>
  <si>
    <t>1 deel</t>
  </si>
  <si>
    <t>Doetinchem</t>
  </si>
  <si>
    <t>Gelders Archief</t>
  </si>
  <si>
    <t>1791_Purm_Louw</t>
  </si>
  <si>
    <t>Louwen, Albert Pietersz.</t>
  </si>
  <si>
    <t>Kronijk der stad Purmerende bevattende der selver opkomste en voortgang, in handschrift door Albert Pietersz. Louwen, 18e eeuw</t>
  </si>
  <si>
    <t>Purmerend</t>
  </si>
  <si>
    <t>1793_Bred_anon</t>
  </si>
  <si>
    <t>dagverhaal van het voorgevallene tijdens de Franse belegering en bezetting van Breda in 1793</t>
  </si>
  <si>
    <t>Breda</t>
  </si>
  <si>
    <t>Stadsarchief Breda</t>
  </si>
  <si>
    <t>1794_Hoor_Veli</t>
  </si>
  <si>
    <t>S., H.; Abbing, D.C.A.</t>
  </si>
  <si>
    <t>Vervolg op de kroniek van Hoorn van D. Velius, eerste deel tot 1794</t>
  </si>
  <si>
    <t>1630-1794</t>
  </si>
  <si>
    <t>1795_Deve_Jord</t>
  </si>
  <si>
    <t>Jordens, Coenraad Alexander</t>
  </si>
  <si>
    <t>Relaes van het gepasseerde te Deventer eenigen tijd voor en na de omwenteling van 1795, met het gebeurde ten mijnen huize.</t>
  </si>
  <si>
    <t>Deventer</t>
  </si>
  <si>
    <t>Athenaeum Bibliotheek Deventer</t>
  </si>
  <si>
    <t>deze wel, metadata aanvullen</t>
  </si>
  <si>
    <t>1795_Maas_anon</t>
  </si>
  <si>
    <t>Manuscripta wegens de stad Maestricht de anno 998 usque anno 1742.</t>
  </si>
  <si>
    <t>1800_Roer_Dael</t>
  </si>
  <si>
    <t>Daell, van; Matthei</t>
  </si>
  <si>
    <t>"Historisch dagboek" van de pastoors Van Daell en Matthei van 1750 tot 1800</t>
  </si>
  <si>
    <t>ca. 400</t>
  </si>
  <si>
    <t>Roermond</t>
  </si>
  <si>
    <t>1750-1800</t>
  </si>
  <si>
    <t>Hier zit een defecte pagina in, moeten we vervangen</t>
  </si>
  <si>
    <t>1805_Haar_Vinn</t>
  </si>
  <si>
    <t>Vinne, Vincent Janszoon van der; Vinne, Vincent Laurensz van der</t>
  </si>
  <si>
    <t>Aantekeningen van aanmerkelijke gebeurtenissen te Haarlem waarbij gevoegt zijn, eenige door V.L. van der Vinne nagelaate</t>
  </si>
  <si>
    <t>Haarlem</t>
  </si>
  <si>
    <t>(1673-) 1753 - 1805</t>
  </si>
  <si>
    <t>1813_Zaan_Dekk</t>
  </si>
  <si>
    <t>Dekker, Cornelis Kartensz.</t>
  </si>
  <si>
    <t>Aantekeningen in chronologische volgorde, bijgehouden tot 1813; geslachtsregister van de nakomelingen van Karte Cornelisz. Dekker (1813)</t>
  </si>
  <si>
    <t>Zaandam</t>
  </si>
  <si>
    <t>GA Zaanstad</t>
  </si>
  <si>
    <t>(Oudheid -) 1766 - 11 december 1813</t>
  </si>
  <si>
    <t>1814_Worm_Ding</t>
  </si>
  <si>
    <t>Dingenom, Pieter Cornelis</t>
  </si>
  <si>
    <t>Aantekeningen over het beroepen van predikanten en schoolmeesters te Wormerveer: over den winter van 1740; het bezoek van keizer Alexander van Rusland te Zaandam, enz.</t>
  </si>
  <si>
    <t>Wormerveer</t>
  </si>
  <si>
    <t>1740 - 1814</t>
  </si>
  <si>
    <t>1818_Broe_Bakk</t>
  </si>
  <si>
    <t>Bakker, Symon</t>
  </si>
  <si>
    <t>Kroniek van Broek in Waterland over de jaren 1282-1818, samengesteld door Symon Bakker, 19e eeuw</t>
  </si>
  <si>
    <t>Broek in Waterland</t>
  </si>
  <si>
    <t>1282-1818</t>
  </si>
  <si>
    <t>1841_Zier_Bloo</t>
  </si>
  <si>
    <t xml:space="preserve">Bloois, A. Moens van </t>
  </si>
  <si>
    <t>Aantekeningen betreffende de geschiedenis van Zierikzee, met een kroniek van gebeurtenissen over 1830-1841 (door mr. A. Moens van Bloois), met index op de trefwoorden.</t>
  </si>
  <si>
    <t>Zierikzee</t>
  </si>
  <si>
    <t>Gemeentearchief Schouwen-Duiveland</t>
  </si>
  <si>
    <t>1830-1841</t>
  </si>
  <si>
    <t>Dit is dezelfde auteur</t>
  </si>
  <si>
    <t>Aantal scans</t>
  </si>
  <si>
    <t>Archive Location</t>
  </si>
  <si>
    <t>1496_Kamp_Boec</t>
  </si>
  <si>
    <t>Boecop, Arent toe</t>
  </si>
  <si>
    <t>De kroniek van Arent toe Boecop, 1496.</t>
  </si>
  <si>
    <t>Kampen</t>
  </si>
  <si>
    <t>Stadsarchief Kampen</t>
  </si>
  <si>
    <t>324 Collectie Handschriften inv.nr.87</t>
  </si>
  <si>
    <t>1623_Deve_Haex</t>
  </si>
  <si>
    <t>Haexbergen, Hendrik</t>
  </si>
  <si>
    <t>Memoriaal van de stadssecretaris Hendrik van Haexbergen, 1619-1623</t>
  </si>
  <si>
    <t>Stadsarchief Deventer</t>
  </si>
  <si>
    <t>0691   Schepenen en Raad van de stad Deventer, periode Republiek (22600: 94-2)</t>
  </si>
  <si>
    <t>1643_Antw_anon</t>
  </si>
  <si>
    <t>Oudheden 1510-1643</t>
  </si>
  <si>
    <t>Antwerpen</t>
  </si>
  <si>
    <t>Stadsarchief Antwerpen</t>
  </si>
  <si>
    <t>Pk. 113</t>
  </si>
  <si>
    <t>1657_Mech_Beth</t>
  </si>
  <si>
    <t>Chronyke van Bethanien</t>
  </si>
  <si>
    <t>Mechelen</t>
  </si>
  <si>
    <t>Stadsarchie Mechelen</t>
  </si>
  <si>
    <t>EE Kronieken en Jaarboeken XXVI 1 (Safe II rek 2)</t>
  </si>
  <si>
    <t>1665_Mech_Vrin</t>
  </si>
  <si>
    <t>Vrindts, Dominicus</t>
  </si>
  <si>
    <t>Historie van Mechelen</t>
  </si>
  <si>
    <t>Stadsarchief Mechelen</t>
  </si>
  <si>
    <t>EE Kronieken en Jaarboeken VIII 1</t>
  </si>
  <si>
    <t>1666_Gent_Bill_5</t>
  </si>
  <si>
    <t>Billet, Justus</t>
  </si>
  <si>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5</t>
  </si>
  <si>
    <t>Gent</t>
  </si>
  <si>
    <t>Stadsarchief Gent</t>
  </si>
  <si>
    <t>Bibliotheek 1LF2 en lGDl, 529 (C. Handschriften)</t>
  </si>
  <si>
    <t>1668_Gent_Bill_02</t>
  </si>
  <si>
    <t>Den polytye boeck, ... beginnende den  22sten augusto in tjaer ons heeren 1658 (1658-1668) deel 2</t>
  </si>
  <si>
    <t>1668_Gent_Bill_04</t>
  </si>
  <si>
    <t>Den polytye boeck, ... beginnende den  22sten augusto in tjaer ons heeren 1658 (1658-1668) deel 4</t>
  </si>
  <si>
    <t>1668_Gent_Bill_05</t>
  </si>
  <si>
    <t>Den polytye boeck, ... beginnende den  22sten augusto in tjaer ons heeren 1658 (1658-1668) deel 5</t>
  </si>
  <si>
    <t>1668_Gent_Bill_07</t>
  </si>
  <si>
    <t>Den polytye boeck, ... beginnende den  22sten augusto in tjaer ons heeren 1658 (1658-1668) deel 7</t>
  </si>
  <si>
    <t>1668_Gent_Bill_08</t>
  </si>
  <si>
    <t>Den polytye boeck, ... beginnende den  22sten augusto in tjaer ons heeren 1658 (1658-1668) deel 8</t>
  </si>
  <si>
    <t>1668_Gent_Bill_10</t>
  </si>
  <si>
    <t>Den polytye boeck, ... beginnende den  22sten augusto in tjaer ons heeren 1658 (1658-1668) deel 10</t>
  </si>
  <si>
    <t>1668_Gent_Bill_11</t>
  </si>
  <si>
    <t>Den polytye boeck, ... beginnende den  22sten augusto in tjaer ons heeren 1658 (1658-1668) deel 11</t>
  </si>
  <si>
    <t>1668_Gent_Bill_12</t>
  </si>
  <si>
    <t>Den polytye boeck, ... beginnende den  22sten augusto in tjaer ons heeren 1658 (1658-1668) deel 12</t>
  </si>
  <si>
    <t>1675_Brug_Cler</t>
  </si>
  <si>
    <t>De Clercq, J. Adolphus</t>
  </si>
  <si>
    <t>Chronijcke ofte Cort Verhael van de principaelste GHeschiedenissen die 't sedert Christus geboorte voorghevallen zijn, tot desen teghenwoordighen iaere toe. A Jove principium</t>
  </si>
  <si>
    <t>Brugge</t>
  </si>
  <si>
    <t>Stadsarchief Brugge</t>
  </si>
  <si>
    <t>Arch. Gilliodts, oork. nr. 80 (hs. 227)</t>
  </si>
  <si>
    <t>1713_Kort_Mael</t>
  </si>
  <si>
    <t>Maele, van de, Philippus</t>
  </si>
  <si>
    <t>Chronycke van Cortryck, 1682-1713</t>
  </si>
  <si>
    <t>Kortrijk</t>
  </si>
  <si>
    <t>Rijksarchief te Kortrijk</t>
  </si>
  <si>
    <t>Fonds Goethals-Vercruysse, ms. 212</t>
  </si>
  <si>
    <t>1719_Maas_anon</t>
  </si>
  <si>
    <t>Chronijk van Maestricht tot 1719</t>
  </si>
  <si>
    <t>18.A   Handschriftencollectie (voormalig) Rijksarchief Limburg, 13e-20e eeuw, inv. nr. 404</t>
  </si>
  <si>
    <t>1721_Antw_anon</t>
  </si>
  <si>
    <t>Antwerpsche Kronijk, 1685-1721</t>
  </si>
  <si>
    <t>Pk. 119</t>
  </si>
  <si>
    <t>1725_Antw_anon</t>
  </si>
  <si>
    <t>Anonie,</t>
  </si>
  <si>
    <t>Kronijk van het jaar 1725</t>
  </si>
  <si>
    <t>PK 124</t>
  </si>
  <si>
    <t>1735_Dokk_Hesm</t>
  </si>
  <si>
    <t>Hesman, Gerrit</t>
  </si>
  <si>
    <t>Omstandig verhaal van hetgeen sedert den jare 10... tot den jare 1710 incluis tot Doccum is voorgevallen, uit vele schrijvers bijeenvergaderd : later door een ander vervolgd tot 1735 : verkort afschrift / Gerrit Hesman met een naberigt door W. Eekhoff</t>
  </si>
  <si>
    <t>Dokkum</t>
  </si>
  <si>
    <t>Tresoar Leeuwarden</t>
  </si>
  <si>
    <t>Hs 1429</t>
  </si>
  <si>
    <t>1745_Kort_Putt</t>
  </si>
  <si>
    <t>Putte, Van De</t>
  </si>
  <si>
    <t>Chronycke van Cortryck</t>
  </si>
  <si>
    <t>Fonds Goethals-Vercruysse, ms. 215</t>
  </si>
  <si>
    <t>1751_Kort_Roye</t>
  </si>
  <si>
    <t>De La Royère, Jean</t>
  </si>
  <si>
    <t>Corte anotatien ende beschryvinghe van de stadt Cortryck", kroniek van de stad Kortrijk tot 1751. [18de eeuw]</t>
  </si>
  <si>
    <t>Verzameling 'Stadsfonds'. Handschriften 935 - 2</t>
  </si>
  <si>
    <t>1752_Zaan_Veen</t>
  </si>
  <si>
    <t>Veen, Cornelis</t>
  </si>
  <si>
    <t>Oostzaandammer kronijk behelzende alle het voornaamste en gedenkwaardigste voorgevallen aen de Zaan-Stroom, zedert den jaare 1740 tot 1794 incluys, beknoptelijk bij een gestelt, voor de liefhebbers der novelles</t>
  </si>
  <si>
    <t>UB Leiden</t>
  </si>
  <si>
    <t>Ltk 2183</t>
  </si>
  <si>
    <t>1753_Antw_anon</t>
  </si>
  <si>
    <t>Kronijk van Antwerpen, 1740-1753. Beschrijvinge van de voornaemste voorvallen t'sedert den jaere 1740</t>
  </si>
  <si>
    <t>Pk. 134</t>
  </si>
  <si>
    <t>1755_Hoor_Spru_02</t>
  </si>
  <si>
    <t>Spruijt, Jurriaan</t>
  </si>
  <si>
    <t>Het tweede deel off vervolg van de historie der stad Hoorn</t>
  </si>
  <si>
    <t>West-Fries Archief</t>
  </si>
  <si>
    <t>Hervormde Gemeente Hoorn, toegang 0656, invnr 590</t>
  </si>
  <si>
    <t>1766_Mech_Beth</t>
  </si>
  <si>
    <t>Een cort begrijp van de fondatie ende oprichtinghe des Cloosters van Onse Lieve Vrouwe in Bethania, hoe dat eertijts is opgeboudt geweest, buyten de stadtvesten van Mechelen, tusschen Deghem poort ende dWinket; met noch lofweerdighen ghedenckenisse van allen Beneficien, gratien ende donatien van Godtvruchtighe persoonen t'selve Godtshuys uut besondere affectie ende liefde bewesen, ende daerbij oock waerachtighe verhalinghe van alle Prioors, Comissarissen, Rectoors, Priorinnen, Capellanen oft Socios, van alle Religieusen Nonnekens, ende Wercksusterkens met naem ende toenamen. Ende al wat daer tusschen bijden is gepasseert binnen den selven Convente soo van Ordonnatien, Statuten, Concessien, Previlegien, Visitatien, ende andere Veranderinghen, neerstelijck bij een vergadert doer de Religieusen van tselve Clooster, etc.</t>
  </si>
  <si>
    <t>EE Kronieken en Jaarboeken XXIX 1 (Safe II)</t>
  </si>
  <si>
    <t>1776_Mech_Nieu_01</t>
  </si>
  <si>
    <t>Nieuwenhuysen, van den, Hendrik Dominik</t>
  </si>
  <si>
    <t>Deel 1  kroniek van Mechelen door  kapelaan Hendrik Dominik Van den Nieuwenhuysen</t>
  </si>
  <si>
    <t>Varia 832/1</t>
  </si>
  <si>
    <t>1776_Mech_Nieu_02</t>
  </si>
  <si>
    <t>Deel 2  kroniek van Mechelen door  kapelaan Hendrik Dominik Van den Nieuwenhuysen</t>
  </si>
  <si>
    <t>1776_Mech_Nieu_03</t>
  </si>
  <si>
    <t>Deel 3  kroniek van Mechelen door  kapelaan Hendrik Dominik Van den Nieuwenhuysen</t>
  </si>
  <si>
    <t>1776_Mech_Nieu_04</t>
  </si>
  <si>
    <t>Deel 4  kroniek van Mechelen door  kapelaan Hendrik Dominik Van den Nieuwenhuysen</t>
  </si>
  <si>
    <t>1776_Mech_Nieu_05</t>
  </si>
  <si>
    <t>Deel 5  kroniek van Mechelen door  kapelaan Hendrik Dominik Van den Nieuwenhuysen</t>
  </si>
  <si>
    <t>1779_Spaa_Beer</t>
  </si>
  <si>
    <t>Beer, J.G. de</t>
  </si>
  <si>
    <t>Kronyk van Spaarndam</t>
  </si>
  <si>
    <t>Spaarndam</t>
  </si>
  <si>
    <t>Archief Oudemannenhuis (3295), inventarisnummer 45</t>
  </si>
  <si>
    <t>1787_Fran_Anon</t>
  </si>
  <si>
    <t>Dagverhaal van de gebeurtenissen te Franeker</t>
  </si>
  <si>
    <t>Franeker</t>
  </si>
  <si>
    <t>Tresaor</t>
  </si>
  <si>
    <t>332-04   Familie Telting. Inv no 112</t>
  </si>
  <si>
    <t>1790_Mech_Wijn</t>
  </si>
  <si>
    <t>Wijndrickx, Jan Jozef</t>
  </si>
  <si>
    <t>Tijdt-wijser van sommighe gedenckweirdige dingen, die geschiet syn binnen, ende buyten de Stadt ende Provincie van Mechelen</t>
  </si>
  <si>
    <t>EE Kronieken en Jaarboeken  XV 1</t>
  </si>
  <si>
    <t>1794_Zwol_Door</t>
  </si>
  <si>
    <t>Doorenweerd, Bartholomeus</t>
  </si>
  <si>
    <t>Korte kronijk van Zwoll</t>
  </si>
  <si>
    <t>Bibliotheek A 31430</t>
  </si>
  <si>
    <t>1795_Harl_Tous</t>
  </si>
  <si>
    <t>Toussaint, Johan Daniel</t>
  </si>
  <si>
    <t>Gedurende de halve maand februarii 1795</t>
  </si>
  <si>
    <t>Harlingen</t>
  </si>
  <si>
    <t>PB 1005 Hs</t>
  </si>
  <si>
    <t>1796_Antw_Aars</t>
  </si>
  <si>
    <t>Aarssen, Jan van</t>
  </si>
  <si>
    <t>De principaelste geschiedenissen voorgevallen binnen Antwerpen sedert 1794, 15 maert tot 16 maert 1796, beschreven door Jan van Aarssen, stoofmaker en koperslager op de Steenhoudersvest te Antwerpen</t>
  </si>
  <si>
    <t>Pk. 123</t>
  </si>
  <si>
    <t>1796_Leeu_Buma</t>
  </si>
  <si>
    <t>Buma, Anna Elisabeth</t>
  </si>
  <si>
    <t>Kroniek van belangrijke buitenlandse, landelijke, regionale en plaatselijke gebeurtenissen</t>
  </si>
  <si>
    <t>Leeuwarden</t>
  </si>
  <si>
    <t>HC Leeuwarden</t>
  </si>
  <si>
    <t>1759 Beucker Andreae Inv.no 374</t>
  </si>
  <si>
    <t>1808_Stee_Verv</t>
  </si>
  <si>
    <t>Vervot, G.A.</t>
  </si>
  <si>
    <t>Register betreffende genealogische inlichtingen over de familie Vervot, wetenschappelijke verhandelingen, historische notities en een gelijktijdige kroniek van gebeurtenis¬sen, geschreven, door G.A. Vervot, uit Steenvoorde, voor zijn kinderen. 1783-1808</t>
  </si>
  <si>
    <t>Steenvoorde</t>
  </si>
  <si>
    <t>Rijksarchief te Brugge</t>
  </si>
  <si>
    <t>Verzameling aanwinsten 1550-1980 Inv 121-1173</t>
  </si>
  <si>
    <t>1813_Haag_Baak</t>
  </si>
  <si>
    <t>Baake, Nicolaas Johannes</t>
  </si>
  <si>
    <t>Journaal van 1802 tot 1813 door N.J.Baake</t>
  </si>
  <si>
    <t>Den Haag</t>
  </si>
  <si>
    <t>Gemeentearchief van 's-Gravenhage</t>
  </si>
  <si>
    <t>Ov.Verz. H s. 373</t>
  </si>
  <si>
    <t>1814_Twis_Kamp</t>
  </si>
  <si>
    <t>Kamp, Pieter Klaasen</t>
  </si>
  <si>
    <t>Dagboek van Pieter Klaasen Kamp te Twisk, 1800-1814.</t>
  </si>
  <si>
    <t>Twisk</t>
  </si>
  <si>
    <t>Collectie handschriften en losse archivalia, nummer toegang 0216, inventarisnummer 56</t>
  </si>
  <si>
    <t>1816_Amst_Beer</t>
  </si>
  <si>
    <t>Korte kronijk door Zacheus J.G. De Beer, 1739-1816</t>
  </si>
  <si>
    <t>1819_Binn_Kars</t>
  </si>
  <si>
    <t>Karsten, Jan Jansz.</t>
  </si>
  <si>
    <t>Dagboek van Jan Jansz. Karsten te Binnenwijzend; met enige aanvullingen van een van zijn kinderen, 1783-1819</t>
  </si>
  <si>
    <t>Binnenwijzend</t>
  </si>
  <si>
    <t>Collectie handschriften en losse archivalia, nummer toegang 0216, inventarisnummer 787</t>
  </si>
  <si>
    <t>1823_Zaan_Groo</t>
  </si>
  <si>
    <t>Groot, Simon Jacobszn</t>
  </si>
  <si>
    <t>Dagboek van Simon Jacobszn Groot getiteld Aantekeningsboekje bevattende eenige merkwaardige voorvallen bijzonder in en omtrent de bannen van Westzaan alsmeeden aantekeninge van boovenmate koude en hitte beginnende met het jaar 1809 door Simon Jacobsz Groot te Westzaan, 1809-1810. Met kasboek betreffende zijn zaken in de periode 1822-1823</t>
  </si>
  <si>
    <t>Collectie familie Groot (PA-0514), inv. nr. 2</t>
  </si>
  <si>
    <t>1846_Antw_Coni_1</t>
  </si>
  <si>
    <t>Coninck, F.J. de</t>
  </si>
  <si>
    <t>Notitieboeck van alle gedenkweerdige geschiedenissen voorgevallen in onze stad Antwerpen en elders, deel 1</t>
  </si>
  <si>
    <t>Pk. 136</t>
  </si>
  <si>
    <t>1846_Antw_Coni_2</t>
  </si>
  <si>
    <t>Notitieboeck van alle gedenkweerdige geschiedenissen voorgevallen in onze stad Antwerpen en elders, deel 2</t>
  </si>
  <si>
    <t>Pk. 137</t>
  </si>
  <si>
    <t>1846_Antw_Coni_3</t>
  </si>
  <si>
    <t>Notitieboeck van alle gedenkweerdige geschiedenissen voorgevallen in onze stad Antwerpen en elders, deel 3</t>
  </si>
  <si>
    <t>Pk. 138</t>
  </si>
  <si>
    <t>1846_Antw_Coni_4</t>
  </si>
  <si>
    <t>Notitieboeck van alle gedenkweerdige geschiedenissen voorgevallen in onze stad Antwerpen en elders, deel 4</t>
  </si>
  <si>
    <t>Pk. 139</t>
  </si>
  <si>
    <t>1847_Vlis_Bloo</t>
  </si>
  <si>
    <t>van Bloois, A. Moens</t>
  </si>
  <si>
    <t>Geschiedenis der stad Vlissingen, door Mr.A. Moens van Bloois, (c. 1845) deel 2</t>
  </si>
  <si>
    <t>Gemeentearchief Vlissingen</t>
  </si>
  <si>
    <t>112 Handschriftenverzameling I, inv. nr. 5578</t>
  </si>
  <si>
    <t>1853_Drac_Meer</t>
  </si>
  <si>
    <t>Meer, D.J. van der; Kamminga, Hielkje</t>
  </si>
  <si>
    <t>Meer, D.H. Van Der, and Hielkje Kamminga. De Blauwe Steen Op De Hooge Dijk Bij Oudega, Romance 1839: Korte Chronijck Van Drachten (op P. 203 E.v. Over Oproer in 1842) ; Aaantekeningen Over De Hardewinters Van 1740 En 1763 ; Aanvullingen Op Vorige Stukken ; D.h. Van Der Meer. Voortzettingder Kroniek Tot 1853. 1839.</t>
  </si>
  <si>
    <t>Drachten</t>
  </si>
  <si>
    <t>In Hs 1090</t>
  </si>
  <si>
    <t>1899_Grou_Haag</t>
  </si>
  <si>
    <t>Haagsma, T.F.</t>
  </si>
  <si>
    <t>Kroniek van T.F. Haagsma 1840-1899</t>
  </si>
  <si>
    <t>Grouw</t>
  </si>
  <si>
    <t>toegangsnummer 3079</t>
  </si>
  <si>
    <t>Deze zitten al in Transkribus!!</t>
  </si>
  <si>
    <t>1747_Phil_Over</t>
  </si>
  <si>
    <t>Overveldt, Nicolaas van</t>
  </si>
  <si>
    <t>"Historie van Philipinne met hetgeene daer merkwaerdig zoo in kerk als burgerstaet is voorgevallen"; 1504-1747.</t>
  </si>
  <si>
    <t>Philipinne</t>
  </si>
  <si>
    <t>KB: Ms 71 H 40</t>
  </si>
  <si>
    <t>!</t>
  </si>
  <si>
    <t>1752_Zaan_Kraa</t>
  </si>
  <si>
    <t>Kraamer, Simon Jacobsz.</t>
  </si>
  <si>
    <t>Aantekeningen betreffende de geschiedenis van Zaandam</t>
  </si>
  <si>
    <t>Archief Doopsgezinde gemeente Zaandam-West Zaandam (KA-0012) L39</t>
  </si>
  <si>
    <t>1814_Koog_Boov</t>
  </si>
  <si>
    <t>Booven, Cornelis van; Pergu, Helena Jacobs</t>
  </si>
  <si>
    <t>Journaal; gehouden van 1795-1814 door Cornelis van Booven en Helena Jacobs Pergu</t>
  </si>
  <si>
    <t>Koog aan de Zaan</t>
  </si>
  <si>
    <t>Bibliotheekcatalogus Zaanstad (2053), bibl. 00.825</t>
  </si>
  <si>
    <t>Key</t>
  </si>
  <si>
    <t>Item Type</t>
  </si>
  <si>
    <t>Publication Year</t>
  </si>
  <si>
    <t>Publication Title</t>
  </si>
  <si>
    <t>ISBN</t>
  </si>
  <si>
    <t>ISSN</t>
  </si>
  <si>
    <t>DOI</t>
  </si>
  <si>
    <t>Url</t>
  </si>
  <si>
    <t>Abstract Note</t>
  </si>
  <si>
    <t>Date</t>
  </si>
  <si>
    <t>Date Added</t>
  </si>
  <si>
    <t>Date Modified</t>
  </si>
  <si>
    <t>Access Date</t>
  </si>
  <si>
    <t>Pages</t>
  </si>
  <si>
    <t>Issue</t>
  </si>
  <si>
    <t>Volume</t>
  </si>
  <si>
    <t>Number Of Volumes</t>
  </si>
  <si>
    <t>Journal Abbreviation</t>
  </si>
  <si>
    <t>Short Title</t>
  </si>
  <si>
    <t>Series</t>
  </si>
  <si>
    <t>Series Number</t>
  </si>
  <si>
    <t>Series Text</t>
  </si>
  <si>
    <t>Series Title</t>
  </si>
  <si>
    <t>Publisher</t>
  </si>
  <si>
    <t>Place</t>
  </si>
  <si>
    <t>Language</t>
  </si>
  <si>
    <t>Rights</t>
  </si>
  <si>
    <t>Type</t>
  </si>
  <si>
    <t>Library Catalog</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</si>
  <si>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</si>
  <si>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</si>
  <si>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</si>
  <si>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</si>
  <si>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</si>
  <si>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</si>
  <si>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</si>
  <si>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</si>
  <si>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</si>
  <si>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</si>
  <si>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</si>
  <si>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</si>
  <si>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</si>
  <si>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</si>
  <si>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</si>
  <si>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</si>
  <si>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</si>
  <si>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</si>
  <si>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</si>
  <si>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</si>
  <si>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</si>
  <si>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</si>
  <si>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</si>
  <si>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</si>
  <si>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</si>
  <si>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</si>
  <si>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</si>
  <si>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</si>
  <si>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</si>
  <si>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</si>
  <si>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</si>
  <si>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</si>
  <si>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</si>
  <si>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</si>
  <si>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</si>
  <si>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</si>
  <si>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</si>
  <si>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</si>
  <si>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</si>
  <si>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</si>
  <si>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</si>
  <si>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</si>
  <si>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</si>
  <si>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</si>
  <si>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</si>
  <si>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</si>
  <si>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</si>
  <si>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</si>
  <si>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</si>
  <si>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</si>
  <si>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</si>
  <si>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</si>
  <si>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3P65C38R</t>
  </si>
  <si>
    <t>manuscript</t>
  </si>
  <si>
    <t>https://catalogue.leidenuniv.nl/primo-explore/fulldisplay?docid=UBL_ALMA21223423790002711&amp;context=L&amp;vid=UBL_V1&amp;lang=en_US</t>
  </si>
  <si>
    <t>Zaandam (Oostzaandam)</t>
  </si>
  <si>
    <t>1740-1752</t>
  </si>
  <si>
    <t>18de eeuw; Noord-Holland; Oostzaandam; Zaandam</t>
  </si>
  <si>
    <t>6Q5AQQMD</t>
  </si>
  <si>
    <t>1504-1747</t>
  </si>
  <si>
    <t>Philipinne; 18de eeuw; Zeeland</t>
  </si>
  <si>
    <t>PBY6M96F</t>
  </si>
  <si>
    <t>1708 - 1752</t>
  </si>
  <si>
    <t>Noord-Holland</t>
  </si>
  <si>
    <t>LG8F6JL8</t>
  </si>
  <si>
    <t>https://archief.zaanstad.nl/bibliotheek/zoek-in-de-bibliotheekcatalogus?mivast=137&amp;miadt=137&amp;mizig=372&amp;miview=tbl&amp;milang=nl&amp;micols=1&amp;mires=0&amp;mizk_alle=2053</t>
  </si>
  <si>
    <t>NL</t>
  </si>
  <si>
    <t>11 mei 1795 - 1814 (na 1820).</t>
  </si>
  <si>
    <t>Batch</t>
  </si>
  <si>
    <t>Number of scans</t>
  </si>
  <si>
    <t>Transcriptie klaar</t>
  </si>
  <si>
    <t>Geannoteerd</t>
  </si>
  <si>
    <t>Geannoteerd (bronnen van informatie)</t>
  </si>
  <si>
    <t>.txt in Surfdrive</t>
  </si>
  <si>
    <t>.xls tags in surfdrive</t>
  </si>
  <si>
    <t>Read and Search</t>
  </si>
  <si>
    <t>Datums genormaliseerd</t>
  </si>
  <si>
    <t>Jaren genormaliseerd</t>
  </si>
  <si>
    <t>Datums normaliseren</t>
  </si>
  <si>
    <t>Jaren normaliseren</t>
  </si>
  <si>
    <t>Metadata uit zotero gehaald</t>
  </si>
  <si>
    <t>Metadata klaar</t>
  </si>
  <si>
    <t>Beschrijving voor de website</t>
  </si>
  <si>
    <t>Beschrijving klaar</t>
  </si>
  <si>
    <t>opmerkingen</t>
  </si>
  <si>
    <t>Legenda</t>
  </si>
  <si>
    <t>DBNL</t>
  </si>
  <si>
    <t>1499_Rott_Jans</t>
  </si>
  <si>
    <t>n.v.t.</t>
  </si>
  <si>
    <t>Ja</t>
  </si>
  <si>
    <t>nee</t>
  </si>
  <si>
    <t>Yes</t>
  </si>
  <si>
    <t>Nico</t>
  </si>
  <si>
    <t xml:space="preserve">    </t>
  </si>
  <si>
    <t>1507_Beek_Trec</t>
  </si>
  <si>
    <t>gedeelte (buiten bereik)</t>
  </si>
  <si>
    <t>Erika</t>
  </si>
  <si>
    <t>1509_Zier_Anon</t>
  </si>
  <si>
    <t>volledig ingevoerd in project 1 en 2</t>
  </si>
  <si>
    <t>1526_Zwol_Stee</t>
  </si>
  <si>
    <t>1535_Gron_Anon</t>
  </si>
  <si>
    <t>1542_Gent_Anon</t>
  </si>
  <si>
    <t>Kroniek van Gent, 1538-1542.</t>
  </si>
  <si>
    <t>DBNL*</t>
  </si>
  <si>
    <t>1545_Kuri_Munt</t>
  </si>
  <si>
    <t>1551_Kamp_Herm</t>
  </si>
  <si>
    <t>Prioriteitenlijst datums normaliseren (Nico)</t>
  </si>
  <si>
    <t>1553_Utre_Mijn</t>
  </si>
  <si>
    <t>1558_Bosc_Cupe</t>
  </si>
  <si>
    <t>Carolina</t>
  </si>
  <si>
    <t>1558_Brus_Anon</t>
  </si>
  <si>
    <t>Chronique de Bruxelles</t>
  </si>
  <si>
    <t>Ben heeft alles 1x getranscribeerd. De Transcriptie is vrij goed. (13-07-2023)</t>
  </si>
  <si>
    <t>1753_Vlis_Anon</t>
  </si>
  <si>
    <t>1567_Amst_Bies</t>
  </si>
  <si>
    <t>1755_Hoor_Spru</t>
  </si>
  <si>
    <t>1567_Amst_Reae</t>
  </si>
  <si>
    <t>1756_Waas_Anon_01</t>
  </si>
  <si>
    <t>1568_Gent_Anon</t>
  </si>
  <si>
    <t>Kroniek van Gent, 1301-1568</t>
  </si>
  <si>
    <t>1760_Alkm_Bont</t>
  </si>
  <si>
    <t>1568_Gent_Vaer</t>
  </si>
  <si>
    <t>gedeelte</t>
  </si>
  <si>
    <t>1568_Leeu_Joos</t>
  </si>
  <si>
    <t>Britt</t>
  </si>
  <si>
    <t>1571_Gent_Camp</t>
  </si>
  <si>
    <t>1574_Antw_Ano1</t>
  </si>
  <si>
    <t>1574_Antw_Ano2</t>
  </si>
  <si>
    <t>1574_Antw_Haec</t>
  </si>
  <si>
    <t>1575_Bosc_Anon</t>
  </si>
  <si>
    <t>1575_Purm_Roll</t>
  </si>
  <si>
    <t>ja</t>
  </si>
  <si>
    <t>Klaar (alleen Latijnse scans vanaf 80 moeten nog extra gecontroleerd)</t>
  </si>
  <si>
    <t>1576_Utre_Anon</t>
  </si>
  <si>
    <t>1576_Zier_Clae</t>
  </si>
  <si>
    <t>1577_Utre_Anon</t>
  </si>
  <si>
    <t>1579_Amst_Maes_01</t>
  </si>
  <si>
    <t>datums normaliseren</t>
  </si>
  <si>
    <t>1579_Amst_Maes_02</t>
  </si>
  <si>
    <t>1579_Gent_Anon</t>
  </si>
  <si>
    <t>Kroniek der stad Gent, 1569-1579</t>
  </si>
  <si>
    <t>1580_Antw_Wese</t>
  </si>
  <si>
    <t>Chronyke van 1567 tot 1580</t>
  </si>
  <si>
    <t>1581_Haar_Verw</t>
  </si>
  <si>
    <t>1583_Bilt_ErpH</t>
  </si>
  <si>
    <t>1584_Brug_Weyd</t>
  </si>
  <si>
    <t>1587_Iepe_Anon</t>
  </si>
  <si>
    <t>Chronique d'Ypres, contenant le récit des évènements, qui s'y sont passés à l'époque des troubles religieux (1567- 1587)</t>
  </si>
  <si>
    <t>1587_Mech_Wach</t>
  </si>
  <si>
    <t>Kroniek van de stad Mechelen; 635-1474. Met aanvullingen tot 1587</t>
  </si>
  <si>
    <t>heeft een deel transcriptie van Bram Caers</t>
  </si>
  <si>
    <t>1587_Weer_Luyt</t>
  </si>
  <si>
    <t>1589_Gron_Eppe</t>
  </si>
  <si>
    <t>1592_Cule_Vrem</t>
  </si>
  <si>
    <t>1593_Gent_Copp_01</t>
  </si>
  <si>
    <t>Kroniek van Gent, 1566-1593</t>
  </si>
  <si>
    <t>Model is getraind</t>
  </si>
  <si>
    <t>1593_Gent_Copp_02</t>
  </si>
  <si>
    <t>Heb deze geHTR’d, moet gecorrigeerd</t>
  </si>
  <si>
    <t>1593_Gent_Copp_03</t>
  </si>
  <si>
    <t>Nog een tiental pagina’s corrigeren</t>
  </si>
  <si>
    <t>1594_Gron_Alti</t>
  </si>
  <si>
    <t>1594_Leuv_Boon</t>
  </si>
  <si>
    <t>1595_Iepe_Hern_01</t>
  </si>
  <si>
    <t>Beschrijving der stad Yper, deel 1</t>
  </si>
  <si>
    <t>1595_Iepe_Hern_02</t>
  </si>
  <si>
    <t>Beschrijving der stad Yper, deel 2</t>
  </si>
  <si>
    <t>Nieuw (afgerond in november 2022). 1187 datum properties nog in te voeren</t>
  </si>
  <si>
    <t>1595_Iepe_Hern_04</t>
  </si>
  <si>
    <t>Kroniek van Vlaanderen en Brabant. 4: 1584-1587</t>
  </si>
  <si>
    <t>1595_Iepe_Hern_05</t>
  </si>
  <si>
    <t>Beschrijving der stad Yper, deel 5</t>
  </si>
  <si>
    <t>1595_Iepe_Hern_06</t>
  </si>
  <si>
    <t>Beschrijving der stad Yper, deel 6</t>
  </si>
  <si>
    <t>Nieuw (afgerond in november 2022).</t>
  </si>
  <si>
    <t>1595_Iepe_Hern_07</t>
  </si>
  <si>
    <t>Beschrijving der stad Yper, deel 7</t>
  </si>
  <si>
    <t>Alleen nog de 6 scans latijn</t>
  </si>
  <si>
    <t>1602_Brus_Pott</t>
  </si>
  <si>
    <t>1606_Gron_Anon</t>
  </si>
  <si>
    <t>Astrid</t>
  </si>
  <si>
    <t>1609_Bosc_Anon</t>
  </si>
  <si>
    <t>1609_Oist_Hoev</t>
  </si>
  <si>
    <t>1610_Gent_Vooc</t>
  </si>
  <si>
    <t>Verzameling teksten betreffende Vlaanderen en Gent</t>
  </si>
  <si>
    <t>1620_Midd_Rech</t>
  </si>
  <si>
    <t>Transkr/DBNL</t>
  </si>
  <si>
    <t>1621_Alkm_Anon</t>
  </si>
  <si>
    <t>Controle transcriptie afgerond op 28-12-2022 (Theo)</t>
  </si>
  <si>
    <t>1628_Alkm_Wijn</t>
  </si>
  <si>
    <t>1629_Doet_Duys</t>
  </si>
  <si>
    <t>Nienke</t>
  </si>
  <si>
    <t>1632_Amer_Anon</t>
  </si>
  <si>
    <t>gedeelte (?)</t>
  </si>
  <si>
    <t>1632_Gent_Vive</t>
  </si>
  <si>
    <t>1635_Utre_Jonk</t>
  </si>
  <si>
    <t>1636_Bild_Jans</t>
  </si>
  <si>
    <t>1636_Hauw_Baer</t>
  </si>
  <si>
    <t>Kort verhaal der gedenckwaerdijgste gheschiedenissen van Westvrieslant</t>
  </si>
  <si>
    <t>1638_Roer_Kamp_01</t>
  </si>
  <si>
    <t>1638_Roer_Kamp_02</t>
  </si>
  <si>
    <t>1643_Antw_Bate</t>
  </si>
  <si>
    <t>1646_Gron_Gijs</t>
  </si>
  <si>
    <t>1648_Rott_Anon</t>
  </si>
  <si>
    <t>1649_Tien_Goos</t>
  </si>
  <si>
    <t>carolina</t>
  </si>
  <si>
    <t>1658_Rott_Anon</t>
  </si>
  <si>
    <t>1666_Gent_Bill_01</t>
  </si>
  <si>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1</t>
  </si>
  <si>
    <t>1666_Gent_Bill_02</t>
  </si>
  <si>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2</t>
  </si>
  <si>
    <t>1666_Gent_Bill_03</t>
  </si>
  <si>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3</t>
  </si>
  <si>
    <t>1666_Gent_Bill_05</t>
  </si>
  <si>
    <t>Volgens mij zitten de scans van deze kroniek er twee keer achter elkaar in!!!</t>
  </si>
  <si>
    <t>1666_Gent_Bill_06</t>
  </si>
  <si>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6</t>
  </si>
  <si>
    <t>1668_Dord_Gode</t>
  </si>
  <si>
    <t>Annotaties afmaken?</t>
  </si>
  <si>
    <t>wel gedigitaliseerd door DBNL maar niet gepubliceerd</t>
  </si>
  <si>
    <t>1668_Gent_Bill_01</t>
  </si>
  <si>
    <t>Den polytye boeck, ... beginnende den  22sten augusto in tjaer ons heeren 1658 (1658-1668) deel 1</t>
  </si>
  <si>
    <t>datums overschreven</t>
  </si>
  <si>
    <t>1668_Gent_Bill_03</t>
  </si>
  <si>
    <t>Den polytye boeck, ... beginnende den  22sten augusto in tjaer ons heeren 1658 (1658-1668) deel 3</t>
  </si>
  <si>
    <t>1668_Gent_Bill_06</t>
  </si>
  <si>
    <t>Den polytye boeck, ... beginnende den  22sten augusto in tjaer ons heeren 1658 (1658-1668) deel 6</t>
  </si>
  <si>
    <t>1668_Gent_Bill_09</t>
  </si>
  <si>
    <t>Den polytye boeck, ... beginnende den  22sten augusto in tjaer ons heeren 1658 (1658-1668) deel 9</t>
  </si>
  <si>
    <t xml:space="preserve">Yes </t>
  </si>
  <si>
    <t>1671_Mede_Oppe</t>
  </si>
  <si>
    <t>1672_Amst_Anon</t>
  </si>
  <si>
    <t>1675_Gent_Cler</t>
  </si>
  <si>
    <t>1675_Utre_Boot</t>
  </si>
  <si>
    <t>1680_Mech_Vale</t>
  </si>
  <si>
    <t>Ja (?)</t>
  </si>
  <si>
    <t>1681_Brus_Anon</t>
  </si>
  <si>
    <t>Cort verhael van al het ghene in de princelijcke stadt van Brussel is gheschiedt sedert haer eerste beginsel tot desen tegenwoordighen tijt</t>
  </si>
  <si>
    <t>Scans zijn opnieuw geupload en een model is aan het trainen, maar de segmentatie moet eerst worden gecorrigeerd.</t>
  </si>
  <si>
    <t>1683_Brus_Jaki</t>
  </si>
  <si>
    <t>1687_Rott_Anon</t>
  </si>
  <si>
    <t>1690_Rott_Anon</t>
  </si>
  <si>
    <t>1695_Iepe_Anon</t>
  </si>
  <si>
    <t>Kroniek van Ieper, 180-1695, met talrijke legendarische of anecdotische onderdelen.</t>
  </si>
  <si>
    <t>Transcriptie klaar 8 mei 2023 (TD)</t>
  </si>
  <si>
    <t>1697_Leeu_Vitr_01</t>
  </si>
  <si>
    <t>Annotatien van Eenige aanmerckensweerdige dingen soo in als buiten de Provintie van Frieslandt in de tijt van twintig Jaren voorgevallen beginnende met den Jare 1657 en eindigende met den Jare 1676 incluis. Het eerste deel.</t>
  </si>
  <si>
    <t>1697_Leeu_Vitr_02</t>
  </si>
  <si>
    <t>Annotatien van Eenige aanmerckensweerdige dingen soo in als buiten de Provintie van Frieslandt in de tijt van twintig Jaren voorgevallen beginnende met den Jare 1657 en eindigende met den Jare 1676 incluis. Het tweede deel.</t>
  </si>
  <si>
    <t>1697_Leeu_Vitr_03</t>
  </si>
  <si>
    <t>Annotatien van Eenige aanmerckensweerdige dingen soo in als buiten de Provintie van Frieslandt in de tijt van twintig Jaren voorgevallen beginnende met den Jare 1696 en eindigende met den Jare 1697 incluis. Het derde deel.</t>
  </si>
  <si>
    <t>1699_Bosc_Anon</t>
  </si>
  <si>
    <t>1700_Haar_Vinn</t>
  </si>
  <si>
    <t>1703_Rott_Brou</t>
  </si>
  <si>
    <t>Dagboek van Jan Gijsbertsz. Brouwer, binnenvader van het Pest- en Dolhuis</t>
  </si>
  <si>
    <t>nog te transcriberen, maar eerst moet de segmentatie aangepast. Is nogal een chaotische layout</t>
  </si>
  <si>
    <t>1703_Venl_Put</t>
  </si>
  <si>
    <t>1716_Jisp_Gert</t>
  </si>
  <si>
    <t>(Pieter Florisz Gertse)</t>
  </si>
  <si>
    <t>Ja, maar veel onbekend</t>
  </si>
  <si>
    <t>Transkr</t>
  </si>
  <si>
    <t>1718_Dron_Rouc</t>
  </si>
  <si>
    <t>Dit is drukwerk dat is overgetypt, behalve de inleiding in het Fries</t>
  </si>
  <si>
    <t>1719_Brus_Hage</t>
  </si>
  <si>
    <t>Aenteeckeningen van de Waere ende Naeckte Beschryvinge van de Troubels ende beroertens voorgevallen binnen de Princelijk stadt Brussel, beginnende met den jaere 1717 ende eyndigende met den jaere 1719, waerin gehandelt wort van de droeve ende lanckbeclachde doodt van Franciscus Anneessens Borger ende Deken der voors. Stadt</t>
  </si>
  <si>
    <t>f. 119v en f.220 ontbreken (1 scan) E: Heb ik gecheckt. Wel compleet. Er is geen folionummering maar bladzijden. Er mist niets</t>
  </si>
  <si>
    <t>1719_Tong_Anon</t>
  </si>
  <si>
    <t>1720_Brus_Anon</t>
  </si>
  <si>
    <t>Oudtheden ofte Chronychsche jaerboek der prinselijcke Stadt Brussel bijeen vergaedert uijt verscheijde schrijvers der stadt Brussel door eenen liefhebber van het vaderlandt</t>
  </si>
  <si>
    <t>1721_Antw_Anon</t>
  </si>
  <si>
    <t>1722_Huiz_Lust</t>
  </si>
  <si>
    <t>1724_Oost_Daal</t>
  </si>
  <si>
    <t>1725_Antw_Anon</t>
  </si>
  <si>
    <t>1744_Brus_Anon</t>
  </si>
  <si>
    <t>De vermaerde ende wonderlycke Geschiedenissen der prinselycke Stadt van Brussel</t>
  </si>
  <si>
    <t>1745_Kort_Anon</t>
  </si>
  <si>
    <t>Nico/Erika</t>
  </si>
  <si>
    <t>Vaak een streepje (-) ipv een afbreekstreepje. Moet nog gecorrigeerd</t>
  </si>
  <si>
    <t>1747_Utre_Woer</t>
  </si>
  <si>
    <t>1748_Berg_Folk</t>
  </si>
  <si>
    <t>Dag verhaal van de belegering van Bergen op den Zoom. In den Jaaren 1747</t>
  </si>
  <si>
    <t>1748_Leeu_Vege</t>
  </si>
  <si>
    <t>1749_Haar_Barn</t>
  </si>
  <si>
    <t>ERROR</t>
  </si>
  <si>
    <t>1749_Loke_Smet</t>
  </si>
  <si>
    <t>Kroniek van Lokeren</t>
  </si>
  <si>
    <t>1749_Maas_Anon</t>
  </si>
  <si>
    <t>1750_Gent_Anon</t>
  </si>
  <si>
    <t>Cronijk van Brabant en Vlaenderen. II.</t>
  </si>
  <si>
    <t>1753_Vars_Verm</t>
  </si>
  <si>
    <t>Alie</t>
  </si>
  <si>
    <t>1753_Waas_Anon</t>
  </si>
  <si>
    <t>Beschrijvinge van de opkomste, gelegentheyt en den naem. van den lande van Waes</t>
  </si>
  <si>
    <t>1754_Loss_Leur</t>
  </si>
  <si>
    <t>1755_Hoor_Spru_01</t>
  </si>
  <si>
    <t>"Kroniek van Hoorn", register houdende aantekeningen betreffende de stadsgeschiedenis deel 1</t>
  </si>
  <si>
    <t>1755_Leuv_Anon</t>
  </si>
  <si>
    <t>Chronycke van Waes, et le chiffre couronné de Léopold 1er</t>
  </si>
  <si>
    <t>1756_Waas_Anon_02</t>
  </si>
  <si>
    <t>Merkwaerdige geschiedenis van het land van Waes</t>
  </si>
  <si>
    <t>1758_Maas_Anon</t>
  </si>
  <si>
    <t>1759_Hoeg_Kemp</t>
  </si>
  <si>
    <t>1762_Maas_Anon</t>
  </si>
  <si>
    <t>Slide 25 heeft geen tekst en geen datumtags</t>
  </si>
  <si>
    <t xml:space="preserve">1x getranscribeerd. Niet gecontroleerd. (Theo) </t>
  </si>
  <si>
    <t>1770_Kate_Pols</t>
  </si>
  <si>
    <t>1776_Hale_Anon</t>
  </si>
  <si>
    <t>Kroniek, getiteld: Memoriael, 1243 - 1776</t>
  </si>
  <si>
    <t>Jaren zijn al genormaliseerd?</t>
  </si>
  <si>
    <t>1781_Brug_Ledo</t>
  </si>
  <si>
    <t>Rare geschriften behelsende het gedenckweerdighste dat ‘er is voorgevallen binnen de stadt van Brugghe, 1645-1684 door Jacques Inbona en verdergezet door Pieter Le Doulx tot 1781 (met een vervolgh ofte bijvoughsel)</t>
  </si>
  <si>
    <t>1785_Leeu_Sluy</t>
  </si>
  <si>
    <t>1786_Mech_Munc</t>
  </si>
  <si>
    <t>Iaer-Boecken van Mechelen</t>
  </si>
  <si>
    <t>1787_Gent_Anon_01</t>
  </si>
  <si>
    <t>Kronijke van Gend waer by gevoegt is twee sermoenen op de sotheyt der weerelts den intre ende de dood der biscoppen van Gend ende eenige raetsels</t>
  </si>
  <si>
    <t>1787_Gent_Anon_02</t>
  </si>
  <si>
    <t>1790_Brug_Ledo</t>
  </si>
  <si>
    <t>Cronyke ofte Brugsche dagh-aenteekeningen behelsende de gedenckweerdighste Geschiedenisse de welcke binne de selve stad als daer ontrent voorgevallen zijn sedert het jaer 1786 tot het jaer 1790</t>
  </si>
  <si>
    <t>Helemaal gecontroleerd! (TD)</t>
  </si>
  <si>
    <t>1792_Brie_Klui_01</t>
  </si>
  <si>
    <t>Betty</t>
  </si>
  <si>
    <t>1792_Brie_Klui_02</t>
  </si>
  <si>
    <t>1792_Brie_Klui_03</t>
  </si>
  <si>
    <t>1792_Brie_Klui_04</t>
  </si>
  <si>
    <t>1792_Brie_Klui_05</t>
  </si>
  <si>
    <t>1792_Brie_Klui_06</t>
  </si>
  <si>
    <t>1792_Brie_Klui_07</t>
  </si>
  <si>
    <t>1792_Brie_Klui_08</t>
  </si>
  <si>
    <t>1792_Brie_Klui_09</t>
  </si>
  <si>
    <t>1792_Brie_Klui_10</t>
  </si>
  <si>
    <t>1792_Brie_Klui_11</t>
  </si>
  <si>
    <t>1793_Bred_Ouko</t>
  </si>
  <si>
    <t>1794_Bosc_Acke_01</t>
  </si>
  <si>
    <t>Kronyk der Hoofdstad 's Hertogenbosch. Inhoudende allerlei merkwaardige zaaken, binnen die stad en eenige in derselver meijerij voorgevallen, of daartoe betreklijk. Aanvang neemende met den jaare 1780. Ten tijde van derzelver gebeurtenis naaukeurig binnen voorzeide stad aan, geteekend door Mr. Willem. Corn: Ackersdijck. 1e stuk.</t>
  </si>
  <si>
    <t>1794_Bosc_Acke_02</t>
  </si>
  <si>
    <t>Kronyk der Hoofdstad 's Hertogenbosch. Inhoudende allerleie merkwaardige zaaken, binnen die stad en eenige in derzelver meijereij voorgevallen, of daartoe betrekkelijk aanvang neemende met den jaare 1790. Ten tijde van derzelver gebeurtenis naaukeurig binnen voorzeide stad aangeteekend door Mr Willem Corn: Ackersdijck. 2e stuk.</t>
  </si>
  <si>
    <t>1794_Goud_Anon</t>
  </si>
  <si>
    <t>1795_Maas_Loye</t>
  </si>
  <si>
    <t>1795_Mege_Loef</t>
  </si>
  <si>
    <t>1795_Zalt_Kist</t>
  </si>
  <si>
    <t>1796_Purm_Louw_01</t>
  </si>
  <si>
    <t>Kronijk der stad Purmerende bevattende der selver opkomste en voortgang, in handschrift door Albert Pietersz. Louwen, 18e eeuw, deel 1</t>
  </si>
  <si>
    <t>1796_Purm_Louw_02</t>
  </si>
  <si>
    <t>Kronijk der stad Purmerende bevattende der selver opkomste en voortgang, in handschrift door Albert Pietersz. Louwen, 18e eeuw, deel 2</t>
  </si>
  <si>
    <t>1796_Purm_Louw_03</t>
  </si>
  <si>
    <t>Kronijk der stad Purmerende bevattende der selver opkomste en voortgang, in handschrift door Albert Pietersz. Louwen, 18e eeuw, deel 3</t>
  </si>
  <si>
    <t>1796_Purm_Louw_04</t>
  </si>
  <si>
    <t>Kronijk der stad Purmerende bevattende der selver opkomste en voortgang, in handschrift door Albert Pietersz. Louwen, 18e eeuw, deel 4</t>
  </si>
  <si>
    <t>1796_Purm_Louw_05</t>
  </si>
  <si>
    <t>Kronijk der stad Purmerende bevattende der selver opkomste en voortgang, in handschrift door Albert Pietersz. Louwen, 18e eeuw, deel 5</t>
  </si>
  <si>
    <t>1797_Alkm_Anon</t>
  </si>
  <si>
    <t>1797_Brst_Mori</t>
  </si>
  <si>
    <t>Afschrift van de kroniek van Brustem door Egidius Moriëns. 1792-1797.</t>
  </si>
  <si>
    <t>1798_Brus_Anon</t>
  </si>
  <si>
    <t>Opmerkingen van eenige zaeken in de stad Brussel voorgevallen</t>
  </si>
  <si>
    <t>1799_Roer_Schr</t>
  </si>
  <si>
    <t>1800_Brug_Wall_01</t>
  </si>
  <si>
    <t>1800_Brug_Wall_02</t>
  </si>
  <si>
    <t>1800_Brug_Wall_03</t>
  </si>
  <si>
    <t>1800_Brug_Wall_04</t>
  </si>
  <si>
    <t>1800_Brug_Wall_05</t>
  </si>
  <si>
    <t>1800_Brug_Wall_06</t>
  </si>
  <si>
    <t>1800_Brug_Wall_07</t>
  </si>
  <si>
    <t>1800_Brug_Wall_08</t>
  </si>
  <si>
    <t>1800_Brug_Wall_09</t>
  </si>
  <si>
    <t>Data republikeinse kalender niet nagelopen omdat het republikeinse jaartal ontbreekt</t>
  </si>
  <si>
    <t>1800_Brug_Wall_10</t>
  </si>
  <si>
    <t>Op slide 42 kon ik niet overal een datum-tag invoegen</t>
  </si>
  <si>
    <t>1800_Brug_Wall_11</t>
  </si>
  <si>
    <t>Op slide 2, 5, 15 en 26 kon ik niet overal een datum-tag invoegen</t>
  </si>
  <si>
    <t>1800_Brug_Wall_12</t>
  </si>
  <si>
    <t>1800_Brug_Wall_13</t>
  </si>
  <si>
    <t xml:space="preserve">Op slide 20 heb ik niet alle datumtags in kunnen voegen </t>
  </si>
  <si>
    <t>1800_Zier_Reij</t>
  </si>
  <si>
    <t>1801_Hilv_Jage</t>
  </si>
  <si>
    <t>1801_Huis_Anon</t>
  </si>
  <si>
    <t>1802_Brus_Anon</t>
  </si>
  <si>
    <t>1802_Roer_Rama</t>
  </si>
  <si>
    <t>1802_Venl_Post</t>
  </si>
  <si>
    <t>1802_Weer_Goof</t>
  </si>
  <si>
    <t>1806_Rott_Beef</t>
  </si>
  <si>
    <t>Transcribus kan de transcripties niet laden</t>
  </si>
  <si>
    <t>1807_Enkh_Hoog</t>
  </si>
  <si>
    <t>1807_Leuv_Pelc_01</t>
  </si>
  <si>
    <t>Lovens chronycksken 1747-1807</t>
  </si>
  <si>
    <t>1807_Leuv_Pelc_02</t>
  </si>
  <si>
    <t>Lovens chronycksken 1747-1807 deel 2</t>
  </si>
  <si>
    <t>Deel 02 en 02B zijn samengevoegd</t>
  </si>
  <si>
    <t>1807_Leuv_Pelc_03</t>
  </si>
  <si>
    <t>1807_Leuv_Pelc_04</t>
  </si>
  <si>
    <t>vanaf slide 225 missen er veel tags, alle datumtags wel toegevoegd en ingevuld</t>
  </si>
  <si>
    <t>1807_Leuv_Pelc_05</t>
  </si>
  <si>
    <t>1807_Leuv_Pelc_06</t>
  </si>
  <si>
    <t>1807_Leuv_Pelc_07</t>
  </si>
  <si>
    <t>1807_Leuv_Pelc_08</t>
  </si>
  <si>
    <t>1807_Leuv_Pelc_09</t>
  </si>
  <si>
    <t>1807_Leuv_Pelc_10</t>
  </si>
  <si>
    <t>1807_Leuv_Pelc_11</t>
  </si>
  <si>
    <t>1807_Leuv_Pelc_12</t>
  </si>
  <si>
    <t>1807_Leuv_Pelc_13</t>
  </si>
  <si>
    <t xml:space="preserve"> </t>
  </si>
  <si>
    <t>1807_Leuv_Pelc_14</t>
  </si>
  <si>
    <t>Op 13 Franse pagina's na, alles gecontroleerd (Theo)</t>
  </si>
  <si>
    <t>1807_Leuv_Pelc_15</t>
  </si>
  <si>
    <t>Zie voor segmentatie en kleine foutjes mail Margot aan Theo op 25 augustus (Theo nog verwerken)</t>
  </si>
  <si>
    <t>1808_Gent_Quic</t>
  </si>
  <si>
    <t>Beschryvinge van het merkweerdigste dat voorgevallen is binnen en omtrent Gend, beginnende met 't jaer beginnende met 't jaer 1787</t>
  </si>
  <si>
    <t>Register betreffende genealogische inlichtingen over de familie Vervot, wetenschappelijke verhandelingen, historische notities en een gelijktijdige kroniek van gebeurtenissen, geschreven, door G.A. Vervot, uit Steenvoorde, voor zijn kinderen. 1783-1808</t>
  </si>
  <si>
    <t>nienke</t>
  </si>
  <si>
    <t>1814_Leeu_Stor</t>
  </si>
  <si>
    <t>Dagboek van Pieter Klaasen Kamp te Twisk, 1800-1814</t>
  </si>
  <si>
    <t>1817_Antw_Stra_01</t>
  </si>
  <si>
    <t>Atypische kroniek, data niet chronologisch</t>
  </si>
  <si>
    <t>1817_Antw_Stra_02</t>
  </si>
  <si>
    <t>1817_Antw_Stra_03</t>
  </si>
  <si>
    <t>1817_Antw_Stra_04</t>
  </si>
  <si>
    <t>1817_Antw_Stra_05</t>
  </si>
  <si>
    <t>1817_Antw_Stra_06</t>
  </si>
  <si>
    <t>1817_Antw_Stra_07</t>
  </si>
  <si>
    <t>1817_Antw_Stra_08</t>
  </si>
  <si>
    <t>1818_Nijm_Beto</t>
  </si>
  <si>
    <t>1819_Roer_Loos</t>
  </si>
  <si>
    <t>1820_Rhen_Vree</t>
  </si>
  <si>
    <t>1820_Zier_Groe</t>
  </si>
  <si>
    <t>Niet chronologisch</t>
  </si>
  <si>
    <t>1821_Brus_Goet_01</t>
  </si>
  <si>
    <t>Extraordinaire geschiedenissen voorgevallen in ons Nederalnd; nae de aflegvigheyd van onse doorluchtige keyserinne maria-Theresia. Deux copies. 2. Wondere geschiedenissen voorgevallen in dese stad Brussel ten teyde van de fransche republicq</t>
  </si>
  <si>
    <t>1821_Brus_Goet_02</t>
  </si>
  <si>
    <t>Vervolg der chronyken voorgevallen binnen dese stad Brussel ten teyde der fransche republicq. 2. Chronycken der principaelste geschiedenissen voorgevallen binnen dese stad Brussel naer de dood van Maria Theresia, 1812. 3. Chronycken der principaelste geschiedenissen voorgevallen binnen dese stad Brussel. Vervolg van het jaer 1813.</t>
  </si>
  <si>
    <t>verkeerde tags</t>
  </si>
  <si>
    <t>1821_Brus_Goet_03</t>
  </si>
  <si>
    <t>Chronyke der principaelste geschedenissen voorgevallen binnen dese stad Brussel, 1815. 2. Vervolg der chronyken binnen dese stad Brussel voorgevallen in den jaere 1816 en 1817. 3. Vervolg der chronyken, 1818-1821.</t>
  </si>
  <si>
    <t>1825_Brug_Verb</t>
  </si>
  <si>
    <t>1825_Oude_Rant_01</t>
  </si>
  <si>
    <t>1825_Oude_Rant_02</t>
  </si>
  <si>
    <t>1826_Amel_Sorg</t>
  </si>
  <si>
    <t>1826_Hoor_Voor_01</t>
  </si>
  <si>
    <t>1826_Hoor_Voor_02</t>
  </si>
  <si>
    <t>1826_Hoor_Voor_03</t>
  </si>
  <si>
    <t>1826_Hoor_Voor_04</t>
  </si>
  <si>
    <t>1826_Hoor_Voor_05</t>
  </si>
  <si>
    <t>1826_Snee_Napj_01</t>
  </si>
  <si>
    <t>Atypische kroniek</t>
  </si>
  <si>
    <t>1826_Snee_Napj_02</t>
  </si>
  <si>
    <t>1829_Leuv_Hous</t>
  </si>
  <si>
    <t>1830_Tilb_Leli</t>
  </si>
  <si>
    <t>Cronijkje van eenige zaken die zedert en in het jaar 1774 te Tilburg en daaromstrent zijn voorgevallen tot den 18 julij 1830</t>
  </si>
  <si>
    <t>1831_Roer_Beri</t>
  </si>
  <si>
    <t>1835_Gent_Call_01</t>
  </si>
  <si>
    <t>Gentsche kronijke : 1525-1835 / door Edou. Callion. 1780-1789.</t>
  </si>
  <si>
    <t>1835_Gent_Call_02</t>
  </si>
  <si>
    <t>Gentsche kronijke : 1525-1835 / door Edou. Callion. 1801-1808.</t>
  </si>
  <si>
    <t>Astrid en Britt komen hier niet uit ivm de Republikeinse kalender</t>
  </si>
  <si>
    <t>1835_Gent_Call_03</t>
  </si>
  <si>
    <t>Gentsche kronijke : 1525-1835 / door Edou. Callion.</t>
  </si>
  <si>
    <t>Gewone kalender</t>
  </si>
  <si>
    <t>1835_Gent_Call_04</t>
  </si>
  <si>
    <t>Gentsche kronijke : 1525-1835 / door Edou. Callion. 1815-1817.</t>
  </si>
  <si>
    <t>1835_Gent_Call_05</t>
  </si>
  <si>
    <t>Gentsche kronijke : 1525-1835 / door Edou. Callion. 1822-1831.</t>
  </si>
  <si>
    <t>1835_Gent_Call_06</t>
  </si>
  <si>
    <t>Gentsche kronijke : 1525-1835 / door Edou. Callion. 1832-1835.</t>
  </si>
  <si>
    <t>1835_Leuv_Lame</t>
  </si>
  <si>
    <t>1838_Hoor_Anon_01</t>
  </si>
  <si>
    <t>1838_Hoor_Anon_02</t>
  </si>
  <si>
    <t>TD: Vanaf scan 241 in een andere hand. Index vanaf scan 250 moet nog een keer gecontroleerd. Ook op segmentatie</t>
  </si>
  <si>
    <t>1844_Heez_Moor</t>
  </si>
  <si>
    <t>1846_Antw_Coni_01</t>
  </si>
  <si>
    <t>1846_Antw_Coni_02</t>
  </si>
  <si>
    <t>1846_Antw_Coni_03</t>
  </si>
  <si>
    <t>1846_Antw_Coni_04</t>
  </si>
  <si>
    <t>1851_Zier_Bloo</t>
  </si>
  <si>
    <t>1854_Tilb_Beer_01</t>
  </si>
  <si>
    <t>Kroniekje van Tilburg over 1774-1854</t>
  </si>
  <si>
    <t>1854_Tilb_Beer_02</t>
  </si>
  <si>
    <t>Aantekeningen-kahier 1, behorende bij Kroniekje van Tilburg over 1774-1854</t>
  </si>
  <si>
    <t>nog niet getranscribeerd</t>
  </si>
  <si>
    <t>1854_Tilb_Beer_03</t>
  </si>
  <si>
    <t>Aantekeningen-kahier 2, behorende bij Kroniekje van Tilburg over 1774-1854</t>
  </si>
  <si>
    <t>1855_Kort_Fill_01</t>
  </si>
  <si>
    <t>Tydscronyck 1846-1855, deel 1</t>
  </si>
  <si>
    <t>1855_Kort_Fill_02</t>
  </si>
  <si>
    <t>Tydscronyck, deel 2</t>
  </si>
  <si>
    <t>Zie mail Margot 26 juli. Verbeteringen segmentatie nog doorvoeren</t>
  </si>
  <si>
    <t>1855_Kort_Fill_03</t>
  </si>
  <si>
    <t>Tydscronyck, deel 3</t>
  </si>
  <si>
    <t>1855_Kort_Fill_04</t>
  </si>
  <si>
    <t>Tydscronyck, deel 4</t>
  </si>
  <si>
    <t>Zie mail Margot 3 juli. Verbeteringen nog doorvoeren lay-out</t>
  </si>
  <si>
    <t>1855_Kort_Fill_05</t>
  </si>
  <si>
    <t>Tydscronyck, deel 5</t>
  </si>
  <si>
    <t>Zie mail Margot 12 juni. Verbeteringen nog doorvoeren lay-out</t>
  </si>
  <si>
    <t>1855_Kort_Fill_06</t>
  </si>
  <si>
    <t>Tydscronyck, deel 6</t>
  </si>
  <si>
    <t>1855_Kort_Fill_07</t>
  </si>
  <si>
    <t>Tydscronyck, deel 7</t>
  </si>
  <si>
    <t>1855_Popp_Jong</t>
  </si>
  <si>
    <t>1856_Wird_Hell</t>
  </si>
  <si>
    <t>1858_Delf_Stre</t>
  </si>
  <si>
    <t>Hier is iets raars mee aan de hand met de tags</t>
  </si>
  <si>
    <t>1859_Nijm_Drui</t>
  </si>
  <si>
    <t>Bezig</t>
  </si>
  <si>
    <t>1863_Izeg_Tang</t>
  </si>
  <si>
    <t>1876_Nieu_Rybe</t>
  </si>
  <si>
    <t>Totaal geannoteerd</t>
  </si>
  <si>
    <t>Getranscribeerd</t>
  </si>
  <si>
    <t>DBNL kronieken</t>
  </si>
  <si>
    <t>Beschikbare transcripties</t>
  </si>
  <si>
    <t>Jaren getagd en genormaliseerd</t>
  </si>
  <si>
    <t>wel gediigitaliseerd maar niet gepubliceerd door DBNL</t>
  </si>
  <si>
    <t>Baselines nakijken</t>
  </si>
  <si>
    <t>Baselines gecorrigeerd</t>
  </si>
  <si>
    <t>Transcriptie en controle Klaar</t>
  </si>
  <si>
    <t>probleemgevallen opgelost</t>
  </si>
  <si>
    <t>Trainings-set</t>
  </si>
  <si>
    <t>Nakijken</t>
  </si>
  <si>
    <t>Model</t>
  </si>
  <si>
    <t>Compleet project 1</t>
  </si>
  <si>
    <t>Problemen opgelost in VeleHanden</t>
  </si>
  <si>
    <t>In Project 2</t>
  </si>
  <si>
    <t>Afgerond in project 2</t>
  </si>
  <si>
    <t>Als TXT in Surfdrive</t>
  </si>
  <si>
    <t>Opmerkingen</t>
  </si>
  <si>
    <t>Theo</t>
  </si>
  <si>
    <t>Compleet</t>
  </si>
  <si>
    <t xml:space="preserve">Model trainen na 30 pagina's transcriptie </t>
  </si>
  <si>
    <t>paleograaf nodig</t>
  </si>
  <si>
    <t>Theo &amp; Alie</t>
  </si>
  <si>
    <t>compleet</t>
  </si>
  <si>
    <t>Nee</t>
  </si>
  <si>
    <t>moet gecontroleerd worden</t>
  </si>
  <si>
    <t>Marieke</t>
  </si>
  <si>
    <t>paleograaf nodig voor controle/ erika moet transcriptie erin stoppen</t>
  </si>
  <si>
    <t>Klaar</t>
  </si>
  <si>
    <t>probleemgevallen?</t>
  </si>
  <si>
    <t>Staat op VeleHanden, model maken na 30 pagina's transcriptie</t>
  </si>
  <si>
    <t>Judith</t>
  </si>
  <si>
    <t>1,7/4,2</t>
  </si>
  <si>
    <t>Model getraind met als basis dat van het NA</t>
  </si>
  <si>
    <t>Marginalia staan in de lopende tekst</t>
  </si>
  <si>
    <t>Margot</t>
  </si>
  <si>
    <t xml:space="preserve">Ingenomen. Eerste baselines daarna openzetten voor verdere transcriptie </t>
  </si>
  <si>
    <t>klaar</t>
  </si>
  <si>
    <t>Model trainen na 30 pagina's transcriptie</t>
  </si>
  <si>
    <t>0,17/3,83</t>
  </si>
  <si>
    <t xml:space="preserve">Verkeerde versie staat op VeleHanden. ID 206493 staat op VeleHanden, terwijl ID 198354 erop moet. Andere versies uit Transkribus verwijderen Erika? </t>
  </si>
  <si>
    <t xml:space="preserve">Even nalopen ter controle </t>
  </si>
  <si>
    <t>Staat gedraaid in Vele Handen, maar recht in Transkribus</t>
  </si>
  <si>
    <t>Erika: Mail over sturen naar Mark</t>
  </si>
  <si>
    <t>Tobias (niet goed gegaan)</t>
  </si>
  <si>
    <t>4, 55</t>
  </si>
  <si>
    <t>t/m scan 25 hersteld. Astrid de rest?</t>
  </si>
  <si>
    <t>Wiel</t>
  </si>
  <si>
    <t>Carolina?</t>
  </si>
  <si>
    <t>0,38/8,22</t>
  </si>
  <si>
    <t>Baselines, controleren en een model trainen</t>
  </si>
  <si>
    <t>Eerste getranscribeerde deel doorklikken</t>
  </si>
  <si>
    <t>Innemen, baselines doen</t>
  </si>
  <si>
    <t xml:space="preserve">Is wel getranscribeerd maar nog niet gecorrigeerd. Scan 9 is wazig. </t>
  </si>
  <si>
    <t>1756_Vliss_Steu</t>
  </si>
  <si>
    <t xml:space="preserve">Theo </t>
  </si>
  <si>
    <t xml:space="preserve">Scans gedraaid. Uit de collectie, opnieuw aanleveren of zelf een transcriptie in Transcribus maken </t>
  </si>
  <si>
    <t xml:space="preserve">trainingset maken </t>
  </si>
  <si>
    <t xml:space="preserve">Pagina 51 moet opnieuw gefotografeerd </t>
  </si>
  <si>
    <t>Theo &amp;Alie</t>
  </si>
  <si>
    <t>t/m 38</t>
  </si>
  <si>
    <t>3.24/2.35</t>
  </si>
  <si>
    <t>Baselinesen  controleren en dan model trainen</t>
  </si>
  <si>
    <t>Doorklikken voor hij open gezet wordt op Vele Handen</t>
  </si>
  <si>
    <t>Bij de crowd laten staan</t>
  </si>
  <si>
    <t>Mariët &amp; Theo</t>
  </si>
  <si>
    <t>0,34/6,08</t>
  </si>
  <si>
    <t xml:space="preserve">Corrigeren en een model laten trainen </t>
  </si>
  <si>
    <t xml:space="preserve">Hebben we nu de complete kroniek? Ja in surfdrive. Maar niet op VeleHanden en Transkribus. Zie mail Mark 20-11 om 14:02 uur. </t>
  </si>
  <si>
    <t>2,00/5,29</t>
  </si>
  <si>
    <t>Controle op VeleHanden</t>
  </si>
  <si>
    <t>Afronden op VeleHanden</t>
  </si>
  <si>
    <t>Baselines, controleren en model trainen</t>
  </si>
  <si>
    <t>Willemijn</t>
  </si>
  <si>
    <t>We hebben besloten deze eruit te gooien. Te weinig lokale kroniek</t>
  </si>
  <si>
    <t>Model trainen na 15.000 woorden</t>
  </si>
  <si>
    <t>Erika/Jakob</t>
  </si>
  <si>
    <t>1,87/3.45</t>
  </si>
  <si>
    <t>Erika/jakob</t>
  </si>
  <si>
    <t>Batch 2</t>
  </si>
  <si>
    <t>Zie tabblad overzicht werkzaamheden batch 2!</t>
  </si>
  <si>
    <t>Romée</t>
  </si>
  <si>
    <t>Bij nader inzien afgekeurd. Niet eigentijds.</t>
  </si>
  <si>
    <t>Tobias</t>
  </si>
  <si>
    <t>Samen 3,5 uur/ 26,25</t>
  </si>
  <si>
    <t>veel inktvraat, 8,5 uur</t>
  </si>
  <si>
    <t>Erika traint eerst een model. Daarna op VeleHanden</t>
  </si>
  <si>
    <t>Mariet</t>
  </si>
  <si>
    <t>Wieke</t>
  </si>
  <si>
    <t>Mika &amp; Betty</t>
  </si>
  <si>
    <t xml:space="preserve">6 uur/36. gestopt. Te traag). </t>
  </si>
  <si>
    <t>Betty &amp; Theo</t>
  </si>
  <si>
    <t>Staat op VeleHanden. Model trainen na 20 scans transcriptie gezien het handschrift.</t>
  </si>
  <si>
    <t>3 uur 45 min</t>
  </si>
  <si>
    <t>Jakob</t>
  </si>
  <si>
    <t>controleren</t>
  </si>
  <si>
    <t>Staat op VeleHanden. Model trainen na 20 scans transcriptie</t>
  </si>
  <si>
    <t>Veel opmerkingen omdat de segmentatie nog niet goed is?</t>
  </si>
  <si>
    <t>Model trainen na controle</t>
  </si>
  <si>
    <t>Iris</t>
  </si>
  <si>
    <t>5 uur/37,50</t>
  </si>
  <si>
    <t>4.22 uur / 33,00</t>
  </si>
  <si>
    <t>Staat niet op VeleHanden?</t>
  </si>
  <si>
    <t xml:space="preserve">Eerste 9 pagina's zijn kroniek. De rest is boekhouding. Dit heb ik pragmatisch gezien, ook niet gesegmenteerd. </t>
  </si>
  <si>
    <t xml:space="preserve">Betty en Theo </t>
  </si>
  <si>
    <t>Theo en Alie</t>
  </si>
  <si>
    <t>Uit het corpus</t>
  </si>
  <si>
    <t>Foto's aan de rechteronderkant zijn slecht leesbaar. Niet opnieuw. Geen tijd</t>
  </si>
  <si>
    <t xml:space="preserve">Erika </t>
  </si>
  <si>
    <t>Op VeleHanden laten staan</t>
  </si>
  <si>
    <t>218 t/m 223 eerst overgeslagen</t>
  </si>
  <si>
    <t>Model op trainen bij 30 pagina's</t>
  </si>
  <si>
    <t>Controleren (computer model)</t>
  </si>
  <si>
    <t xml:space="preserve">Model trainen bij 30 pagina’s </t>
  </si>
  <si>
    <t xml:space="preserve">modeltrainen na 30 pagina's </t>
  </si>
  <si>
    <t xml:space="preserve">Controleren </t>
  </si>
  <si>
    <t>Baselines en op vele Handen</t>
  </si>
  <si>
    <t>Moeilijkheid</t>
  </si>
  <si>
    <t>Baerntsz, Claes</t>
  </si>
  <si>
    <t>Hauwert</t>
  </si>
  <si>
    <t>Model trainen na 30 pagina's</t>
  </si>
  <si>
    <t>176 Losse Aanwinsten (verkregen tot 1984) 1530</t>
  </si>
  <si>
    <t>313 voor Chr. tot 1636</t>
  </si>
  <si>
    <t>Beer, Jan Baptist de</t>
  </si>
  <si>
    <t>Tilburg</t>
  </si>
  <si>
    <t>Nummering VeleHanden klopt niet</t>
  </si>
  <si>
    <t>Regionaal Archief Tilburg</t>
  </si>
  <si>
    <t>Batch 3</t>
  </si>
  <si>
    <t>Noord-Brabant</t>
  </si>
  <si>
    <t>1719_Maas_Anon</t>
  </si>
  <si>
    <t>middeleeuwen-1719</t>
  </si>
  <si>
    <t>Houthem; 17de eeuw; 18de eeuw; Limburg</t>
  </si>
  <si>
    <t>Oost-Vlaanderen</t>
  </si>
  <si>
    <t>4, 13 = 32,00</t>
  </si>
  <si>
    <t>Pelckmans, M. F. Hendrizkszoon</t>
  </si>
  <si>
    <t>Oud Archief Ms 58</t>
  </si>
  <si>
    <t>Vlaams-Brabant</t>
  </si>
  <si>
    <t>Munck, Jozef Jacob de</t>
  </si>
  <si>
    <t>Romee</t>
  </si>
  <si>
    <t>EE Kronieken en Jaarboeken  XX 1</t>
  </si>
  <si>
    <t>1740-1786</t>
  </si>
  <si>
    <t>UB Gent</t>
  </si>
  <si>
    <t>Boekentoren, BHSL.HS.2340</t>
  </si>
  <si>
    <t>1538-1542</t>
  </si>
  <si>
    <t>Boekentoren, BHSL.HS.2489</t>
  </si>
  <si>
    <t>Boekentoren, BHSL.HS.3344</t>
  </si>
  <si>
    <t>1587_Iepe_Hern</t>
  </si>
  <si>
    <t>Hernighem, van, Augustyn</t>
  </si>
  <si>
    <t>Ieper</t>
  </si>
  <si>
    <t>Boekentoren, BHSL.HS.3700</t>
  </si>
  <si>
    <t>West-Vlaanderen; Ieper/Ypres</t>
  </si>
  <si>
    <t>1593_Gent_Anon_01</t>
  </si>
  <si>
    <t>4, 27 = 33,50</t>
  </si>
  <si>
    <t>Boekentoren, BHSL.HS.0159  v.1, 2, 3</t>
  </si>
  <si>
    <t>1593_Gent_Anon_02</t>
  </si>
  <si>
    <t>t/m 74</t>
  </si>
  <si>
    <t>1593_Gent_Anon_03</t>
  </si>
  <si>
    <t>t/m 157 door Astrid, moet worden afgemaakt door iemand anders</t>
  </si>
  <si>
    <t>BHSL.HS.0616</t>
  </si>
  <si>
    <t>180-1695</t>
  </si>
  <si>
    <t>West-Vlaanderen</t>
  </si>
  <si>
    <t>Van Quickenborne, François Xavier,</t>
  </si>
  <si>
    <t>BIB.G.006074</t>
  </si>
  <si>
    <t>1787-1808</t>
  </si>
  <si>
    <t>1835_Gent_Call_01/1814_Gent_Call</t>
  </si>
  <si>
    <t>Callion, Edouard</t>
  </si>
  <si>
    <t>6,5 uur/50</t>
  </si>
  <si>
    <t>Boekentoren, BIB.G.014248  v.01</t>
  </si>
  <si>
    <t>1525-1835</t>
  </si>
  <si>
    <t>Folkers, Jacobus Adrianus</t>
  </si>
  <si>
    <t>Bergen op Zoom</t>
  </si>
  <si>
    <t>UB Tilburg</t>
  </si>
  <si>
    <t>KHS D148</t>
  </si>
  <si>
    <t>1789_Bosc_Acke</t>
  </si>
  <si>
    <t>Ackersdijk, Willem Cornelis</t>
  </si>
  <si>
    <t>KHS D154</t>
  </si>
  <si>
    <t>1780-1789</t>
  </si>
  <si>
    <t>1794_Bosc_Acke</t>
  </si>
  <si>
    <t>Scan 71 staat niet op VeleHanden. Wel in Transkribus.</t>
  </si>
  <si>
    <t>KHS D155</t>
  </si>
  <si>
    <t>1790-1794</t>
  </si>
  <si>
    <t>Lelie, Laurens de</t>
  </si>
  <si>
    <t>HS C128</t>
  </si>
  <si>
    <t>1774-1830</t>
  </si>
  <si>
    <t>1719_Hoor_Spru</t>
  </si>
  <si>
    <t>Hervormde Gemeente Hoorn, toegang 0656, invnr 589</t>
  </si>
  <si>
    <t>1416-1719</t>
  </si>
  <si>
    <t>18de eeuw; Noord-Holland; Hoorn</t>
  </si>
  <si>
    <t>1720-1755</t>
  </si>
  <si>
    <t>19de eeuw; Noord-Holland; Twisk; Medemblik</t>
  </si>
  <si>
    <t>??</t>
  </si>
  <si>
    <t>aantal scans (ook aanvullen in zotero</t>
  </si>
  <si>
    <t>Segmenteren</t>
  </si>
  <si>
    <t>T/m</t>
  </si>
  <si>
    <t>FileZilla</t>
  </si>
  <si>
    <t>Correct in Transkribus</t>
  </si>
  <si>
    <t>Memorix</t>
  </si>
  <si>
    <t>Foto's op surfdrive checken, hernoemen, croppen</t>
  </si>
  <si>
    <t>back-up</t>
  </si>
  <si>
    <t>op stick</t>
  </si>
  <si>
    <t>Brussel</t>
  </si>
  <si>
    <t>na 30 scans een model trainen</t>
  </si>
  <si>
    <t>goed</t>
  </si>
  <si>
    <t>KB Brussel</t>
  </si>
  <si>
    <t>Ja (Theo)</t>
  </si>
  <si>
    <t>v</t>
  </si>
  <si>
    <t>Datatraveler</t>
  </si>
  <si>
    <t>Wesenbeke, Jan van</t>
  </si>
  <si>
    <t>https://felixarchief.antwerpen.be/archievenoverzicht/175687</t>
  </si>
  <si>
    <t>Pk. 108</t>
  </si>
  <si>
    <t>1567-1580</t>
  </si>
  <si>
    <t>datatraveler</t>
  </si>
  <si>
    <t>16de eeuw; Antwerpen</t>
  </si>
  <si>
    <t>Nico Altink</t>
  </si>
  <si>
    <t>Merghelynck 140</t>
  </si>
  <si>
    <t>1567-1587</t>
  </si>
  <si>
    <t>Ja, stick Pelckmans Theo.</t>
  </si>
  <si>
    <t>Wachtendock, Jan  van</t>
  </si>
  <si>
    <t>Hier heb ik een transcriptie van. Niet open zetten</t>
  </si>
  <si>
    <t>Hernighem, van, Augustyn Van</t>
  </si>
  <si>
    <t>model klaar, evt een tweede trainen</t>
  </si>
  <si>
    <t>Fonds Goethals-Vercruysse, ms. 296</t>
  </si>
  <si>
    <t>1562-1572</t>
  </si>
  <si>
    <t>staat bij de crowd</t>
  </si>
  <si>
    <t>1572-1583</t>
  </si>
  <si>
    <t>Erika wil jij het model hierop loslaten?: meer gecorrigeerde blz nodig</t>
  </si>
  <si>
    <t>1587-1588</t>
  </si>
  <si>
    <t>Erika wil jij het model hierop loslaten?</t>
  </si>
  <si>
    <t>1589-1591</t>
  </si>
  <si>
    <t>1592-1595</t>
  </si>
  <si>
    <t>1610_Gent_Vooc_B</t>
  </si>
  <si>
    <t>de Voocht, Gillis</t>
  </si>
  <si>
    <t>Ja (2x)</t>
  </si>
  <si>
    <t>BHSL.HS.0531</t>
  </si>
  <si>
    <t>1666_Gent_Bill_1B</t>
  </si>
  <si>
    <t>https://stad.gent/sites/default/files/page/documents/Archiefgids_tekstherkenning.pdf</t>
  </si>
  <si>
    <t>1666_Gent_Bill_2B</t>
  </si>
  <si>
    <t>1666_Gent_Bill_3B</t>
  </si>
  <si>
    <t>1666_Gent_Bill_6B</t>
  </si>
  <si>
    <t xml:space="preserve">Erika model eroverheen laten gaan en openzetten. </t>
  </si>
  <si>
    <t>1668_Gent_Bill_09B</t>
  </si>
  <si>
    <t>Theo heeft op 19-10-2021 een nieuwe versie erin gezet voor Transkribus Lite</t>
  </si>
  <si>
    <t>1671_Leeu_Vitr</t>
  </si>
  <si>
    <t>Vitringa, Horatius</t>
  </si>
  <si>
    <t>Tresoar</t>
  </si>
  <si>
    <t>1657-1671</t>
  </si>
  <si>
    <t>Leeuwarden; Friesland</t>
  </si>
  <si>
    <t>1676_Leeu_Vitr</t>
  </si>
  <si>
    <t>AStrid</t>
  </si>
  <si>
    <t>pas open zetten als van deel 1 een model is getraind.</t>
  </si>
  <si>
    <t>1672-1676</t>
  </si>
  <si>
    <t>Ja, maar dubbel</t>
  </si>
  <si>
    <t>Stadsarchief Brussel</t>
  </si>
  <si>
    <t>ASB Archives historiques, Registre 2916</t>
  </si>
  <si>
    <t>727-1681</t>
  </si>
  <si>
    <t>Brussels / Brussel / Bruxelles</t>
  </si>
  <si>
    <t>1684_Brug_Inbo</t>
  </si>
  <si>
    <t>Inbona, Jacques; Ledoulx, Pieter</t>
  </si>
  <si>
    <t>Fonds Goethals-Vercruysse, ms. 175</t>
  </si>
  <si>
    <t>1645-1684</t>
  </si>
  <si>
    <t>Brugge; West-Vlaanderen</t>
  </si>
  <si>
    <t>1697_Leeu_Vitr</t>
  </si>
  <si>
    <t>1696-1697</t>
  </si>
  <si>
    <t>Brouwer, Jan Gijsbertsz.</t>
  </si>
  <si>
    <t xml:space="preserve">Begin is door Nico gedaan. Erg lastig. </t>
  </si>
  <si>
    <t>230-01_148</t>
  </si>
  <si>
    <t>Zuid-Holland</t>
  </si>
  <si>
    <t>1719_Brus_Anon</t>
  </si>
  <si>
    <t>ASB Archives historiques, Registre 3350</t>
  </si>
  <si>
    <t>1717-1719</t>
  </si>
  <si>
    <t>ASB Archives historiques, Registre 2959B</t>
  </si>
  <si>
    <t>ASB Archives historiques, Registre 3107</t>
  </si>
  <si>
    <t>1717-1744</t>
  </si>
  <si>
    <t>Nog niet open zetten!! Ik ga de transcriptie die we al hebben er in stoppen.</t>
  </si>
  <si>
    <t>KB: 71 A-8</t>
  </si>
  <si>
    <t xml:space="preserve">Ja (Theo) </t>
  </si>
  <si>
    <t>18de eeuw; Noord-Holland</t>
  </si>
  <si>
    <t>???</t>
  </si>
  <si>
    <t>Ja, maar de laatste 100 niet doen</t>
  </si>
  <si>
    <t>18de eeuw; Philipinne; Zeeland</t>
  </si>
  <si>
    <t>1749_Loke_Smet_B</t>
  </si>
  <si>
    <t>De Smet, Nicolaes; De Clerc, Pieter; Boen, Jacobus; Staesens, Jacob Pieters</t>
  </si>
  <si>
    <t>Lokeren</t>
  </si>
  <si>
    <t>https://lib.ugent.be/nl/catalog/rug01:000993372?i=9&amp;q=kroniek&amp;type=manuscript</t>
  </si>
  <si>
    <t>Boekentoren, BHSL.HS.2914</t>
  </si>
  <si>
    <t>Oost-Vlaanderen; Lokeren</t>
  </si>
  <si>
    <t>1750_Brus_Anon</t>
  </si>
  <si>
    <t>ASB	  Archives historiques, Registre 2925</t>
  </si>
  <si>
    <t>1725-1750</t>
  </si>
  <si>
    <t>Verkeerde versie</t>
  </si>
  <si>
    <t>Zaadam</t>
  </si>
  <si>
    <t>nog niet open zetten!! Ik ga de transcriptie die we al hebben er in stoppen.</t>
  </si>
  <si>
    <t>Waasland</t>
  </si>
  <si>
    <t>Hs  II. 3617</t>
  </si>
  <si>
    <t>Oost-Vlaanderen; Waasland</t>
  </si>
  <si>
    <t>Erika model trainen en toepassen op basis van het 1e deel.</t>
  </si>
  <si>
    <t>Hs 19157</t>
  </si>
  <si>
    <t>p</t>
  </si>
  <si>
    <t>Hs  II. 3616</t>
  </si>
  <si>
    <t>1776_Hale_anon</t>
  </si>
  <si>
    <t>Halen</t>
  </si>
  <si>
    <t>Na 30 scans een model trainen</t>
  </si>
  <si>
    <t>Rijksarchief Hasselt</t>
  </si>
  <si>
    <t>Abdij van Rotem in Halen toegangsnummer 581, inv.nr. 2</t>
  </si>
  <si>
    <t>1792-1797</t>
  </si>
  <si>
    <t>Limburg (België)</t>
  </si>
  <si>
    <t>https://lib.ugent.be/nl/catalog/rug01:000765826?i=1&amp;q=kronijke&amp;type=manuscript</t>
  </si>
  <si>
    <t>Boekentoren, BIB.G.019834  v. 1 en 2</t>
  </si>
  <si>
    <t>1770-1787</t>
  </si>
  <si>
    <t>1789_Brus_Anon</t>
  </si>
  <si>
    <t>ASB Archives historiques, Registre 3106</t>
  </si>
  <si>
    <t>1787-1789</t>
  </si>
  <si>
    <t>1789_Gent_Call</t>
  </si>
  <si>
    <t>Erika model trainen en daarna openzetten.</t>
  </si>
  <si>
    <t>https://lib.ugent.be/nl/catalog/rug01:000765646?i=67&amp;q=kroniek&amp;type=manuscript</t>
  </si>
  <si>
    <t>1790_Brug_Doul</t>
  </si>
  <si>
    <t>Le Doulx, P.</t>
  </si>
  <si>
    <t>Model trainen na 30 scans</t>
  </si>
  <si>
    <t>Hs. 52</t>
  </si>
  <si>
    <t>1786-1790</t>
  </si>
  <si>
    <t>1791_Purm_Louw_01B</t>
  </si>
  <si>
    <t>7.10 staat bij de crowd</t>
  </si>
  <si>
    <t>https://noord-hollandsarchief.nl/bronnen/archieven?mivast=236&amp;mizig=210&amp;miadt=236&amp;micode=143&amp;milang=nl&amp;mizk_alle=louwen&amp;miview=inv2</t>
  </si>
  <si>
    <t>143 Louwen, A. Pietersz., Collectie van inv. nr. 18</t>
  </si>
  <si>
    <t>Moriëns, Egidius</t>
  </si>
  <si>
    <t>Brustem</t>
  </si>
  <si>
    <t>https://search.arch.be/nl/zoeken-naar-archieven/zoekresultaat/inventaris/index/zoekterm/kroniek/eadid/BE-A0515_110882_109609_DUT/inventarisnr/I1108821096091/level/file#c:0.c:0</t>
  </si>
  <si>
    <t>Parochie Brustem 2090 inv. nr. 1</t>
  </si>
  <si>
    <t>1805_Brus_Goet</t>
  </si>
  <si>
    <t>Goetval</t>
  </si>
  <si>
    <t>Oud Archief Ms 57</t>
  </si>
  <si>
    <t>Nummeren</t>
  </si>
  <si>
    <t>1807_Leuv_Pelc_02B</t>
  </si>
  <si>
    <t>stick Pelckmans</t>
  </si>
  <si>
    <t>Oud Archief Ms 59</t>
  </si>
  <si>
    <t>Oud Archief Ms 60</t>
  </si>
  <si>
    <t>Oud Archief Ms 61</t>
  </si>
  <si>
    <t>Oud Archief Ms 62</t>
  </si>
  <si>
    <t>Oud Archief Ms 63</t>
  </si>
  <si>
    <t>Oud Archief Ms 64</t>
  </si>
  <si>
    <t>Oud Archief Ms 65</t>
  </si>
  <si>
    <t>Oud Archief Ms 66</t>
  </si>
  <si>
    <t>Oud Archief Ms 67</t>
  </si>
  <si>
    <t>Staat bij de crowd</t>
  </si>
  <si>
    <t>Oud Archief Ms 68</t>
  </si>
  <si>
    <t>Oud Archief Ms 69</t>
  </si>
  <si>
    <t>Oud Archief Ms 70</t>
  </si>
  <si>
    <t>Oud Archief Ms 71</t>
  </si>
  <si>
    <t>1808_Gent_Call</t>
  </si>
  <si>
    <t>model klaar</t>
  </si>
  <si>
    <t>1783-1808</t>
  </si>
  <si>
    <t>Westhoek; West-Vlaanderen</t>
  </si>
  <si>
    <t>1815_Brus_Goet</t>
  </si>
  <si>
    <t>4 uur</t>
  </si>
  <si>
    <t>1817_Gent_Call</t>
  </si>
  <si>
    <t>1821_Brus_Goet</t>
  </si>
  <si>
    <t>Eerst model trainen op een eerder deel. Daarna openzetten</t>
  </si>
  <si>
    <t>1831_Gent_Call</t>
  </si>
  <si>
    <t>1835_Gent_Call</t>
  </si>
  <si>
    <t>1774-1854</t>
  </si>
  <si>
    <t>Filleul, Jan Baptiste</t>
  </si>
  <si>
    <t>Stadsfonds, 935 inv.nr. 31</t>
  </si>
  <si>
    <t>1719-1790</t>
  </si>
  <si>
    <t>1790-1813</t>
  </si>
  <si>
    <t>1813-1816</t>
  </si>
  <si>
    <t>1816-1821</t>
  </si>
  <si>
    <t>1821-1832</t>
  </si>
  <si>
    <t>1832-1846</t>
  </si>
  <si>
    <t>1846-1855</t>
  </si>
  <si>
    <t>Oplossing</t>
  </si>
  <si>
    <t>Nummering opgelost Theo</t>
  </si>
  <si>
    <t>staat op zn kop</t>
  </si>
  <si>
    <t>Batch 4. Staat klaar (Theo)</t>
  </si>
  <si>
    <t>Scan 101 zit op de verkeerde plek in VH. Wel al goed gezet in Transkribus</t>
  </si>
  <si>
    <t>Gaat mee met Batch 4. Nummering nu goed. Indexnummer is 1789_Gent_Call geworden</t>
  </si>
  <si>
    <t>Scan 100 zit op de verkeerde plek. VH. Wel al goed gezet in Transkribus</t>
  </si>
  <si>
    <t>Oude scans geupload. Nieuwe scans met Batch 4 mee</t>
  </si>
  <si>
    <t>Zaandam; Oostzaandam; 18de eeuw; Noord-Holland</t>
  </si>
  <si>
    <t>Jan de Boer</t>
  </si>
  <si>
    <t>opnieuw aanleveren</t>
  </si>
  <si>
    <t>PROJECT 1</t>
  </si>
  <si>
    <t>Callnummer</t>
  </si>
  <si>
    <t>In Transkribus Lite</t>
  </si>
  <si>
    <t>1794_Hoor_Veli_02</t>
  </si>
  <si>
    <t>Bijna klaar</t>
  </si>
  <si>
    <t>1769_Kate_Pols</t>
  </si>
  <si>
    <t xml:space="preserve">1855_Kort_Fill_02 </t>
  </si>
  <si>
    <t>Nog model draaien</t>
  </si>
  <si>
    <t>Klaar voor Transkribus Lite</t>
  </si>
  <si>
    <t>Scans de juiste status?</t>
  </si>
  <si>
    <t>Segmentatie klaar. Model kan gedraaid</t>
  </si>
  <si>
    <t>Nee, nog model draaien</t>
  </si>
  <si>
    <t>Dit is metname drukwerk wat nog gecontroleerd moet worden</t>
  </si>
  <si>
    <t>1618_Brus_Anon</t>
  </si>
  <si>
    <t>Is iets mis mee gegaan. In Transkribus veel minder scans dan VH. Uitzoeken</t>
  </si>
  <si>
    <t>1747_Phil_Over_New</t>
  </si>
  <si>
    <t>Voor Margot</t>
  </si>
  <si>
    <t>KLAAR</t>
  </si>
  <si>
    <t>1666_Gent_Bill_03B</t>
  </si>
  <si>
    <t>1752_Zaan_Kraa_GOED</t>
  </si>
  <si>
    <t>PROJECT 2</t>
  </si>
  <si>
    <t>1666_Gent_Bill_06B</t>
  </si>
  <si>
    <t>1797_Brug_Wall</t>
  </si>
  <si>
    <t>1798_Brug_Wall</t>
  </si>
  <si>
    <t>1799_Brug_Wall</t>
  </si>
  <si>
    <t>1800_Brug_Wall</t>
  </si>
  <si>
    <t>Nog niet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</si>
</sst>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h:mm"/>
    <numFmt numFmtId="165" formatCode="d\/mmm"/>
    <numFmt numFmtId="166" formatCode="mmm\/yy"/>
    <numFmt numFmtId="167" formatCode="d\/m\/yyyy"/>
  </numFmts>
  <fonts count="14" x14ac:knownFonts="1">
    <font>
      <sz val="10"/>
      <name val="Arial"/>
      <charset val="1"/>
    </font>
    <font>
      <sz val="11"/>
      <color rgb="FF000000"/>
      <name val="Calibri"/>
      <family val="2"/>
      <charset val="1"/>
    </font>
    <font>
      <sz val="10"/>
      <name val="Arial"/>
      <family val="2"/>
      <charset val="1"/>
    </font>
    <font>
      <b/>
      <sz val="11"/>
      <color rgb="FF000000"/>
      <name val="Calibri"/>
      <family val="2"/>
      <charset val="1"/>
    </font>
    <font>
      <sz val="11"/>
      <color rgb="FF9C0006"/>
      <name val="Calibri"/>
      <family val="2"/>
      <charset val="1"/>
    </font>
    <font>
      <sz val="11"/>
      <name val="Calibri"/>
      <family val="2"/>
      <charset val="1"/>
    </font>
    <font>
      <b/>
      <sz val="11"/>
      <name val="Calibri"/>
      <family val="2"/>
      <charset val="1"/>
    </font>
    <font>
      <sz val="11"/>
      <color rgb="FF006100"/>
      <name val="Calibri"/>
      <family val="2"/>
      <charset val="1"/>
    </font>
    <font>
      <sz val="10"/>
      <color rgb="FF000000"/>
      <name val="Arial"/>
      <family val="2"/>
      <charset val="1"/>
    </font>
    <font>
      <sz val="11"/>
      <color rgb="FFFF0000"/>
      <name val="Calibri"/>
      <family val="2"/>
      <charset val="1"/>
    </font>
    <font>
      <b/>
      <sz val="11"/>
      <color rgb="FFFF0000"/>
      <name val="Calibri"/>
      <family val="2"/>
      <charset val="1"/>
    </font>
    <font>
      <sz val="11"/>
      <color rgb="FF9C6500"/>
      <name val="Calibri"/>
      <family val="2"/>
      <charset val="1"/>
    </font>
    <font>
      <b/>
      <sz val="12"/>
      <color rgb="FF000000"/>
      <name val="Calibri"/>
      <family val="2"/>
      <charset val="1"/>
    </font>
    <font>
      <sz val="11"/>
      <color rgb="FF333333"/>
      <name val="Calibri"/>
      <family val="2"/>
      <charset val="1"/>
    </font>
  </fonts>
  <fills count="21">
    <fill>
      <patternFill patternType="none"/>
    </fill>
    <fill>
      <patternFill patternType="gray125"/>
    </fill>
    <fill>
      <patternFill patternType="solid">
        <fgColor rgb="FFFFC7CE"/>
        <bgColor rgb="FFF8CBAD"/>
      </patternFill>
    </fill>
    <fill>
      <patternFill patternType="solid">
        <fgColor rgb="FFC6EFCE"/>
        <bgColor rgb="FFC5E0B4"/>
      </patternFill>
    </fill>
    <fill>
      <patternFill patternType="solid">
        <fgColor rgb="FFC5E0B4"/>
        <bgColor rgb="FFB6D7A8"/>
      </patternFill>
    </fill>
    <fill>
      <patternFill patternType="solid">
        <fgColor rgb="FFFFFD59"/>
        <bgColor rgb="FFFFEB9C"/>
      </patternFill>
    </fill>
    <fill>
      <patternFill patternType="solid">
        <fgColor rgb="FFED7D31"/>
        <bgColor rgb="FFFF8080"/>
      </patternFill>
    </fill>
    <fill>
      <patternFill patternType="solid">
        <fgColor rgb="FFFF0000"/>
        <bgColor rgb="FF9C0006"/>
      </patternFill>
    </fill>
    <fill>
      <patternFill patternType="solid">
        <fgColor rgb="FF00FFFE"/>
        <bgColor rgb="FF00FFFF"/>
      </patternFill>
    </fill>
    <fill>
      <patternFill patternType="solid">
        <fgColor rgb="FFB4C7E7"/>
        <bgColor rgb="FF9FC5E8"/>
      </patternFill>
    </fill>
    <fill>
      <patternFill patternType="solid">
        <fgColor rgb="FFF8CBAD"/>
        <bgColor rgb="FFFFC7CE"/>
      </patternFill>
    </fill>
    <fill>
      <patternFill patternType="solid">
        <fgColor rgb="FFFFFF00"/>
        <bgColor rgb="FFFFFD59"/>
      </patternFill>
    </fill>
    <fill>
      <patternFill patternType="solid">
        <fgColor rgb="FF9FC5E8"/>
        <bgColor rgb="FFB4C7E7"/>
      </patternFill>
    </fill>
    <fill>
      <patternFill patternType="solid">
        <fgColor rgb="FFB6D7A8"/>
        <bgColor rgb="FFC5E0B4"/>
      </patternFill>
    </fill>
    <fill>
      <patternFill patternType="solid">
        <fgColor rgb="FF00FFFF"/>
        <bgColor rgb="FF00FFFE"/>
      </patternFill>
    </fill>
    <fill>
      <patternFill patternType="solid">
        <fgColor rgb="FF92D050"/>
        <bgColor rgb="FF70AD47"/>
      </patternFill>
    </fill>
    <fill>
      <patternFill patternType="solid">
        <fgColor rgb="FFFFFFFF"/>
        <bgColor rgb="FFFFF2CC"/>
      </patternFill>
    </fill>
    <fill>
      <patternFill patternType="solid">
        <fgColor rgb="FFFFEB9C"/>
        <bgColor rgb="FFFFF2CC"/>
      </patternFill>
    </fill>
    <fill>
      <patternFill patternType="solid">
        <fgColor rgb="FFF4B183"/>
        <bgColor rgb="FFF8CBAD"/>
      </patternFill>
    </fill>
    <fill>
      <patternFill patternType="solid">
        <fgColor rgb="FFFFF2CC"/>
        <bgColor rgb="FFFFEB9C"/>
      </patternFill>
    </fill>
    <fill>
      <patternFill patternType="solid">
        <fgColor rgb="FF70AD47"/>
        <bgColor rgb="FF92D050"/>
      </patternFill>
    </fill>
  </fills>
  <borders count="6">
    <border>
      <left/>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7">
    <xf numFmtId="0" fontId="0" fillId="0" borderId="0"/>
    <xf numFmtId="0" fontId="1" fillId="0" borderId="0" applyBorder="0" applyProtection="0"/>
    <xf numFmtId="0" fontId="2" fillId="0" borderId="0" applyBorder="0" applyProtection="0"/>
    <xf numFmtId="0" fontId="4" fillId="2" borderId="0" applyBorder="0" applyProtection="0"/>
    <xf numFmtId="0" fontId="4" fillId="2" borderId="0" applyBorder="0" applyProtection="0"/>
    <xf numFmtId="0" fontId="7" fillId="3" borderId="0" applyBorder="0" applyProtection="0"/>
    <xf numFmtId="0" fontId="4" fillId="2" borderId="0" applyBorder="0" applyProtection="0"/>
  </cellStyleXfs>
  <cellXfs count="133">
    <xf numFmtId="0" fontId="0" fillId="0" borderId="0" xfId="0"/>
    <xf numFmtId="0" fontId="1" fillId="0" borderId="0" xfId="1" applyBorder="1" applyProtection="1"/>
    <xf numFmtId="0" fontId="3" fillId="0" borderId="0" xfId="1" applyFont="1" applyBorder="1" applyProtection="1"/>
    <xf numFmtId="0" fontId="3" fillId="0" borderId="0" xfId="1" applyFont="1" applyBorder="1" applyAlignment="1" applyProtection="1">
      <alignment wrapText="1"/>
    </xf>
    <xf numFmtId="49" fontId="4" fillId="0" borderId="0" xfId="1" applyNumberFormat="1" applyFont="1" applyBorder="1" applyProtection="1"/>
    <xf numFmtId="0" fontId="4" fillId="2" borderId="0" xfId="3" applyBorder="1" applyProtection="1"/>
    <xf numFmtId="164" fontId="1" fillId="0" borderId="0" xfId="1" applyNumberFormat="1" applyBorder="1" applyProtection="1"/>
    <xf numFmtId="165" fontId="1" fillId="0" borderId="0" xfId="1" applyNumberFormat="1" applyBorder="1" applyProtection="1"/>
    <xf numFmtId="166" fontId="1" fillId="0" borderId="0" xfId="1" applyNumberFormat="1" applyBorder="1" applyProtection="1"/>
    <xf numFmtId="167" fontId="1" fillId="0" borderId="0" xfId="1" applyNumberFormat="1" applyBorder="1" applyProtection="1"/>
    <xf numFmtId="0" fontId="1" fillId="0" borderId="0" xfId="1" applyBorder="1" applyAlignment="1" applyProtection="1">
      <alignment horizontal="center"/>
    </xf>
    <xf numFmtId="0" fontId="1" fillId="0" borderId="0" xfId="1" applyBorder="1" applyAlignment="1" applyProtection="1">
      <alignment horizontal="center" vertical="center"/>
    </xf>
    <xf numFmtId="0" fontId="1" fillId="0" borderId="0" xfId="1" applyBorder="1" applyAlignment="1" applyProtection="1">
      <alignment horizontal="left" vertical="center"/>
    </xf>
    <xf numFmtId="0" fontId="5" fillId="0" borderId="0" xfId="1" applyFont="1" applyBorder="1" applyProtection="1"/>
    <xf numFmtId="0" fontId="3" fillId="0" borderId="0" xfId="1" applyFont="1" applyBorder="1" applyAlignment="1" applyProtection="1">
      <alignment horizontal="center" wrapText="1"/>
    </xf>
    <xf numFmtId="0" fontId="3" fillId="0" borderId="0" xfId="1" applyFont="1" applyBorder="1" applyAlignment="1" applyProtection="1">
      <alignment horizontal="center" vertical="center" wrapText="1"/>
    </xf>
    <xf numFmtId="0" fontId="3" fillId="0" borderId="0" xfId="1" applyFont="1" applyBorder="1" applyAlignment="1" applyProtection="1">
      <alignment horizontal="left" vertical="center"/>
    </xf>
    <xf numFmtId="0" fontId="6" fillId="0" borderId="0" xfId="1" applyFont="1" applyBorder="1" applyProtection="1"/>
    <xf numFmtId="0" fontId="1" fillId="4" borderId="0" xfId="1" applyFill="1" applyBorder="1" applyProtection="1"/>
    <xf numFmtId="0" fontId="1" fillId="4" borderId="0" xfId="1" applyFill="1" applyBorder="1" applyAlignment="1" applyProtection="1">
      <alignment horizontal="center"/>
    </xf>
    <xf numFmtId="0" fontId="1" fillId="4" borderId="0" xfId="1" applyFill="1" applyBorder="1" applyAlignment="1" applyProtection="1">
      <alignment horizontal="center" vertical="center"/>
    </xf>
    <xf numFmtId="0" fontId="1" fillId="4" borderId="0" xfId="1" applyFill="1" applyBorder="1" applyAlignment="1" applyProtection="1">
      <alignment horizontal="left" vertical="center"/>
    </xf>
    <xf numFmtId="0" fontId="0" fillId="4" borderId="0" xfId="0" applyFill="1" applyAlignment="1">
      <alignment horizontal="left" vertical="center"/>
    </xf>
    <xf numFmtId="0" fontId="1" fillId="5" borderId="0" xfId="1" applyFill="1" applyBorder="1" applyAlignment="1" applyProtection="1">
      <alignment horizontal="left" vertical="center"/>
    </xf>
    <xf numFmtId="0" fontId="1" fillId="0" borderId="0" xfId="4" applyFont="1" applyFill="1" applyBorder="1" applyAlignment="1" applyProtection="1">
      <alignment horizontal="center"/>
    </xf>
    <xf numFmtId="0" fontId="1" fillId="0" borderId="0" xfId="4" applyFont="1" applyFill="1" applyBorder="1" applyAlignment="1" applyProtection="1">
      <alignment horizontal="center" vertical="center"/>
    </xf>
    <xf numFmtId="0" fontId="1" fillId="6" borderId="0" xfId="1" applyFill="1" applyBorder="1" applyProtection="1"/>
    <xf numFmtId="0" fontId="5" fillId="4" borderId="0" xfId="1" applyFont="1" applyFill="1" applyBorder="1" applyProtection="1"/>
    <xf numFmtId="0" fontId="1" fillId="4" borderId="0" xfId="4" applyFont="1" applyFill="1" applyBorder="1" applyProtection="1"/>
    <xf numFmtId="0" fontId="1" fillId="5" borderId="0" xfId="1" applyFill="1" applyBorder="1" applyProtection="1"/>
    <xf numFmtId="0" fontId="1" fillId="0" borderId="0" xfId="5" applyFont="1" applyFill="1" applyBorder="1" applyProtection="1"/>
    <xf numFmtId="0" fontId="1" fillId="7" borderId="0" xfId="1" applyFill="1" applyBorder="1" applyProtection="1"/>
    <xf numFmtId="0" fontId="1" fillId="8" borderId="0" xfId="1" applyFill="1" applyBorder="1" applyAlignment="1" applyProtection="1">
      <alignment horizontal="center"/>
    </xf>
    <xf numFmtId="0" fontId="1" fillId="0" borderId="0" xfId="4" applyFont="1" applyFill="1" applyBorder="1" applyProtection="1"/>
    <xf numFmtId="0" fontId="1" fillId="9" borderId="0" xfId="1" applyFill="1" applyBorder="1" applyProtection="1"/>
    <xf numFmtId="0" fontId="1" fillId="9" borderId="0" xfId="1" applyFill="1" applyBorder="1" applyAlignment="1" applyProtection="1">
      <alignment wrapText="1"/>
    </xf>
    <xf numFmtId="0" fontId="1" fillId="9" borderId="0" xfId="1" applyFill="1" applyBorder="1" applyAlignment="1" applyProtection="1">
      <alignment horizontal="center" wrapText="1"/>
    </xf>
    <xf numFmtId="0" fontId="1" fillId="9" borderId="0" xfId="1" applyFill="1" applyBorder="1" applyAlignment="1" applyProtection="1">
      <alignment horizontal="center" vertical="center" wrapText="1"/>
    </xf>
    <xf numFmtId="0" fontId="1" fillId="9" borderId="0" xfId="1" applyFill="1" applyBorder="1" applyAlignment="1" applyProtection="1">
      <alignment horizontal="left" vertical="center"/>
    </xf>
    <xf numFmtId="0" fontId="5" fillId="9" borderId="0" xfId="1" applyFont="1" applyFill="1" applyBorder="1" applyProtection="1"/>
    <xf numFmtId="0" fontId="1" fillId="0" borderId="0" xfId="1" applyBorder="1" applyAlignment="1" applyProtection="1">
      <alignment wrapText="1"/>
    </xf>
    <xf numFmtId="0" fontId="0" fillId="9" borderId="0" xfId="0" applyFill="1"/>
    <xf numFmtId="0" fontId="1" fillId="4" borderId="0" xfId="4" applyFont="1" applyFill="1" applyBorder="1" applyAlignment="1" applyProtection="1">
      <alignment horizontal="center"/>
    </xf>
    <xf numFmtId="0" fontId="1" fillId="4" borderId="0" xfId="4" applyFont="1" applyFill="1" applyBorder="1" applyAlignment="1" applyProtection="1">
      <alignment horizontal="center" vertical="center"/>
    </xf>
    <xf numFmtId="164" fontId="1" fillId="4" borderId="0" xfId="1" applyNumberFormat="1" applyFill="1" applyBorder="1" applyProtection="1"/>
    <xf numFmtId="0" fontId="0" fillId="4" borderId="0" xfId="0" applyFill="1"/>
    <xf numFmtId="0" fontId="1" fillId="4" borderId="0" xfId="5" applyFont="1" applyFill="1" applyBorder="1" applyProtection="1"/>
    <xf numFmtId="0" fontId="1" fillId="10" borderId="0" xfId="1" applyFill="1" applyBorder="1" applyProtection="1"/>
    <xf numFmtId="0" fontId="1" fillId="4" borderId="0" xfId="1" applyFill="1" applyBorder="1" applyAlignment="1" applyProtection="1">
      <alignment horizontal="center" wrapText="1"/>
    </xf>
    <xf numFmtId="0" fontId="1" fillId="4" borderId="0" xfId="1" applyFill="1" applyBorder="1" applyAlignment="1" applyProtection="1">
      <alignment horizontal="center" vertical="center" wrapText="1"/>
    </xf>
    <xf numFmtId="0" fontId="5" fillId="11" borderId="0" xfId="1" applyFont="1" applyFill="1" applyBorder="1" applyProtection="1"/>
    <xf numFmtId="0" fontId="1" fillId="5" borderId="0" xfId="4" applyFont="1" applyFill="1" applyBorder="1" applyProtection="1"/>
    <xf numFmtId="0" fontId="5" fillId="5" borderId="0" xfId="1" applyFont="1" applyFill="1" applyBorder="1" applyProtection="1"/>
    <xf numFmtId="0" fontId="1" fillId="5" borderId="0" xfId="5" applyFont="1" applyFill="1" applyBorder="1" applyProtection="1"/>
    <xf numFmtId="0" fontId="1" fillId="4" borderId="0" xfId="3" applyFont="1" applyFill="1" applyBorder="1" applyProtection="1"/>
    <xf numFmtId="0" fontId="1" fillId="5" borderId="0" xfId="4" applyFont="1" applyFill="1" applyBorder="1" applyAlignment="1" applyProtection="1">
      <alignment horizontal="center"/>
    </xf>
    <xf numFmtId="0" fontId="1" fillId="5" borderId="0" xfId="4" applyFont="1" applyFill="1" applyBorder="1" applyAlignment="1" applyProtection="1">
      <alignment horizontal="center" vertical="center"/>
    </xf>
    <xf numFmtId="164" fontId="1" fillId="5" borderId="0" xfId="1" applyNumberFormat="1" applyFill="1" applyBorder="1" applyProtection="1"/>
    <xf numFmtId="0" fontId="1" fillId="12" borderId="0" xfId="1" applyFill="1" applyBorder="1" applyProtection="1"/>
    <xf numFmtId="0" fontId="1" fillId="12" borderId="0" xfId="4" applyFont="1" applyFill="1" applyBorder="1" applyAlignment="1" applyProtection="1">
      <alignment horizontal="center"/>
    </xf>
    <xf numFmtId="0" fontId="1" fillId="12" borderId="0" xfId="4" applyFont="1" applyFill="1" applyBorder="1" applyAlignment="1" applyProtection="1">
      <alignment horizontal="center" vertical="center"/>
    </xf>
    <xf numFmtId="0" fontId="1" fillId="12" borderId="0" xfId="1" applyFill="1" applyBorder="1" applyAlignment="1" applyProtection="1">
      <alignment horizontal="left" vertical="center"/>
    </xf>
    <xf numFmtId="0" fontId="1" fillId="9" borderId="0" xfId="1" applyFill="1" applyBorder="1" applyAlignment="1" applyProtection="1">
      <alignment horizontal="center"/>
    </xf>
    <xf numFmtId="0" fontId="1" fillId="9" borderId="0" xfId="1" applyFill="1" applyBorder="1" applyAlignment="1" applyProtection="1">
      <alignment horizontal="center" vertical="center"/>
    </xf>
    <xf numFmtId="0" fontId="1" fillId="11" borderId="0" xfId="1" applyFill="1" applyBorder="1" applyAlignment="1" applyProtection="1">
      <alignment horizontal="center"/>
    </xf>
    <xf numFmtId="0" fontId="1" fillId="5" borderId="0" xfId="1" applyFill="1" applyBorder="1" applyAlignment="1" applyProtection="1">
      <alignment horizontal="center"/>
    </xf>
    <xf numFmtId="0" fontId="1" fillId="5" borderId="0" xfId="1" applyFill="1" applyBorder="1" applyAlignment="1" applyProtection="1">
      <alignment horizontal="center" vertical="center"/>
    </xf>
    <xf numFmtId="0" fontId="1" fillId="8" borderId="0" xfId="4" applyFont="1" applyFill="1" applyBorder="1" applyAlignment="1" applyProtection="1">
      <alignment horizontal="center"/>
    </xf>
    <xf numFmtId="0" fontId="1" fillId="0" borderId="0" xfId="4" applyFont="1" applyFill="1" applyBorder="1" applyAlignment="1" applyProtection="1">
      <alignment horizontal="left" vertical="center"/>
    </xf>
    <xf numFmtId="0" fontId="1" fillId="6" borderId="0" xfId="4" applyFont="1" applyFill="1" applyBorder="1" applyProtection="1"/>
    <xf numFmtId="0" fontId="5" fillId="0" borderId="0" xfId="4" applyFont="1" applyFill="1" applyBorder="1" applyProtection="1"/>
    <xf numFmtId="0" fontId="1" fillId="0" borderId="0" xfId="3" applyFont="1" applyFill="1" applyBorder="1" applyProtection="1"/>
    <xf numFmtId="0" fontId="1" fillId="4" borderId="0" xfId="4" applyFont="1" applyFill="1" applyBorder="1" applyAlignment="1" applyProtection="1">
      <alignment horizontal="left" vertical="center"/>
    </xf>
    <xf numFmtId="0" fontId="1" fillId="11" borderId="0" xfId="1" applyFill="1" applyBorder="1" applyAlignment="1" applyProtection="1">
      <alignment horizontal="left" vertical="center"/>
    </xf>
    <xf numFmtId="0" fontId="5" fillId="0" borderId="0" xfId="5" applyFont="1" applyFill="1" applyBorder="1" applyProtection="1"/>
    <xf numFmtId="0" fontId="1" fillId="8" borderId="0" xfId="1" applyFill="1" applyBorder="1" applyAlignment="1" applyProtection="1">
      <alignment horizontal="left" vertical="center"/>
    </xf>
    <xf numFmtId="0" fontId="5" fillId="0" borderId="0" xfId="3" applyFont="1" applyFill="1" applyBorder="1" applyProtection="1"/>
    <xf numFmtId="0" fontId="1" fillId="13" borderId="0" xfId="1" applyFill="1" applyBorder="1" applyAlignment="1" applyProtection="1">
      <alignment horizontal="left" vertical="center"/>
    </xf>
    <xf numFmtId="0" fontId="1" fillId="11" borderId="0" xfId="1" applyFill="1" applyBorder="1" applyProtection="1"/>
    <xf numFmtId="0" fontId="8" fillId="0" borderId="0" xfId="2" applyFont="1" applyBorder="1" applyAlignment="1" applyProtection="1">
      <alignment wrapText="1"/>
    </xf>
    <xf numFmtId="0" fontId="1" fillId="13" borderId="0" xfId="4" applyFont="1" applyFill="1" applyBorder="1" applyAlignment="1" applyProtection="1">
      <alignment horizontal="center"/>
    </xf>
    <xf numFmtId="0" fontId="5" fillId="0" borderId="0" xfId="4" applyFont="1" applyFill="1" applyBorder="1" applyAlignment="1" applyProtection="1">
      <alignment horizontal="center"/>
    </xf>
    <xf numFmtId="0" fontId="5" fillId="0" borderId="0" xfId="4" applyFont="1" applyFill="1" applyBorder="1" applyAlignment="1" applyProtection="1">
      <alignment horizontal="center" vertical="center"/>
    </xf>
    <xf numFmtId="0" fontId="5" fillId="6" borderId="0" xfId="1" applyFont="1" applyFill="1" applyBorder="1" applyProtection="1"/>
    <xf numFmtId="0" fontId="1" fillId="14" borderId="0" xfId="1" applyFill="1" applyBorder="1" applyAlignment="1" applyProtection="1">
      <alignment horizontal="center"/>
    </xf>
    <xf numFmtId="0" fontId="1" fillId="14" borderId="0" xfId="4" applyFont="1" applyFill="1" applyBorder="1" applyAlignment="1" applyProtection="1">
      <alignment horizontal="center"/>
    </xf>
    <xf numFmtId="0" fontId="1" fillId="9" borderId="0" xfId="4" applyFont="1" applyFill="1" applyBorder="1" applyProtection="1"/>
    <xf numFmtId="0" fontId="1" fillId="9" borderId="0" xfId="4" applyFont="1" applyFill="1" applyBorder="1" applyAlignment="1" applyProtection="1">
      <alignment horizontal="center"/>
    </xf>
    <xf numFmtId="0" fontId="1" fillId="9" borderId="0" xfId="4" applyFont="1" applyFill="1" applyBorder="1" applyAlignment="1" applyProtection="1">
      <alignment horizontal="center" vertical="center"/>
    </xf>
    <xf numFmtId="0" fontId="1" fillId="9" borderId="0" xfId="4" applyFont="1" applyFill="1" applyBorder="1" applyAlignment="1" applyProtection="1">
      <alignment horizontal="left" vertical="center"/>
    </xf>
    <xf numFmtId="164" fontId="1" fillId="9" borderId="0" xfId="1" applyNumberFormat="1" applyFill="1" applyBorder="1" applyProtection="1"/>
    <xf numFmtId="0" fontId="9" fillId="0" borderId="0" xfId="1" applyFont="1" applyBorder="1" applyProtection="1"/>
    <xf numFmtId="0" fontId="10" fillId="0" borderId="0" xfId="1" applyFont="1" applyBorder="1" applyProtection="1"/>
    <xf numFmtId="0" fontId="1" fillId="15" borderId="0" xfId="1" applyFill="1" applyBorder="1" applyProtection="1"/>
    <xf numFmtId="0" fontId="9" fillId="15" borderId="0" xfId="1" applyFont="1" applyFill="1" applyBorder="1" applyProtection="1"/>
    <xf numFmtId="0" fontId="4" fillId="0" borderId="0" xfId="4" applyFill="1" applyBorder="1" applyProtection="1"/>
    <xf numFmtId="0" fontId="9" fillId="0" borderId="0" xfId="6" applyFont="1" applyFill="1" applyBorder="1" applyProtection="1"/>
    <xf numFmtId="0" fontId="4" fillId="2" borderId="0" xfId="6" applyBorder="1" applyProtection="1"/>
    <xf numFmtId="0" fontId="1" fillId="16" borderId="1" xfId="1" applyFill="1" applyBorder="1" applyProtection="1"/>
    <xf numFmtId="0" fontId="1" fillId="16" borderId="0" xfId="1" applyFill="1" applyBorder="1" applyProtection="1"/>
    <xf numFmtId="0" fontId="4" fillId="2" borderId="0" xfId="4" applyBorder="1" applyProtection="1"/>
    <xf numFmtId="0" fontId="11" fillId="17" borderId="0" xfId="6" applyFont="1" applyFill="1" applyBorder="1" applyProtection="1"/>
    <xf numFmtId="0" fontId="7" fillId="0" borderId="0" xfId="1" applyFont="1" applyBorder="1" applyProtection="1"/>
    <xf numFmtId="0" fontId="1" fillId="0" borderId="1" xfId="1" applyBorder="1" applyProtection="1"/>
    <xf numFmtId="0" fontId="1" fillId="18" borderId="0" xfId="1" applyFill="1" applyBorder="1" applyProtection="1"/>
    <xf numFmtId="49" fontId="1" fillId="0" borderId="0" xfId="1" applyNumberFormat="1" applyBorder="1" applyProtection="1"/>
    <xf numFmtId="0" fontId="1" fillId="6" borderId="0" xfId="1" applyFill="1" applyBorder="1" applyAlignment="1" applyProtection="1">
      <alignment vertical="distributed" wrapText="1"/>
    </xf>
    <xf numFmtId="0" fontId="7" fillId="3" borderId="0" xfId="5" applyBorder="1" applyProtection="1"/>
    <xf numFmtId="0" fontId="1" fillId="15" borderId="0" xfId="1" applyFill="1" applyBorder="1" applyAlignment="1" applyProtection="1">
      <alignment wrapText="1"/>
    </xf>
    <xf numFmtId="0" fontId="5" fillId="11" borderId="0" xfId="4" applyFont="1" applyFill="1" applyBorder="1" applyProtection="1"/>
    <xf numFmtId="0" fontId="5" fillId="15" borderId="0" xfId="4" applyFont="1" applyFill="1" applyBorder="1" applyProtection="1"/>
    <xf numFmtId="0" fontId="1" fillId="0" borderId="2" xfId="1" applyBorder="1" applyProtection="1"/>
    <xf numFmtId="0" fontId="1" fillId="19" borderId="0" xfId="1" applyFill="1" applyBorder="1" applyProtection="1"/>
    <xf numFmtId="0" fontId="1" fillId="19" borderId="3" xfId="1" applyFill="1" applyBorder="1" applyProtection="1"/>
    <xf numFmtId="0" fontId="1" fillId="19" borderId="4" xfId="1" applyFill="1" applyBorder="1" applyProtection="1"/>
    <xf numFmtId="164" fontId="1" fillId="19" borderId="0" xfId="1" applyNumberFormat="1" applyFill="1" applyBorder="1" applyProtection="1"/>
    <xf numFmtId="0" fontId="7" fillId="19" borderId="0" xfId="5" applyFill="1" applyBorder="1" applyProtection="1"/>
    <xf numFmtId="0" fontId="1" fillId="0" borderId="5" xfId="1" applyBorder="1" applyProtection="1"/>
    <xf numFmtId="0" fontId="5" fillId="6" borderId="0" xfId="4" applyFont="1" applyFill="1" applyBorder="1" applyProtection="1"/>
    <xf numFmtId="0" fontId="5" fillId="19" borderId="0" xfId="4" applyFont="1" applyFill="1" applyBorder="1" applyProtection="1"/>
    <xf numFmtId="0" fontId="7" fillId="0" borderId="0" xfId="5" applyFill="1" applyBorder="1" applyProtection="1"/>
    <xf numFmtId="0" fontId="1" fillId="15" borderId="0" xfId="4" applyFont="1" applyFill="1" applyBorder="1" applyProtection="1"/>
    <xf numFmtId="0" fontId="5" fillId="9" borderId="0" xfId="4" applyFont="1" applyFill="1" applyBorder="1" applyProtection="1"/>
    <xf numFmtId="0" fontId="5" fillId="15" borderId="0" xfId="6" applyFont="1" applyFill="1" applyBorder="1" applyProtection="1"/>
    <xf numFmtId="0" fontId="4" fillId="6" borderId="0" xfId="4" applyFill="1" applyBorder="1" applyProtection="1"/>
    <xf numFmtId="0" fontId="1" fillId="20" borderId="0" xfId="1" applyFill="1" applyBorder="1" applyProtection="1"/>
    <xf numFmtId="0" fontId="4" fillId="18" borderId="0" xfId="4" applyFill="1" applyBorder="1" applyProtection="1"/>
    <xf numFmtId="0" fontId="1" fillId="15" borderId="0" xfId="1" applyFill="1" applyBorder="1" applyAlignment="1" applyProtection="1">
      <alignment vertical="distributed" wrapText="1"/>
    </xf>
    <xf numFmtId="0" fontId="1" fillId="20" borderId="0" xfId="1" applyFill="1" applyBorder="1" applyAlignment="1" applyProtection="1">
      <alignment vertical="distributed" wrapText="1"/>
    </xf>
    <xf numFmtId="0" fontId="1" fillId="15" borderId="0" xfId="1" applyFill="1" applyBorder="1" applyAlignment="1" applyProtection="1">
      <alignment horizontal="center"/>
    </xf>
    <xf numFmtId="0" fontId="12" fillId="0" borderId="0" xfId="1" applyFont="1" applyBorder="1" applyProtection="1"/>
    <xf numFmtId="0" fontId="13" fillId="0" borderId="0" xfId="1" applyFont="1" applyBorder="1" applyProtection="1"/>
    <xf numFmtId="0" fontId="1" fillId="0" borderId="0" xfId="1" applyBorder="1" applyAlignment="1" applyProtection="1">
      <alignment horizontal="left" wrapText="1"/>
    </xf>
  </cellXfs>
  <cellStyles count="7">
    <cellStyle name="Default 1" xfId="1" xr:uid="{00000000-0005-0000-0000-000006000000}"/>
    <cellStyle name="Default 2" xfId="2" xr:uid="{00000000-0005-0000-0000-000007000000}"/>
    <cellStyle name="Excel Built-in Bad" xfId="4" xr:uid="{00000000-0005-0000-0000-000009000000}"/>
    <cellStyle name="Excel Built-in Bad 1" xfId="3" xr:uid="{00000000-0005-0000-0000-000008000000}"/>
    <cellStyle name="Excel Built-in Explanatory Text" xfId="6" xr:uid="{00000000-0005-0000-0000-00000B000000}"/>
    <cellStyle name="Excel Built-in Good" xfId="5" xr:uid="{00000000-0005-0000-0000-00000A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4C7E7"/>
      <rgbColor rgb="FF808080"/>
      <rgbColor rgb="FF9999FF"/>
      <rgbColor rgb="FF993366"/>
      <rgbColor rgb="FFFFF2CC"/>
      <rgbColor rgb="FFB6D7A8"/>
      <rgbColor rgb="FF660066"/>
      <rgbColor rgb="FFFF8080"/>
      <rgbColor rgb="FF0066CC"/>
      <rgbColor rgb="FFC5E0B4"/>
      <rgbColor rgb="FF000080"/>
      <rgbColor rgb="FFFF00FF"/>
      <rgbColor rgb="FFFFFD59"/>
      <rgbColor rgb="FF00FFFE"/>
      <rgbColor rgb="FF800080"/>
      <rgbColor rgb="FF800000"/>
      <rgbColor rgb="FF008080"/>
      <rgbColor rgb="FF0000FF"/>
      <rgbColor rgb="FF00CCFF"/>
      <rgbColor rgb="FFCCFFFF"/>
      <rgbColor rgb="FFC6EFCE"/>
      <rgbColor rgb="FFFFEB9C"/>
      <rgbColor rgb="FF9FC5E8"/>
      <rgbColor rgb="FFF4B183"/>
      <rgbColor rgb="FFFFC7CE"/>
      <rgbColor rgb="FFF8CBAD"/>
      <rgbColor rgb="FF3366FF"/>
      <rgbColor rgb="FF33CCCC"/>
      <rgbColor rgb="FF92D050"/>
      <rgbColor rgb="FFFFCC00"/>
      <rgbColor rgb="FFFF9900"/>
      <rgbColor rgb="FFED7D31"/>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opLeftCell="X16" zoomScaleNormal="100" workbookViewId="0">
      <selection activeCell="X16" sqref="X16"/>
    </sheetView>
  </sheetViews>
  <sheetFormatPr baseColWidth="10" defaultColWidth="162.5" defaultRowHeight="15" x14ac:dyDescent="0.2"/>
  <cols>
    <col min="1" max="1" width="200.6640625" style="1" customWidth="1"/>
  </cols>
  <sheetData>
    <row r="1" spans="1:11" ht="16" x14ac:dyDescent="0.2">
      <c r="A1" s="2" t="s">
        <v>0</v>
      </c>
      <c r="B1" s="2" t="s">
        <v>1</v>
      </c>
      <c r="C1" s="2" t="s">
        <v>2</v>
      </c>
      <c r="D1" s="3" t="s">
        <v>3</v>
      </c>
      <c r="E1" s="3" t="s">
        <v>4</v>
      </c>
      <c r="F1" s="2" t="s">
        <v>5</v>
      </c>
      <c r="G1" s="2" t="s">
        <v>6</v>
      </c>
      <c r="H1" s="2" t="s">
        <v>7</v>
      </c>
      <c r="I1" s="2" t="s">
        <v>8</v>
      </c>
      <c r="J1" s="2" t="s">
        <v>9</v>
      </c>
      <c r="K1" s="2" t="s">
        <v>10</v>
      </c>
    </row>
    <row r="2" spans="1:11" x14ac:dyDescent="0.2">
      <c r="A2" s="1" t="s">
        <v>11</v>
      </c>
      <c r="B2" s="1" t="s">
        <v>12</v>
      </c>
      <c r="C2" s="1" t="s">
        <v>13</v>
      </c>
      <c r="D2" s="1">
        <v>1575</v>
      </c>
      <c r="E2" s="1">
        <v>3</v>
      </c>
      <c r="F2" s="1">
        <v>99</v>
      </c>
      <c r="H2" s="1" t="s">
        <v>14</v>
      </c>
      <c r="I2" s="1" t="s">
        <v>15</v>
      </c>
      <c r="J2" s="1" t="s">
        <v>16</v>
      </c>
    </row>
    <row r="3" spans="1:11" x14ac:dyDescent="0.2">
      <c r="A3" s="1" t="s">
        <v>17</v>
      </c>
      <c r="B3" s="1" t="s">
        <v>18</v>
      </c>
      <c r="C3" s="1" t="s">
        <v>19</v>
      </c>
      <c r="D3" s="1" t="s">
        <v>20</v>
      </c>
      <c r="E3" s="1">
        <v>1</v>
      </c>
      <c r="F3" s="1">
        <v>15</v>
      </c>
      <c r="H3" s="1" t="s">
        <v>21</v>
      </c>
      <c r="I3" s="1" t="s">
        <v>22</v>
      </c>
      <c r="J3" s="1" t="s">
        <v>23</v>
      </c>
    </row>
    <row r="4" spans="1:11" x14ac:dyDescent="0.2">
      <c r="A4" s="1" t="s">
        <v>24</v>
      </c>
      <c r="B4" s="1" t="s">
        <v>25</v>
      </c>
      <c r="C4" s="1" t="s">
        <v>26</v>
      </c>
      <c r="D4" s="1">
        <v>1604</v>
      </c>
      <c r="E4" s="1">
        <v>3</v>
      </c>
      <c r="F4" s="1">
        <v>135</v>
      </c>
      <c r="H4" s="1" t="s">
        <v>27</v>
      </c>
      <c r="I4" s="1" t="s">
        <v>28</v>
      </c>
      <c r="J4" s="1" t="s">
        <v>29</v>
      </c>
    </row>
    <row r="5" spans="1:11" x14ac:dyDescent="0.2">
      <c r="A5" s="1" t="s">
        <v>30</v>
      </c>
      <c r="B5" s="1" t="s">
        <v>31</v>
      </c>
      <c r="C5" s="1" t="s">
        <v>32</v>
      </c>
      <c r="D5" s="1" t="s">
        <v>20</v>
      </c>
      <c r="E5" s="1">
        <v>1</v>
      </c>
      <c r="F5" s="1">
        <v>34</v>
      </c>
      <c r="H5" s="1" t="s">
        <v>33</v>
      </c>
      <c r="I5" s="1" t="s">
        <v>34</v>
      </c>
      <c r="J5" s="1" t="s">
        <v>35</v>
      </c>
    </row>
    <row r="6" spans="1:11" x14ac:dyDescent="0.2">
      <c r="A6" s="1" t="s">
        <v>36</v>
      </c>
      <c r="B6" s="1" t="s">
        <v>37</v>
      </c>
      <c r="C6" s="1" t="s">
        <v>38</v>
      </c>
      <c r="D6" s="1">
        <v>1652</v>
      </c>
      <c r="E6" s="1">
        <v>3</v>
      </c>
      <c r="F6" s="1">
        <v>76</v>
      </c>
      <c r="H6" s="1" t="s">
        <v>39</v>
      </c>
      <c r="I6" s="1" t="s">
        <v>15</v>
      </c>
      <c r="J6" s="1" t="s">
        <v>40</v>
      </c>
    </row>
    <row r="7" spans="1:11" x14ac:dyDescent="0.2">
      <c r="A7" s="1" t="s">
        <v>41</v>
      </c>
      <c r="B7" s="1" t="s">
        <v>31</v>
      </c>
      <c r="C7" s="1" t="s">
        <v>32</v>
      </c>
      <c r="D7" s="1">
        <v>1658</v>
      </c>
      <c r="E7" s="1">
        <v>3</v>
      </c>
      <c r="F7" s="1">
        <v>38</v>
      </c>
      <c r="H7" s="1" t="s">
        <v>33</v>
      </c>
      <c r="I7" s="1" t="s">
        <v>34</v>
      </c>
      <c r="J7" s="1" t="s">
        <v>42</v>
      </c>
    </row>
    <row r="8" spans="1:11" x14ac:dyDescent="0.2">
      <c r="A8" s="1" t="s">
        <v>43</v>
      </c>
      <c r="B8" s="1" t="s">
        <v>44</v>
      </c>
      <c r="C8" s="1" t="s">
        <v>45</v>
      </c>
      <c r="D8" s="1" t="s">
        <v>20</v>
      </c>
      <c r="E8" s="1">
        <v>2</v>
      </c>
      <c r="F8" s="1">
        <v>106</v>
      </c>
      <c r="H8" s="1" t="s">
        <v>33</v>
      </c>
      <c r="I8" s="1" t="s">
        <v>34</v>
      </c>
      <c r="J8" s="1" t="s">
        <v>46</v>
      </c>
    </row>
    <row r="9" spans="1:11" x14ac:dyDescent="0.2">
      <c r="A9" s="1" t="s">
        <v>47</v>
      </c>
      <c r="B9" s="1" t="s">
        <v>48</v>
      </c>
      <c r="C9" s="1" t="s">
        <v>49</v>
      </c>
      <c r="D9" s="1" t="s">
        <v>20</v>
      </c>
      <c r="E9" s="1">
        <v>1</v>
      </c>
      <c r="F9" s="1">
        <v>253</v>
      </c>
      <c r="G9" s="1" t="s">
        <v>50</v>
      </c>
      <c r="H9" s="1" t="s">
        <v>33</v>
      </c>
      <c r="I9" s="1" t="s">
        <v>34</v>
      </c>
      <c r="J9" s="1" t="s">
        <v>51</v>
      </c>
    </row>
    <row r="10" spans="1:11" x14ac:dyDescent="0.2">
      <c r="A10" s="1" t="s">
        <v>52</v>
      </c>
      <c r="B10" s="1" t="s">
        <v>53</v>
      </c>
      <c r="C10" s="1" t="s">
        <v>54</v>
      </c>
      <c r="D10" s="1">
        <v>1678</v>
      </c>
      <c r="E10" s="1">
        <v>3</v>
      </c>
      <c r="F10" s="1">
        <v>100</v>
      </c>
      <c r="G10" s="1" t="s">
        <v>55</v>
      </c>
      <c r="H10" s="1" t="s">
        <v>56</v>
      </c>
      <c r="I10" s="1" t="s">
        <v>22</v>
      </c>
      <c r="J10" s="1" t="s">
        <v>57</v>
      </c>
    </row>
    <row r="11" spans="1:11" x14ac:dyDescent="0.2">
      <c r="A11" s="1" t="s">
        <v>58</v>
      </c>
      <c r="B11" s="1" t="s">
        <v>25</v>
      </c>
      <c r="C11" s="1" t="s">
        <v>59</v>
      </c>
      <c r="D11" s="1">
        <v>1690</v>
      </c>
      <c r="E11" s="1">
        <v>3</v>
      </c>
      <c r="F11" s="1">
        <v>39</v>
      </c>
      <c r="H11" s="1" t="s">
        <v>33</v>
      </c>
      <c r="I11" s="1" t="s">
        <v>34</v>
      </c>
      <c r="J11" s="1" t="s">
        <v>60</v>
      </c>
    </row>
    <row r="12" spans="1:11" x14ac:dyDescent="0.2">
      <c r="A12" s="1" t="s">
        <v>61</v>
      </c>
      <c r="B12" s="1" t="s">
        <v>62</v>
      </c>
      <c r="C12" s="1" t="s">
        <v>63</v>
      </c>
      <c r="D12" s="1">
        <v>1713</v>
      </c>
      <c r="E12" s="1">
        <v>2</v>
      </c>
      <c r="F12" s="1">
        <v>32</v>
      </c>
      <c r="H12" s="1" t="s">
        <v>64</v>
      </c>
      <c r="I12" s="1" t="s">
        <v>65</v>
      </c>
      <c r="J12" s="1" t="s">
        <v>66</v>
      </c>
    </row>
    <row r="13" spans="1:11" x14ac:dyDescent="0.2">
      <c r="A13" s="1" t="s">
        <v>67</v>
      </c>
      <c r="B13" s="1" t="s">
        <v>25</v>
      </c>
      <c r="C13" s="1" t="s">
        <v>68</v>
      </c>
      <c r="D13" s="1">
        <v>1716</v>
      </c>
      <c r="E13" s="1">
        <v>3</v>
      </c>
      <c r="F13" s="1">
        <v>99</v>
      </c>
      <c r="H13" s="1" t="s">
        <v>69</v>
      </c>
      <c r="I13" s="1" t="s">
        <v>70</v>
      </c>
      <c r="J13" s="1" t="s">
        <v>71</v>
      </c>
      <c r="K13" s="1" t="s">
        <v>72</v>
      </c>
    </row>
    <row r="14" spans="1:11" x14ac:dyDescent="0.2">
      <c r="A14" s="1" t="s">
        <v>73</v>
      </c>
      <c r="B14" s="1" t="s">
        <v>74</v>
      </c>
      <c r="C14" s="1" t="s">
        <v>75</v>
      </c>
      <c r="D14" s="1">
        <v>1747</v>
      </c>
      <c r="E14" s="1">
        <v>1</v>
      </c>
      <c r="F14" s="1">
        <v>255</v>
      </c>
      <c r="G14" s="1">
        <v>158</v>
      </c>
      <c r="H14" s="1" t="s">
        <v>76</v>
      </c>
      <c r="I14" s="1" t="s">
        <v>77</v>
      </c>
      <c r="J14" s="1" t="s">
        <v>78</v>
      </c>
    </row>
    <row r="15" spans="1:11" x14ac:dyDescent="0.2">
      <c r="A15" s="1" t="s">
        <v>79</v>
      </c>
      <c r="B15" s="1" t="s">
        <v>25</v>
      </c>
      <c r="C15" s="1" t="s">
        <v>80</v>
      </c>
      <c r="D15" s="1">
        <v>1749</v>
      </c>
      <c r="E15" s="1">
        <v>1</v>
      </c>
      <c r="F15" s="1">
        <v>181</v>
      </c>
      <c r="G15" s="1">
        <v>113</v>
      </c>
      <c r="H15" s="1" t="s">
        <v>81</v>
      </c>
      <c r="I15" s="1" t="s">
        <v>65</v>
      </c>
      <c r="J15" s="1" t="s">
        <v>82</v>
      </c>
    </row>
    <row r="16" spans="1:11" x14ac:dyDescent="0.2">
      <c r="A16" s="1" t="s">
        <v>83</v>
      </c>
      <c r="B16" s="1" t="s">
        <v>84</v>
      </c>
      <c r="C16" s="1" t="s">
        <v>85</v>
      </c>
      <c r="D16" s="1">
        <v>1749</v>
      </c>
      <c r="E16" s="1">
        <v>1</v>
      </c>
      <c r="F16" s="1">
        <v>47</v>
      </c>
      <c r="H16" s="1" t="s">
        <v>33</v>
      </c>
      <c r="I16" s="1" t="s">
        <v>34</v>
      </c>
    </row>
    <row r="17" spans="1:11" x14ac:dyDescent="0.2">
      <c r="A17" s="1" t="s">
        <v>86</v>
      </c>
      <c r="B17" s="1" t="s">
        <v>87</v>
      </c>
      <c r="C17" s="1" t="s">
        <v>88</v>
      </c>
      <c r="D17" s="1">
        <v>1753</v>
      </c>
      <c r="E17" s="1">
        <v>3</v>
      </c>
      <c r="F17" s="1">
        <v>188</v>
      </c>
      <c r="H17" s="1" t="s">
        <v>89</v>
      </c>
      <c r="I17" s="1" t="s">
        <v>90</v>
      </c>
      <c r="J17" s="1" t="s">
        <v>91</v>
      </c>
    </row>
    <row r="18" spans="1:11" x14ac:dyDescent="0.2">
      <c r="A18" s="1" t="s">
        <v>92</v>
      </c>
      <c r="B18" s="1" t="s">
        <v>25</v>
      </c>
      <c r="C18" s="1" t="s">
        <v>93</v>
      </c>
      <c r="D18" s="1">
        <v>1755</v>
      </c>
      <c r="E18" s="1">
        <v>3</v>
      </c>
      <c r="F18" s="1">
        <v>191</v>
      </c>
      <c r="H18" s="1" t="s">
        <v>94</v>
      </c>
      <c r="I18" s="1" t="s">
        <v>95</v>
      </c>
      <c r="K18" s="1" t="s">
        <v>96</v>
      </c>
    </row>
    <row r="19" spans="1:11" x14ac:dyDescent="0.2">
      <c r="A19" s="1" t="s">
        <v>97</v>
      </c>
      <c r="B19" s="1" t="s">
        <v>25</v>
      </c>
      <c r="C19" s="1" t="s">
        <v>98</v>
      </c>
      <c r="D19" s="1">
        <v>1758</v>
      </c>
      <c r="E19" s="1">
        <v>1</v>
      </c>
      <c r="F19" s="1">
        <v>129</v>
      </c>
      <c r="H19" s="1" t="s">
        <v>81</v>
      </c>
      <c r="I19" s="1" t="s">
        <v>65</v>
      </c>
      <c r="J19" s="1" t="s">
        <v>99</v>
      </c>
    </row>
    <row r="20" spans="1:11" x14ac:dyDescent="0.2">
      <c r="A20" s="1" t="s">
        <v>100</v>
      </c>
      <c r="B20" s="1" t="s">
        <v>25</v>
      </c>
      <c r="C20" s="1" t="s">
        <v>101</v>
      </c>
      <c r="D20" s="1">
        <v>1762</v>
      </c>
      <c r="E20" s="1">
        <v>1</v>
      </c>
      <c r="F20" s="1">
        <v>42</v>
      </c>
      <c r="G20" s="1">
        <v>76</v>
      </c>
      <c r="H20" s="1" t="s">
        <v>81</v>
      </c>
      <c r="I20" s="1" t="s">
        <v>65</v>
      </c>
      <c r="J20" s="1" t="s">
        <v>102</v>
      </c>
    </row>
    <row r="21" spans="1:11" x14ac:dyDescent="0.2">
      <c r="A21" s="1" t="s">
        <v>103</v>
      </c>
      <c r="B21" s="1" t="s">
        <v>104</v>
      </c>
      <c r="C21" s="1" t="s">
        <v>105</v>
      </c>
      <c r="D21" s="1">
        <v>1772</v>
      </c>
      <c r="E21" s="1">
        <v>1</v>
      </c>
      <c r="F21" s="1">
        <v>289</v>
      </c>
      <c r="G21" s="1" t="s">
        <v>106</v>
      </c>
      <c r="H21" s="1" t="s">
        <v>76</v>
      </c>
      <c r="I21" s="1" t="s">
        <v>107</v>
      </c>
      <c r="J21" s="1" t="s">
        <v>108</v>
      </c>
    </row>
    <row r="22" spans="1:11" x14ac:dyDescent="0.2">
      <c r="A22" s="1" t="s">
        <v>109</v>
      </c>
      <c r="B22" s="1" t="s">
        <v>110</v>
      </c>
      <c r="C22" s="1" t="s">
        <v>111</v>
      </c>
      <c r="D22" s="1">
        <v>1789</v>
      </c>
      <c r="E22" s="1">
        <v>1</v>
      </c>
      <c r="F22" s="1">
        <v>47</v>
      </c>
      <c r="G22" s="1" t="s">
        <v>112</v>
      </c>
      <c r="H22" s="1" t="s">
        <v>113</v>
      </c>
      <c r="I22" s="1" t="s">
        <v>114</v>
      </c>
    </row>
    <row r="23" spans="1:11" x14ac:dyDescent="0.2">
      <c r="A23" s="1" t="s">
        <v>115</v>
      </c>
      <c r="B23" s="1" t="s">
        <v>116</v>
      </c>
      <c r="C23" s="1" t="s">
        <v>117</v>
      </c>
      <c r="D23" s="1">
        <v>1791</v>
      </c>
      <c r="E23" s="1">
        <v>1</v>
      </c>
      <c r="F23" s="1">
        <v>674</v>
      </c>
      <c r="H23" s="1" t="s">
        <v>118</v>
      </c>
      <c r="I23" s="1" t="s">
        <v>15</v>
      </c>
    </row>
    <row r="24" spans="1:11" x14ac:dyDescent="0.2">
      <c r="A24" s="1" t="s">
        <v>119</v>
      </c>
      <c r="B24" s="1" t="s">
        <v>25</v>
      </c>
      <c r="C24" s="1" t="s">
        <v>120</v>
      </c>
      <c r="D24" s="1">
        <v>1793</v>
      </c>
      <c r="E24" s="1">
        <v>1</v>
      </c>
      <c r="F24" s="1">
        <v>97</v>
      </c>
      <c r="H24" s="1" t="s">
        <v>121</v>
      </c>
      <c r="I24" s="1" t="s">
        <v>122</v>
      </c>
      <c r="J24" s="1">
        <v>1793</v>
      </c>
    </row>
    <row r="25" spans="1:11" x14ac:dyDescent="0.2">
      <c r="A25" s="1" t="s">
        <v>123</v>
      </c>
      <c r="B25" s="1" t="s">
        <v>124</v>
      </c>
      <c r="C25" s="1" t="s">
        <v>125</v>
      </c>
      <c r="D25" s="1">
        <v>1794</v>
      </c>
      <c r="E25" s="1">
        <v>1</v>
      </c>
      <c r="F25" s="1">
        <v>697</v>
      </c>
      <c r="G25" s="1">
        <v>2046</v>
      </c>
      <c r="H25" s="1" t="s">
        <v>14</v>
      </c>
      <c r="I25" s="1" t="s">
        <v>15</v>
      </c>
      <c r="J25" s="1" t="s">
        <v>126</v>
      </c>
    </row>
    <row r="26" spans="1:11" x14ac:dyDescent="0.2">
      <c r="A26" s="1" t="s">
        <v>127</v>
      </c>
      <c r="B26" s="1" t="s">
        <v>128</v>
      </c>
      <c r="C26" s="1" t="s">
        <v>129</v>
      </c>
      <c r="D26" s="1">
        <v>1795</v>
      </c>
      <c r="E26" s="1">
        <v>1</v>
      </c>
      <c r="F26" s="1">
        <v>19</v>
      </c>
      <c r="H26" s="1" t="s">
        <v>130</v>
      </c>
      <c r="I26" s="1" t="s">
        <v>131</v>
      </c>
      <c r="K26" s="1" t="s">
        <v>132</v>
      </c>
    </row>
    <row r="27" spans="1:11" x14ac:dyDescent="0.2">
      <c r="A27" s="1" t="s">
        <v>133</v>
      </c>
      <c r="B27" s="1" t="s">
        <v>25</v>
      </c>
      <c r="C27" s="1" t="s">
        <v>134</v>
      </c>
      <c r="D27" s="1">
        <v>1795</v>
      </c>
      <c r="E27" s="1">
        <v>1</v>
      </c>
      <c r="F27" s="1">
        <v>217</v>
      </c>
      <c r="G27" s="1">
        <v>400</v>
      </c>
      <c r="H27" s="1" t="s">
        <v>81</v>
      </c>
      <c r="I27" s="1" t="s">
        <v>65</v>
      </c>
    </row>
    <row r="28" spans="1:11" x14ac:dyDescent="0.2">
      <c r="A28" s="1" t="s">
        <v>135</v>
      </c>
      <c r="B28" s="1" t="s">
        <v>136</v>
      </c>
      <c r="C28" s="1" t="s">
        <v>137</v>
      </c>
      <c r="D28" s="1">
        <v>1750</v>
      </c>
      <c r="E28" s="1">
        <v>1</v>
      </c>
      <c r="F28" s="1">
        <v>235</v>
      </c>
      <c r="G28" s="1" t="s">
        <v>138</v>
      </c>
      <c r="H28" s="1" t="s">
        <v>139</v>
      </c>
      <c r="I28" s="1" t="s">
        <v>65</v>
      </c>
      <c r="J28" s="1" t="s">
        <v>140</v>
      </c>
      <c r="K28" s="1" t="s">
        <v>141</v>
      </c>
    </row>
    <row r="29" spans="1:11" x14ac:dyDescent="0.2">
      <c r="A29" s="1" t="s">
        <v>142</v>
      </c>
      <c r="B29" s="1" t="s">
        <v>143</v>
      </c>
      <c r="C29" s="1" t="s">
        <v>144</v>
      </c>
      <c r="D29" s="1">
        <v>1805</v>
      </c>
      <c r="E29" s="1">
        <v>1</v>
      </c>
      <c r="F29" s="1">
        <v>157</v>
      </c>
      <c r="G29" s="1">
        <v>138</v>
      </c>
      <c r="H29" s="1" t="s">
        <v>145</v>
      </c>
      <c r="I29" s="1" t="s">
        <v>15</v>
      </c>
      <c r="J29" s="1" t="s">
        <v>146</v>
      </c>
    </row>
    <row r="30" spans="1:11" x14ac:dyDescent="0.2">
      <c r="A30" s="1" t="s">
        <v>147</v>
      </c>
      <c r="B30" s="1" t="s">
        <v>148</v>
      </c>
      <c r="C30" s="1" t="s">
        <v>149</v>
      </c>
      <c r="D30" s="1">
        <v>1813</v>
      </c>
      <c r="E30" s="1">
        <v>1</v>
      </c>
      <c r="F30" s="1">
        <v>185</v>
      </c>
      <c r="G30" s="1">
        <v>350</v>
      </c>
      <c r="H30" s="1" t="s">
        <v>150</v>
      </c>
      <c r="I30" s="1" t="s">
        <v>151</v>
      </c>
      <c r="J30" s="1" t="s">
        <v>152</v>
      </c>
    </row>
    <row r="31" spans="1:11" x14ac:dyDescent="0.2">
      <c r="A31" s="1" t="s">
        <v>153</v>
      </c>
      <c r="B31" s="1" t="s">
        <v>154</v>
      </c>
      <c r="C31" s="1" t="s">
        <v>155</v>
      </c>
      <c r="D31" s="1">
        <v>1814</v>
      </c>
      <c r="E31" s="1">
        <v>1</v>
      </c>
      <c r="F31" s="1">
        <v>33</v>
      </c>
      <c r="G31" s="1">
        <v>50</v>
      </c>
      <c r="H31" s="1" t="s">
        <v>156</v>
      </c>
      <c r="I31" s="1" t="s">
        <v>151</v>
      </c>
      <c r="J31" s="1" t="s">
        <v>157</v>
      </c>
    </row>
    <row r="32" spans="1:11" x14ac:dyDescent="0.2">
      <c r="A32" s="1" t="s">
        <v>158</v>
      </c>
      <c r="B32" s="1" t="s">
        <v>159</v>
      </c>
      <c r="C32" s="1" t="s">
        <v>160</v>
      </c>
      <c r="D32" s="1">
        <v>1818</v>
      </c>
      <c r="E32" s="1">
        <v>1</v>
      </c>
      <c r="F32" s="1">
        <v>41</v>
      </c>
      <c r="H32" s="1" t="s">
        <v>161</v>
      </c>
      <c r="I32" s="1" t="s">
        <v>15</v>
      </c>
      <c r="J32" s="1" t="s">
        <v>162</v>
      </c>
    </row>
    <row r="33" spans="1:11" x14ac:dyDescent="0.2">
      <c r="A33" s="1" t="s">
        <v>163</v>
      </c>
      <c r="B33" s="1" t="s">
        <v>164</v>
      </c>
      <c r="C33" s="1" t="s">
        <v>165</v>
      </c>
      <c r="D33" s="1">
        <v>1841</v>
      </c>
      <c r="E33" s="1">
        <v>2</v>
      </c>
      <c r="F33" s="1">
        <v>49</v>
      </c>
      <c r="H33" s="1" t="s">
        <v>166</v>
      </c>
      <c r="I33" s="1" t="s">
        <v>167</v>
      </c>
      <c r="J33" s="1" t="s">
        <v>168</v>
      </c>
      <c r="K33" s="1" t="s">
        <v>169</v>
      </c>
    </row>
    <row r="34" spans="1:11" x14ac:dyDescent="0.2">
      <c r="F34" s="2">
        <f>SUM(F2:F33)</f>
        <v>4799</v>
      </c>
    </row>
    <row r="37" spans="1:11" x14ac:dyDescent="0.2">
      <c r="A37" s="4"/>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7"/>
  <sheetViews>
    <sheetView topLeftCell="A18" zoomScaleNormal="100" workbookViewId="0">
      <selection activeCell="A18" sqref="A18"/>
    </sheetView>
  </sheetViews>
  <sheetFormatPr baseColWidth="10" defaultColWidth="162.5" defaultRowHeight="15" x14ac:dyDescent="0.2"/>
  <cols>
    <col min="1" max="1" width="286.6640625" style="1" customWidth="1"/>
    <col min="3" max="3" width="213.5" style="1" customWidth="1"/>
  </cols>
  <sheetData>
    <row r="1" spans="1:9" x14ac:dyDescent="0.2">
      <c r="A1" s="2" t="s">
        <v>0</v>
      </c>
      <c r="B1" s="2" t="s">
        <v>1</v>
      </c>
      <c r="C1" s="2" t="s">
        <v>2</v>
      </c>
      <c r="D1" s="2" t="s">
        <v>3</v>
      </c>
      <c r="E1" s="2" t="s">
        <v>170</v>
      </c>
      <c r="F1" s="2" t="s">
        <v>4</v>
      </c>
      <c r="G1" s="2" t="s">
        <v>7</v>
      </c>
      <c r="H1" s="2" t="s">
        <v>8</v>
      </c>
      <c r="I1" s="2" t="s">
        <v>171</v>
      </c>
    </row>
    <row r="2" spans="1:9" x14ac:dyDescent="0.2">
      <c r="A2" s="1" t="s">
        <v>172</v>
      </c>
      <c r="B2" s="1" t="s">
        <v>173</v>
      </c>
      <c r="C2" s="1" t="s">
        <v>174</v>
      </c>
      <c r="D2" s="1">
        <v>1496</v>
      </c>
      <c r="E2" s="1">
        <v>636</v>
      </c>
      <c r="F2" s="1">
        <v>3</v>
      </c>
      <c r="G2" s="1" t="s">
        <v>175</v>
      </c>
      <c r="H2" s="1" t="s">
        <v>176</v>
      </c>
      <c r="I2" s="1" t="s">
        <v>177</v>
      </c>
    </row>
    <row r="3" spans="1:9" x14ac:dyDescent="0.2">
      <c r="A3" s="1" t="s">
        <v>178</v>
      </c>
      <c r="B3" s="1" t="s">
        <v>179</v>
      </c>
      <c r="C3" s="1" t="s">
        <v>180</v>
      </c>
      <c r="D3" s="1">
        <v>1623</v>
      </c>
      <c r="E3" s="1">
        <v>102</v>
      </c>
      <c r="F3" s="1">
        <v>3</v>
      </c>
      <c r="G3" s="1" t="s">
        <v>130</v>
      </c>
      <c r="H3" s="1" t="s">
        <v>181</v>
      </c>
      <c r="I3" s="1" t="s">
        <v>182</v>
      </c>
    </row>
    <row r="4" spans="1:9" x14ac:dyDescent="0.2">
      <c r="A4" s="1" t="s">
        <v>183</v>
      </c>
      <c r="B4" s="1" t="s">
        <v>25</v>
      </c>
      <c r="C4" s="1" t="s">
        <v>184</v>
      </c>
      <c r="D4" s="1">
        <v>1643</v>
      </c>
      <c r="E4" s="1">
        <v>64</v>
      </c>
      <c r="F4" s="1">
        <v>3</v>
      </c>
      <c r="G4" s="1" t="s">
        <v>185</v>
      </c>
      <c r="H4" s="1" t="s">
        <v>186</v>
      </c>
      <c r="I4" s="1" t="s">
        <v>187</v>
      </c>
    </row>
    <row r="5" spans="1:9" x14ac:dyDescent="0.2">
      <c r="A5" s="1" t="s">
        <v>188</v>
      </c>
      <c r="B5" s="1" t="s">
        <v>25</v>
      </c>
      <c r="C5" s="1" t="s">
        <v>189</v>
      </c>
      <c r="D5" s="1">
        <v>1657</v>
      </c>
      <c r="E5" s="1">
        <v>88</v>
      </c>
      <c r="F5" s="1">
        <v>3</v>
      </c>
      <c r="G5" s="1" t="s">
        <v>190</v>
      </c>
      <c r="H5" s="1" t="s">
        <v>191</v>
      </c>
      <c r="I5" s="1" t="s">
        <v>192</v>
      </c>
    </row>
    <row r="6" spans="1:9" x14ac:dyDescent="0.2">
      <c r="A6" s="1" t="s">
        <v>193</v>
      </c>
      <c r="B6" s="1" t="s">
        <v>194</v>
      </c>
      <c r="C6" s="1" t="s">
        <v>195</v>
      </c>
      <c r="D6" s="1">
        <v>1665</v>
      </c>
      <c r="E6" s="1">
        <v>259</v>
      </c>
      <c r="F6" s="1">
        <v>3</v>
      </c>
      <c r="G6" s="1" t="s">
        <v>190</v>
      </c>
      <c r="H6" s="1" t="s">
        <v>196</v>
      </c>
      <c r="I6" s="1" t="s">
        <v>197</v>
      </c>
    </row>
    <row r="7" spans="1:9" x14ac:dyDescent="0.2">
      <c r="A7" s="1" t="s">
        <v>198</v>
      </c>
      <c r="B7" s="1" t="s">
        <v>199</v>
      </c>
      <c r="C7" s="1" t="s">
        <v>200</v>
      </c>
      <c r="D7" s="1">
        <v>1666</v>
      </c>
      <c r="E7" s="1">
        <v>199</v>
      </c>
      <c r="F7" s="1">
        <v>3</v>
      </c>
      <c r="G7" s="1" t="s">
        <v>201</v>
      </c>
      <c r="H7" s="1" t="s">
        <v>202</v>
      </c>
      <c r="I7" s="1" t="s">
        <v>203</v>
      </c>
    </row>
    <row r="8" spans="1:9" x14ac:dyDescent="0.2">
      <c r="A8" s="1" t="s">
        <v>204</v>
      </c>
      <c r="B8" s="1" t="s">
        <v>199</v>
      </c>
      <c r="C8" s="1" t="s">
        <v>205</v>
      </c>
      <c r="D8" s="1">
        <v>1668</v>
      </c>
      <c r="E8" s="1">
        <v>190</v>
      </c>
      <c r="F8" s="1">
        <v>3</v>
      </c>
      <c r="G8" s="1" t="s">
        <v>201</v>
      </c>
      <c r="H8" s="1" t="s">
        <v>202</v>
      </c>
      <c r="I8" s="1" t="s">
        <v>203</v>
      </c>
    </row>
    <row r="9" spans="1:9" x14ac:dyDescent="0.2">
      <c r="A9" s="1" t="s">
        <v>206</v>
      </c>
      <c r="B9" s="1" t="s">
        <v>199</v>
      </c>
      <c r="C9" s="1" t="s">
        <v>207</v>
      </c>
      <c r="D9" s="1">
        <v>1668</v>
      </c>
      <c r="E9" s="1">
        <v>198</v>
      </c>
      <c r="F9" s="1">
        <v>3</v>
      </c>
      <c r="G9" s="1" t="s">
        <v>201</v>
      </c>
      <c r="H9" s="1" t="s">
        <v>202</v>
      </c>
      <c r="I9" s="1" t="s">
        <v>203</v>
      </c>
    </row>
    <row r="10" spans="1:9" x14ac:dyDescent="0.2">
      <c r="A10" s="1" t="s">
        <v>208</v>
      </c>
      <c r="B10" s="1" t="s">
        <v>199</v>
      </c>
      <c r="C10" s="1" t="s">
        <v>209</v>
      </c>
      <c r="D10" s="1">
        <v>1668</v>
      </c>
      <c r="E10" s="1">
        <v>193</v>
      </c>
      <c r="F10" s="1">
        <v>3</v>
      </c>
      <c r="G10" s="1" t="s">
        <v>201</v>
      </c>
      <c r="H10" s="1" t="s">
        <v>202</v>
      </c>
      <c r="I10" s="1" t="s">
        <v>203</v>
      </c>
    </row>
    <row r="11" spans="1:9" x14ac:dyDescent="0.2">
      <c r="A11" s="1" t="s">
        <v>210</v>
      </c>
      <c r="B11" s="1" t="s">
        <v>199</v>
      </c>
      <c r="C11" s="1" t="s">
        <v>211</v>
      </c>
      <c r="D11" s="1">
        <v>1668</v>
      </c>
      <c r="E11" s="1">
        <v>191</v>
      </c>
      <c r="F11" s="1">
        <v>3</v>
      </c>
      <c r="G11" s="1" t="s">
        <v>201</v>
      </c>
      <c r="H11" s="1" t="s">
        <v>202</v>
      </c>
      <c r="I11" s="1" t="s">
        <v>203</v>
      </c>
    </row>
    <row r="12" spans="1:9" x14ac:dyDescent="0.2">
      <c r="A12" s="1" t="s">
        <v>212</v>
      </c>
      <c r="B12" s="1" t="s">
        <v>199</v>
      </c>
      <c r="C12" s="1" t="s">
        <v>213</v>
      </c>
      <c r="D12" s="1">
        <v>1668</v>
      </c>
      <c r="E12" s="1">
        <v>193</v>
      </c>
      <c r="F12" s="1">
        <v>3</v>
      </c>
      <c r="G12" s="1" t="s">
        <v>201</v>
      </c>
      <c r="H12" s="1" t="s">
        <v>202</v>
      </c>
      <c r="I12" s="1" t="s">
        <v>203</v>
      </c>
    </row>
    <row r="13" spans="1:9" x14ac:dyDescent="0.2">
      <c r="A13" s="1" t="s">
        <v>214</v>
      </c>
      <c r="B13" s="1" t="s">
        <v>199</v>
      </c>
      <c r="C13" s="1" t="s">
        <v>215</v>
      </c>
      <c r="D13" s="1">
        <v>1668</v>
      </c>
      <c r="E13" s="1">
        <v>193</v>
      </c>
      <c r="F13" s="1">
        <v>3</v>
      </c>
      <c r="G13" s="1" t="s">
        <v>201</v>
      </c>
      <c r="H13" s="1" t="s">
        <v>202</v>
      </c>
      <c r="I13" s="1" t="s">
        <v>203</v>
      </c>
    </row>
    <row r="14" spans="1:9" x14ac:dyDescent="0.2">
      <c r="A14" s="1" t="s">
        <v>216</v>
      </c>
      <c r="B14" s="1" t="s">
        <v>199</v>
      </c>
      <c r="C14" s="1" t="s">
        <v>217</v>
      </c>
      <c r="D14" s="1">
        <v>1668</v>
      </c>
      <c r="E14" s="1">
        <v>193</v>
      </c>
      <c r="F14" s="1">
        <v>3</v>
      </c>
      <c r="G14" s="1" t="s">
        <v>201</v>
      </c>
      <c r="H14" s="1" t="s">
        <v>202</v>
      </c>
      <c r="I14" s="1" t="s">
        <v>203</v>
      </c>
    </row>
    <row r="15" spans="1:9" x14ac:dyDescent="0.2">
      <c r="A15" s="1" t="s">
        <v>218</v>
      </c>
      <c r="B15" s="1" t="s">
        <v>199</v>
      </c>
      <c r="C15" s="1" t="s">
        <v>219</v>
      </c>
      <c r="D15" s="1">
        <v>1668</v>
      </c>
      <c r="E15" s="1">
        <v>265</v>
      </c>
      <c r="F15" s="1">
        <v>3</v>
      </c>
      <c r="G15" s="1" t="s">
        <v>201</v>
      </c>
      <c r="H15" s="1" t="s">
        <v>202</v>
      </c>
      <c r="I15" s="1" t="s">
        <v>203</v>
      </c>
    </row>
    <row r="16" spans="1:9" x14ac:dyDescent="0.2">
      <c r="A16" s="1" t="s">
        <v>220</v>
      </c>
      <c r="B16" s="1" t="s">
        <v>221</v>
      </c>
      <c r="C16" s="1" t="s">
        <v>222</v>
      </c>
      <c r="D16" s="1">
        <v>1675</v>
      </c>
      <c r="E16" s="1">
        <v>35</v>
      </c>
      <c r="F16" s="1">
        <v>3</v>
      </c>
      <c r="G16" s="1" t="s">
        <v>223</v>
      </c>
      <c r="H16" s="1" t="s">
        <v>224</v>
      </c>
      <c r="I16" s="1" t="s">
        <v>225</v>
      </c>
    </row>
    <row r="17" spans="1:9" x14ac:dyDescent="0.2">
      <c r="A17" s="1" t="s">
        <v>226</v>
      </c>
      <c r="B17" s="1" t="s">
        <v>227</v>
      </c>
      <c r="C17" s="1" t="s">
        <v>228</v>
      </c>
      <c r="D17" s="1">
        <v>1713</v>
      </c>
      <c r="E17" s="1">
        <v>172</v>
      </c>
      <c r="F17" s="1">
        <v>3</v>
      </c>
      <c r="G17" s="1" t="s">
        <v>229</v>
      </c>
      <c r="H17" s="1" t="s">
        <v>230</v>
      </c>
      <c r="I17" s="1" t="s">
        <v>231</v>
      </c>
    </row>
    <row r="18" spans="1:9" x14ac:dyDescent="0.2">
      <c r="A18" s="1" t="s">
        <v>232</v>
      </c>
      <c r="B18" s="1" t="s">
        <v>25</v>
      </c>
      <c r="C18" s="1" t="s">
        <v>233</v>
      </c>
      <c r="D18" s="1">
        <v>1719</v>
      </c>
      <c r="E18" s="1">
        <v>151</v>
      </c>
      <c r="F18" s="1">
        <v>3</v>
      </c>
      <c r="G18" s="1" t="s">
        <v>81</v>
      </c>
      <c r="H18" s="1" t="s">
        <v>65</v>
      </c>
      <c r="I18" s="1" t="s">
        <v>234</v>
      </c>
    </row>
    <row r="19" spans="1:9" x14ac:dyDescent="0.2">
      <c r="A19" s="1" t="s">
        <v>235</v>
      </c>
      <c r="B19" s="1" t="s">
        <v>25</v>
      </c>
      <c r="C19" s="1" t="s">
        <v>236</v>
      </c>
      <c r="D19" s="1">
        <v>1721</v>
      </c>
      <c r="E19" s="1">
        <v>34</v>
      </c>
      <c r="F19" s="1">
        <v>1</v>
      </c>
      <c r="G19" s="1" t="s">
        <v>185</v>
      </c>
      <c r="H19" s="1" t="s">
        <v>186</v>
      </c>
      <c r="I19" s="1" t="s">
        <v>237</v>
      </c>
    </row>
    <row r="20" spans="1:9" x14ac:dyDescent="0.2">
      <c r="A20" s="1" t="s">
        <v>238</v>
      </c>
      <c r="B20" s="1" t="s">
        <v>239</v>
      </c>
      <c r="C20" s="1" t="s">
        <v>240</v>
      </c>
      <c r="D20" s="1">
        <v>1725</v>
      </c>
      <c r="E20" s="1">
        <v>14</v>
      </c>
      <c r="F20" s="1">
        <v>1</v>
      </c>
      <c r="G20" s="1" t="s">
        <v>185</v>
      </c>
      <c r="H20" s="1" t="s">
        <v>186</v>
      </c>
      <c r="I20" s="1" t="s">
        <v>241</v>
      </c>
    </row>
    <row r="21" spans="1:9" x14ac:dyDescent="0.2">
      <c r="A21" s="1" t="s">
        <v>242</v>
      </c>
      <c r="B21" s="1" t="s">
        <v>243</v>
      </c>
      <c r="C21" s="1" t="s">
        <v>244</v>
      </c>
      <c r="D21" s="1">
        <v>1850</v>
      </c>
      <c r="E21" s="1">
        <v>63</v>
      </c>
      <c r="F21" s="1">
        <v>1</v>
      </c>
      <c r="G21" s="1" t="s">
        <v>245</v>
      </c>
      <c r="H21" s="1" t="s">
        <v>246</v>
      </c>
      <c r="I21" s="1" t="s">
        <v>247</v>
      </c>
    </row>
    <row r="22" spans="1:9" x14ac:dyDescent="0.2">
      <c r="A22" s="1" t="s">
        <v>248</v>
      </c>
      <c r="B22" s="1" t="s">
        <v>249</v>
      </c>
      <c r="C22" s="1" t="s">
        <v>250</v>
      </c>
      <c r="D22" s="1">
        <v>1745</v>
      </c>
      <c r="E22" s="1">
        <v>360</v>
      </c>
      <c r="F22" s="1">
        <v>1</v>
      </c>
      <c r="G22" s="1" t="s">
        <v>229</v>
      </c>
      <c r="H22" s="1" t="s">
        <v>230</v>
      </c>
      <c r="I22" s="1" t="s">
        <v>251</v>
      </c>
    </row>
    <row r="23" spans="1:9" x14ac:dyDescent="0.2">
      <c r="A23" s="1" t="s">
        <v>252</v>
      </c>
      <c r="B23" s="1" t="s">
        <v>253</v>
      </c>
      <c r="C23" s="1" t="s">
        <v>254</v>
      </c>
      <c r="D23" s="1">
        <v>1751</v>
      </c>
      <c r="E23" s="1">
        <v>128</v>
      </c>
      <c r="F23" s="1">
        <v>1</v>
      </c>
      <c r="G23" s="1" t="s">
        <v>229</v>
      </c>
      <c r="H23" s="1" t="s">
        <v>230</v>
      </c>
      <c r="I23" s="1" t="s">
        <v>255</v>
      </c>
    </row>
    <row r="24" spans="1:9" x14ac:dyDescent="0.2">
      <c r="A24" s="1" t="s">
        <v>256</v>
      </c>
      <c r="B24" s="1" t="s">
        <v>257</v>
      </c>
      <c r="C24" s="1" t="s">
        <v>258</v>
      </c>
      <c r="D24" s="1">
        <v>1752</v>
      </c>
      <c r="E24" s="1">
        <v>76</v>
      </c>
      <c r="F24" s="1">
        <v>1</v>
      </c>
      <c r="G24" s="1" t="s">
        <v>150</v>
      </c>
      <c r="H24" s="1" t="s">
        <v>259</v>
      </c>
      <c r="I24" s="1" t="s">
        <v>260</v>
      </c>
    </row>
    <row r="25" spans="1:9" x14ac:dyDescent="0.2">
      <c r="A25" s="1" t="s">
        <v>261</v>
      </c>
      <c r="B25" s="1" t="s">
        <v>25</v>
      </c>
      <c r="C25" s="1" t="s">
        <v>262</v>
      </c>
      <c r="D25" s="1">
        <v>1753</v>
      </c>
      <c r="E25" s="1">
        <v>23</v>
      </c>
      <c r="F25" s="1">
        <v>3</v>
      </c>
      <c r="G25" s="1" t="s">
        <v>185</v>
      </c>
      <c r="H25" s="1" t="s">
        <v>186</v>
      </c>
      <c r="I25" s="1" t="s">
        <v>263</v>
      </c>
    </row>
    <row r="26" spans="1:9" x14ac:dyDescent="0.2">
      <c r="A26" s="1" t="s">
        <v>264</v>
      </c>
      <c r="B26" s="1" t="s">
        <v>265</v>
      </c>
      <c r="C26" s="1" t="s">
        <v>266</v>
      </c>
      <c r="D26" s="1">
        <v>1755</v>
      </c>
      <c r="E26" s="1">
        <v>205</v>
      </c>
      <c r="F26" s="1">
        <v>1</v>
      </c>
      <c r="G26" s="1" t="s">
        <v>14</v>
      </c>
      <c r="H26" s="1" t="s">
        <v>267</v>
      </c>
      <c r="I26" s="1" t="s">
        <v>268</v>
      </c>
    </row>
    <row r="27" spans="1:9" x14ac:dyDescent="0.2">
      <c r="A27" s="1" t="s">
        <v>269</v>
      </c>
      <c r="B27" s="1" t="s">
        <v>25</v>
      </c>
      <c r="C27" s="1" t="s">
        <v>270</v>
      </c>
      <c r="D27" s="1">
        <v>1766</v>
      </c>
      <c r="E27" s="1">
        <v>232</v>
      </c>
      <c r="F27" s="1">
        <v>3</v>
      </c>
      <c r="G27" s="1" t="s">
        <v>190</v>
      </c>
      <c r="H27" s="1" t="s">
        <v>196</v>
      </c>
      <c r="I27" s="1" t="s">
        <v>271</v>
      </c>
    </row>
    <row r="28" spans="1:9" x14ac:dyDescent="0.2">
      <c r="A28" s="1" t="s">
        <v>272</v>
      </c>
      <c r="B28" s="1" t="s">
        <v>273</v>
      </c>
      <c r="C28" s="1" t="s">
        <v>274</v>
      </c>
      <c r="D28" s="1">
        <v>1776</v>
      </c>
      <c r="E28" s="1">
        <v>129</v>
      </c>
      <c r="F28" s="1">
        <v>2</v>
      </c>
      <c r="G28" s="1" t="s">
        <v>190</v>
      </c>
      <c r="H28" s="1" t="s">
        <v>196</v>
      </c>
      <c r="I28" s="1" t="s">
        <v>275</v>
      </c>
    </row>
    <row r="29" spans="1:9" x14ac:dyDescent="0.2">
      <c r="A29" s="1" t="s">
        <v>276</v>
      </c>
      <c r="B29" s="1" t="s">
        <v>273</v>
      </c>
      <c r="C29" s="1" t="s">
        <v>277</v>
      </c>
      <c r="D29" s="1">
        <v>1776</v>
      </c>
      <c r="E29" s="1">
        <v>179</v>
      </c>
      <c r="F29" s="1">
        <v>2</v>
      </c>
      <c r="G29" s="1" t="s">
        <v>190</v>
      </c>
      <c r="H29" s="1" t="s">
        <v>196</v>
      </c>
      <c r="I29" s="1" t="s">
        <v>275</v>
      </c>
    </row>
    <row r="30" spans="1:9" x14ac:dyDescent="0.2">
      <c r="A30" s="1" t="s">
        <v>278</v>
      </c>
      <c r="B30" s="1" t="s">
        <v>273</v>
      </c>
      <c r="C30" s="1" t="s">
        <v>279</v>
      </c>
      <c r="D30" s="1">
        <v>1776</v>
      </c>
      <c r="E30" s="1">
        <v>93</v>
      </c>
      <c r="F30" s="1">
        <v>2</v>
      </c>
      <c r="G30" s="1" t="s">
        <v>190</v>
      </c>
      <c r="H30" s="1" t="s">
        <v>196</v>
      </c>
      <c r="I30" s="1" t="s">
        <v>275</v>
      </c>
    </row>
    <row r="31" spans="1:9" x14ac:dyDescent="0.2">
      <c r="A31" s="1" t="s">
        <v>280</v>
      </c>
      <c r="B31" s="1" t="s">
        <v>273</v>
      </c>
      <c r="C31" s="1" t="s">
        <v>281</v>
      </c>
      <c r="D31" s="1">
        <v>1776</v>
      </c>
      <c r="E31" s="1">
        <v>96</v>
      </c>
      <c r="F31" s="1">
        <v>2</v>
      </c>
      <c r="G31" s="1" t="s">
        <v>190</v>
      </c>
      <c r="H31" s="1" t="s">
        <v>196</v>
      </c>
      <c r="I31" s="1" t="s">
        <v>275</v>
      </c>
    </row>
    <row r="32" spans="1:9" x14ac:dyDescent="0.2">
      <c r="A32" s="1" t="s">
        <v>282</v>
      </c>
      <c r="B32" s="1" t="s">
        <v>273</v>
      </c>
      <c r="C32" s="1" t="s">
        <v>283</v>
      </c>
      <c r="D32" s="1">
        <v>1776</v>
      </c>
      <c r="E32" s="1">
        <v>153</v>
      </c>
      <c r="F32" s="1">
        <v>2</v>
      </c>
      <c r="G32" s="1" t="s">
        <v>190</v>
      </c>
      <c r="H32" s="1" t="s">
        <v>196</v>
      </c>
      <c r="I32" s="1" t="s">
        <v>275</v>
      </c>
    </row>
    <row r="33" spans="1:9" x14ac:dyDescent="0.2">
      <c r="A33" s="1" t="s">
        <v>284</v>
      </c>
      <c r="B33" s="1" t="s">
        <v>285</v>
      </c>
      <c r="C33" s="1" t="s">
        <v>286</v>
      </c>
      <c r="D33" s="1">
        <v>1779</v>
      </c>
      <c r="E33" s="1">
        <v>17</v>
      </c>
      <c r="F33" s="1">
        <v>1</v>
      </c>
      <c r="G33" s="1" t="s">
        <v>287</v>
      </c>
      <c r="H33" s="1" t="s">
        <v>15</v>
      </c>
      <c r="I33" s="1" t="s">
        <v>288</v>
      </c>
    </row>
    <row r="34" spans="1:9" x14ac:dyDescent="0.2">
      <c r="A34" s="1" t="s">
        <v>289</v>
      </c>
      <c r="B34" s="1" t="s">
        <v>25</v>
      </c>
      <c r="C34" s="1" t="s">
        <v>290</v>
      </c>
      <c r="D34" s="1">
        <v>1787</v>
      </c>
      <c r="E34" s="1">
        <v>12</v>
      </c>
      <c r="F34" s="1">
        <v>1</v>
      </c>
      <c r="G34" s="1" t="s">
        <v>291</v>
      </c>
      <c r="H34" s="1" t="s">
        <v>292</v>
      </c>
      <c r="I34" s="1" t="s">
        <v>293</v>
      </c>
    </row>
    <row r="35" spans="1:9" x14ac:dyDescent="0.2">
      <c r="A35" s="1" t="s">
        <v>294</v>
      </c>
      <c r="B35" s="1" t="s">
        <v>295</v>
      </c>
      <c r="C35" s="1" t="s">
        <v>296</v>
      </c>
      <c r="D35" s="1">
        <v>1790</v>
      </c>
      <c r="E35" s="1">
        <v>209</v>
      </c>
      <c r="F35" s="1">
        <v>1</v>
      </c>
      <c r="G35" s="1" t="s">
        <v>190</v>
      </c>
      <c r="H35" s="1" t="s">
        <v>196</v>
      </c>
      <c r="I35" s="1" t="s">
        <v>297</v>
      </c>
    </row>
    <row r="36" spans="1:9" x14ac:dyDescent="0.2">
      <c r="A36" s="1" t="s">
        <v>298</v>
      </c>
      <c r="B36" s="1" t="s">
        <v>299</v>
      </c>
      <c r="C36" s="1" t="s">
        <v>300</v>
      </c>
      <c r="D36" s="1">
        <v>1794</v>
      </c>
      <c r="E36" s="1">
        <v>71</v>
      </c>
      <c r="F36" s="1">
        <v>1</v>
      </c>
      <c r="G36" s="1" t="s">
        <v>56</v>
      </c>
      <c r="H36" s="1" t="s">
        <v>22</v>
      </c>
      <c r="I36" s="1" t="s">
        <v>301</v>
      </c>
    </row>
    <row r="37" spans="1:9" x14ac:dyDescent="0.2">
      <c r="A37" s="1" t="s">
        <v>302</v>
      </c>
      <c r="B37" s="1" t="s">
        <v>303</v>
      </c>
      <c r="C37" s="1" t="s">
        <v>304</v>
      </c>
      <c r="D37" s="1">
        <v>1795</v>
      </c>
      <c r="E37" s="1">
        <v>32</v>
      </c>
      <c r="F37" s="1">
        <v>1</v>
      </c>
      <c r="G37" s="1" t="s">
        <v>305</v>
      </c>
      <c r="H37" s="1" t="s">
        <v>246</v>
      </c>
      <c r="I37" s="1" t="s">
        <v>306</v>
      </c>
    </row>
    <row r="38" spans="1:9" x14ac:dyDescent="0.2">
      <c r="A38" s="1" t="s">
        <v>307</v>
      </c>
      <c r="B38" s="1" t="s">
        <v>308</v>
      </c>
      <c r="C38" s="1" t="s">
        <v>309</v>
      </c>
      <c r="D38" s="1">
        <v>1794</v>
      </c>
      <c r="E38" s="1">
        <v>41</v>
      </c>
      <c r="F38" s="1">
        <v>1</v>
      </c>
      <c r="G38" s="1" t="s">
        <v>185</v>
      </c>
      <c r="H38" s="1" t="s">
        <v>186</v>
      </c>
      <c r="I38" s="1" t="s">
        <v>310</v>
      </c>
    </row>
    <row r="39" spans="1:9" x14ac:dyDescent="0.2">
      <c r="A39" s="1" t="s">
        <v>311</v>
      </c>
      <c r="B39" s="1" t="s">
        <v>312</v>
      </c>
      <c r="C39" s="1" t="s">
        <v>313</v>
      </c>
      <c r="D39" s="1">
        <v>1796</v>
      </c>
      <c r="E39" s="1">
        <v>26</v>
      </c>
      <c r="F39" s="1">
        <v>1</v>
      </c>
      <c r="G39" s="1" t="s">
        <v>314</v>
      </c>
      <c r="H39" s="1" t="s">
        <v>315</v>
      </c>
      <c r="I39" s="1" t="s">
        <v>316</v>
      </c>
    </row>
    <row r="40" spans="1:9" x14ac:dyDescent="0.2">
      <c r="A40" s="1" t="s">
        <v>317</v>
      </c>
      <c r="B40" s="1" t="s">
        <v>318</v>
      </c>
      <c r="C40" s="1" t="s">
        <v>319</v>
      </c>
      <c r="D40" s="1">
        <v>1808</v>
      </c>
      <c r="E40" s="1">
        <v>141</v>
      </c>
      <c r="F40" s="1">
        <v>1</v>
      </c>
      <c r="G40" s="1" t="s">
        <v>320</v>
      </c>
      <c r="H40" s="1" t="s">
        <v>321</v>
      </c>
      <c r="I40" s="1" t="s">
        <v>322</v>
      </c>
    </row>
    <row r="41" spans="1:9" x14ac:dyDescent="0.2">
      <c r="A41" s="1" t="s">
        <v>323</v>
      </c>
      <c r="B41" s="1" t="s">
        <v>324</v>
      </c>
      <c r="C41" s="1" t="s">
        <v>325</v>
      </c>
      <c r="D41" s="1">
        <v>1813</v>
      </c>
      <c r="E41" s="1">
        <v>197</v>
      </c>
      <c r="F41" s="1">
        <v>1</v>
      </c>
      <c r="G41" s="1" t="s">
        <v>326</v>
      </c>
      <c r="H41" s="1" t="s">
        <v>327</v>
      </c>
      <c r="I41" s="1" t="s">
        <v>328</v>
      </c>
    </row>
    <row r="42" spans="1:9" x14ac:dyDescent="0.2">
      <c r="A42" s="1" t="s">
        <v>329</v>
      </c>
      <c r="B42" s="1" t="s">
        <v>330</v>
      </c>
      <c r="C42" s="1" t="s">
        <v>331</v>
      </c>
      <c r="D42" s="1">
        <v>1814</v>
      </c>
      <c r="E42" s="1">
        <v>72</v>
      </c>
      <c r="F42" s="1">
        <v>1</v>
      </c>
      <c r="G42" s="1" t="s">
        <v>332</v>
      </c>
      <c r="H42" s="1" t="s">
        <v>267</v>
      </c>
      <c r="I42" s="1" t="s">
        <v>333</v>
      </c>
    </row>
    <row r="43" spans="1:9" x14ac:dyDescent="0.2">
      <c r="A43" s="1" t="s">
        <v>334</v>
      </c>
      <c r="B43" s="1" t="s">
        <v>285</v>
      </c>
      <c r="C43" s="1" t="s">
        <v>335</v>
      </c>
      <c r="D43" s="1">
        <v>1816</v>
      </c>
      <c r="E43" s="1">
        <v>46</v>
      </c>
      <c r="F43" s="1">
        <v>1</v>
      </c>
      <c r="G43" s="1" t="s">
        <v>287</v>
      </c>
      <c r="H43" s="1" t="s">
        <v>15</v>
      </c>
      <c r="I43" s="1" t="s">
        <v>288</v>
      </c>
    </row>
    <row r="44" spans="1:9" x14ac:dyDescent="0.2">
      <c r="A44" s="1" t="s">
        <v>336</v>
      </c>
      <c r="B44" s="1" t="s">
        <v>337</v>
      </c>
      <c r="C44" s="1" t="s">
        <v>338</v>
      </c>
      <c r="D44" s="1">
        <v>1819</v>
      </c>
      <c r="E44" s="1">
        <v>34</v>
      </c>
      <c r="F44" s="1">
        <v>1</v>
      </c>
      <c r="G44" s="1" t="s">
        <v>339</v>
      </c>
      <c r="H44" s="1" t="s">
        <v>267</v>
      </c>
      <c r="I44" s="1" t="s">
        <v>340</v>
      </c>
    </row>
    <row r="45" spans="1:9" x14ac:dyDescent="0.2">
      <c r="A45" s="1" t="s">
        <v>341</v>
      </c>
      <c r="B45" s="1" t="s">
        <v>342</v>
      </c>
      <c r="C45" s="1" t="s">
        <v>343</v>
      </c>
      <c r="D45" s="1">
        <v>1823</v>
      </c>
      <c r="E45" s="1">
        <v>49</v>
      </c>
      <c r="F45" s="1">
        <v>1</v>
      </c>
      <c r="G45" s="1" t="s">
        <v>150</v>
      </c>
      <c r="H45" s="1" t="s">
        <v>151</v>
      </c>
      <c r="I45" s="1" t="s">
        <v>344</v>
      </c>
    </row>
    <row r="46" spans="1:9" x14ac:dyDescent="0.2">
      <c r="A46" s="1" t="s">
        <v>345</v>
      </c>
      <c r="B46" s="1" t="s">
        <v>346</v>
      </c>
      <c r="C46" s="1" t="s">
        <v>347</v>
      </c>
      <c r="D46" s="1">
        <v>1846</v>
      </c>
      <c r="E46" s="1">
        <v>157</v>
      </c>
      <c r="F46" s="1">
        <v>1</v>
      </c>
      <c r="G46" s="1" t="s">
        <v>185</v>
      </c>
      <c r="H46" s="1" t="s">
        <v>186</v>
      </c>
      <c r="I46" s="1" t="s">
        <v>348</v>
      </c>
    </row>
    <row r="47" spans="1:9" x14ac:dyDescent="0.2">
      <c r="A47" s="1" t="s">
        <v>349</v>
      </c>
      <c r="B47" s="1" t="s">
        <v>346</v>
      </c>
      <c r="C47" s="1" t="s">
        <v>350</v>
      </c>
      <c r="D47" s="1">
        <v>1846</v>
      </c>
      <c r="E47" s="1">
        <v>181</v>
      </c>
      <c r="F47" s="1">
        <v>1</v>
      </c>
      <c r="G47" s="1" t="s">
        <v>185</v>
      </c>
      <c r="H47" s="1" t="s">
        <v>186</v>
      </c>
      <c r="I47" s="1" t="s">
        <v>351</v>
      </c>
    </row>
    <row r="48" spans="1:9" x14ac:dyDescent="0.2">
      <c r="A48" s="1" t="s">
        <v>352</v>
      </c>
      <c r="B48" s="1" t="s">
        <v>346</v>
      </c>
      <c r="C48" s="1" t="s">
        <v>353</v>
      </c>
      <c r="D48" s="1">
        <v>1846</v>
      </c>
      <c r="E48" s="1">
        <v>140</v>
      </c>
      <c r="F48" s="1">
        <v>1</v>
      </c>
      <c r="G48" s="1" t="s">
        <v>185</v>
      </c>
      <c r="H48" s="1" t="s">
        <v>186</v>
      </c>
      <c r="I48" s="1" t="s">
        <v>354</v>
      </c>
    </row>
    <row r="49" spans="1:10" x14ac:dyDescent="0.2">
      <c r="A49" s="1" t="s">
        <v>355</v>
      </c>
      <c r="B49" s="1" t="s">
        <v>346</v>
      </c>
      <c r="C49" s="1" t="s">
        <v>356</v>
      </c>
      <c r="D49" s="1">
        <v>1846</v>
      </c>
      <c r="E49" s="1">
        <v>56</v>
      </c>
      <c r="F49" s="1">
        <v>1</v>
      </c>
      <c r="G49" s="1" t="s">
        <v>185</v>
      </c>
      <c r="H49" s="1" t="s">
        <v>186</v>
      </c>
      <c r="I49" s="1" t="s">
        <v>357</v>
      </c>
    </row>
    <row r="50" spans="1:10" x14ac:dyDescent="0.2">
      <c r="A50" s="1" t="s">
        <v>358</v>
      </c>
      <c r="B50" s="1" t="s">
        <v>359</v>
      </c>
      <c r="C50" s="1" t="s">
        <v>360</v>
      </c>
      <c r="D50" s="1">
        <v>1847</v>
      </c>
      <c r="E50" s="1">
        <v>207</v>
      </c>
      <c r="F50" s="1">
        <v>1</v>
      </c>
      <c r="G50" s="1" t="s">
        <v>89</v>
      </c>
      <c r="H50" s="1" t="s">
        <v>361</v>
      </c>
      <c r="I50" s="1" t="s">
        <v>362</v>
      </c>
    </row>
    <row r="51" spans="1:10" x14ac:dyDescent="0.2">
      <c r="A51" s="1" t="s">
        <v>363</v>
      </c>
      <c r="B51" s="1" t="s">
        <v>364</v>
      </c>
      <c r="C51" s="1" t="s">
        <v>365</v>
      </c>
      <c r="D51" s="1">
        <v>1853</v>
      </c>
      <c r="E51" s="1">
        <v>65</v>
      </c>
      <c r="F51" s="1">
        <v>1</v>
      </c>
      <c r="G51" s="1" t="s">
        <v>366</v>
      </c>
      <c r="H51" s="1" t="s">
        <v>246</v>
      </c>
      <c r="I51" s="1" t="s">
        <v>367</v>
      </c>
    </row>
    <row r="52" spans="1:10" x14ac:dyDescent="0.2">
      <c r="A52" s="1" t="s">
        <v>368</v>
      </c>
      <c r="B52" s="1" t="s">
        <v>369</v>
      </c>
      <c r="C52" s="1" t="s">
        <v>370</v>
      </c>
      <c r="D52" s="1">
        <v>1899</v>
      </c>
      <c r="E52" s="1">
        <v>77</v>
      </c>
      <c r="F52" s="1">
        <v>1</v>
      </c>
      <c r="G52" s="1" t="s">
        <v>371</v>
      </c>
      <c r="H52" s="1" t="s">
        <v>315</v>
      </c>
      <c r="I52" s="1" t="s">
        <v>372</v>
      </c>
    </row>
    <row r="53" spans="1:10" x14ac:dyDescent="0.2">
      <c r="A53" s="5" t="s">
        <v>256</v>
      </c>
      <c r="B53" s="5" t="s">
        <v>257</v>
      </c>
      <c r="C53" s="5" t="s">
        <v>258</v>
      </c>
      <c r="D53" s="5">
        <v>1752</v>
      </c>
      <c r="E53" s="5">
        <v>76</v>
      </c>
      <c r="F53" s="5">
        <v>1</v>
      </c>
      <c r="G53" s="5" t="s">
        <v>150</v>
      </c>
      <c r="H53" s="5" t="s">
        <v>259</v>
      </c>
      <c r="I53" s="5" t="s">
        <v>260</v>
      </c>
      <c r="J53" s="5" t="s">
        <v>373</v>
      </c>
    </row>
    <row r="54" spans="1:10" x14ac:dyDescent="0.2">
      <c r="A54" s="5" t="s">
        <v>374</v>
      </c>
      <c r="B54" s="5" t="s">
        <v>375</v>
      </c>
      <c r="C54" s="5" t="s">
        <v>376</v>
      </c>
      <c r="D54" s="5">
        <v>1747</v>
      </c>
      <c r="E54" s="5">
        <v>103</v>
      </c>
      <c r="F54" s="5">
        <v>1</v>
      </c>
      <c r="G54" s="5" t="s">
        <v>377</v>
      </c>
      <c r="H54" s="5" t="s">
        <v>77</v>
      </c>
      <c r="I54" s="5" t="s">
        <v>378</v>
      </c>
      <c r="J54" s="5" t="s">
        <v>379</v>
      </c>
    </row>
    <row r="55" spans="1:10" x14ac:dyDescent="0.2">
      <c r="A55" s="5" t="s">
        <v>380</v>
      </c>
      <c r="B55" s="5" t="s">
        <v>381</v>
      </c>
      <c r="C55" s="5" t="s">
        <v>382</v>
      </c>
      <c r="D55" s="5">
        <v>1752</v>
      </c>
      <c r="E55" s="5">
        <v>20</v>
      </c>
      <c r="F55" s="5">
        <v>1</v>
      </c>
      <c r="G55" s="5" t="s">
        <v>150</v>
      </c>
      <c r="H55" s="5" t="s">
        <v>151</v>
      </c>
      <c r="I55" s="5" t="s">
        <v>383</v>
      </c>
      <c r="J55" s="5" t="s">
        <v>379</v>
      </c>
    </row>
    <row r="56" spans="1:10" x14ac:dyDescent="0.2">
      <c r="A56" s="5" t="s">
        <v>384</v>
      </c>
      <c r="B56" s="5" t="s">
        <v>385</v>
      </c>
      <c r="C56" s="5" t="s">
        <v>386</v>
      </c>
      <c r="D56" s="5">
        <v>1814</v>
      </c>
      <c r="E56" s="5">
        <v>62</v>
      </c>
      <c r="F56" s="5">
        <v>1</v>
      </c>
      <c r="G56" s="5" t="s">
        <v>387</v>
      </c>
      <c r="H56" s="5" t="s">
        <v>151</v>
      </c>
      <c r="I56" s="5" t="s">
        <v>388</v>
      </c>
      <c r="J56" s="5" t="s">
        <v>379</v>
      </c>
    </row>
    <row r="57" spans="1:10" x14ac:dyDescent="0.2">
      <c r="E57" s="1">
        <f>SUM(E2:E56)</f>
        <v>7198</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I1033"/>
  <sheetViews>
    <sheetView zoomScaleNormal="100" workbookViewId="0"/>
  </sheetViews>
  <sheetFormatPr baseColWidth="10" defaultColWidth="162.5" defaultRowHeight="13" x14ac:dyDescent="0.15"/>
  <sheetData>
    <row r="2" spans="13:14" ht="15" x14ac:dyDescent="0.2">
      <c r="M2" s="6"/>
      <c r="N2" s="6"/>
    </row>
    <row r="3" spans="13:14" ht="15" x14ac:dyDescent="0.2">
      <c r="M3" s="6"/>
      <c r="N3" s="6"/>
    </row>
    <row r="4" spans="13:14" ht="15" x14ac:dyDescent="0.2">
      <c r="M4" s="6"/>
      <c r="N4" s="6"/>
    </row>
    <row r="5" spans="13:14" ht="15" x14ac:dyDescent="0.2">
      <c r="M5" s="6"/>
      <c r="N5" s="6"/>
    </row>
    <row r="6" spans="13:14" ht="15" x14ac:dyDescent="0.2">
      <c r="M6" s="6"/>
      <c r="N6" s="6"/>
    </row>
    <row r="7" spans="13:14" ht="15" x14ac:dyDescent="0.2">
      <c r="M7" s="6"/>
      <c r="N7" s="6"/>
    </row>
    <row r="8" spans="13:14" ht="15" x14ac:dyDescent="0.2">
      <c r="M8" s="6"/>
      <c r="N8" s="6"/>
    </row>
    <row r="9" spans="13:14" ht="15" x14ac:dyDescent="0.2">
      <c r="M9" s="6"/>
      <c r="N9" s="6"/>
    </row>
    <row r="10" spans="13:14" ht="15" x14ac:dyDescent="0.2">
      <c r="M10" s="6"/>
      <c r="N10" s="6"/>
    </row>
    <row r="11" spans="13:14" ht="15" x14ac:dyDescent="0.2">
      <c r="M11" s="6"/>
      <c r="N11" s="6"/>
    </row>
    <row r="12" spans="13:14" ht="15" x14ac:dyDescent="0.2">
      <c r="M12" s="6"/>
      <c r="N12" s="6"/>
    </row>
    <row r="13" spans="13:14" ht="15" x14ac:dyDescent="0.2">
      <c r="M13" s="6"/>
      <c r="N13" s="6"/>
    </row>
    <row r="14" spans="13:14" ht="15" x14ac:dyDescent="0.2">
      <c r="M14" s="6"/>
      <c r="N14" s="6"/>
    </row>
    <row r="15" spans="13:14" ht="15" x14ac:dyDescent="0.2">
      <c r="M15" s="6"/>
      <c r="N15" s="6"/>
    </row>
    <row r="16" spans="13:14" ht="15" x14ac:dyDescent="0.2">
      <c r="M16" s="6"/>
      <c r="N16" s="6"/>
    </row>
    <row r="17" spans="13:14" ht="15" x14ac:dyDescent="0.2">
      <c r="M17" s="6"/>
      <c r="N17" s="6"/>
    </row>
    <row r="18" spans="13:14" ht="15" x14ac:dyDescent="0.2">
      <c r="M18" s="6"/>
      <c r="N18" s="6"/>
    </row>
    <row r="19" spans="13:14" ht="15" x14ac:dyDescent="0.2">
      <c r="M19" s="6"/>
      <c r="N19" s="6"/>
    </row>
    <row r="20" spans="13:14" ht="15" x14ac:dyDescent="0.2">
      <c r="M20" s="6"/>
      <c r="N20" s="6"/>
    </row>
    <row r="21" spans="13:14" ht="15" x14ac:dyDescent="0.2">
      <c r="M21" s="6"/>
      <c r="N21" s="6"/>
    </row>
    <row r="22" spans="13:14" ht="15" x14ac:dyDescent="0.2">
      <c r="M22" s="6"/>
      <c r="N22" s="6"/>
    </row>
    <row r="23" spans="13:14" ht="15" x14ac:dyDescent="0.2">
      <c r="M23" s="6"/>
      <c r="N23" s="6"/>
    </row>
    <row r="24" spans="13:14" ht="15" x14ac:dyDescent="0.2">
      <c r="M24" s="6"/>
      <c r="N24" s="6"/>
    </row>
    <row r="25" spans="13:14" ht="15" x14ac:dyDescent="0.2">
      <c r="M25" s="6"/>
      <c r="N25" s="6"/>
    </row>
    <row r="26" spans="13:14" ht="15" x14ac:dyDescent="0.2">
      <c r="M26" s="6"/>
      <c r="N26" s="6"/>
    </row>
    <row r="27" spans="13:14" ht="15" x14ac:dyDescent="0.2">
      <c r="M27" s="6"/>
      <c r="N27" s="6"/>
    </row>
    <row r="28" spans="13:14" ht="15" x14ac:dyDescent="0.2">
      <c r="M28" s="6"/>
      <c r="N28" s="6"/>
    </row>
    <row r="29" spans="13:14" ht="15" x14ac:dyDescent="0.2">
      <c r="M29" s="6"/>
      <c r="N29" s="6"/>
    </row>
    <row r="30" spans="13:14" ht="15" x14ac:dyDescent="0.2">
      <c r="M30" s="6"/>
      <c r="N30" s="6"/>
    </row>
    <row r="31" spans="13:14" ht="15" x14ac:dyDescent="0.2">
      <c r="M31" s="6"/>
      <c r="N31" s="6"/>
    </row>
    <row r="32" spans="13:14" ht="15" x14ac:dyDescent="0.2">
      <c r="M32" s="6"/>
      <c r="N32" s="6"/>
    </row>
    <row r="33" spans="1:87" ht="15" x14ac:dyDescent="0.2">
      <c r="M33" s="6"/>
      <c r="N33" s="6"/>
    </row>
    <row r="34" spans="1:87" ht="15" x14ac:dyDescent="0.2">
      <c r="M34" s="6"/>
      <c r="N34" s="6"/>
    </row>
    <row r="35" spans="1:87" ht="15" x14ac:dyDescent="0.2">
      <c r="M35" s="6"/>
      <c r="N35" s="6"/>
    </row>
    <row r="36" spans="1:87" ht="15" x14ac:dyDescent="0.2">
      <c r="M36" s="6"/>
      <c r="N36" s="6"/>
    </row>
    <row r="37" spans="1:87" ht="15" x14ac:dyDescent="0.2">
      <c r="A37" s="1" t="s">
        <v>389</v>
      </c>
      <c r="B37" s="1" t="s">
        <v>390</v>
      </c>
      <c r="C37" s="1" t="s">
        <v>391</v>
      </c>
      <c r="D37" s="1" t="s">
        <v>1</v>
      </c>
      <c r="E37" s="1" t="s">
        <v>2</v>
      </c>
      <c r="F37" s="1" t="s">
        <v>392</v>
      </c>
      <c r="G37" s="1" t="s">
        <v>393</v>
      </c>
      <c r="H37" s="1" t="s">
        <v>394</v>
      </c>
      <c r="I37" s="1" t="s">
        <v>395</v>
      </c>
      <c r="J37" s="1" t="s">
        <v>396</v>
      </c>
      <c r="K37" s="1" t="s">
        <v>397</v>
      </c>
      <c r="L37" s="1" t="s">
        <v>398</v>
      </c>
      <c r="M37" s="6" t="s">
        <v>399</v>
      </c>
      <c r="N37" s="6" t="s">
        <v>400</v>
      </c>
      <c r="O37" s="1" t="s">
        <v>401</v>
      </c>
      <c r="P37" s="1" t="s">
        <v>402</v>
      </c>
      <c r="Q37" s="1" t="s">
        <v>6</v>
      </c>
      <c r="R37" s="1" t="s">
        <v>403</v>
      </c>
      <c r="S37" s="1" t="s">
        <v>404</v>
      </c>
      <c r="T37" s="1" t="s">
        <v>405</v>
      </c>
      <c r="U37" s="1" t="s">
        <v>406</v>
      </c>
      <c r="V37" s="1" t="s">
        <v>407</v>
      </c>
      <c r="W37" s="1" t="s">
        <v>408</v>
      </c>
      <c r="X37" s="1" t="s">
        <v>409</v>
      </c>
      <c r="Y37" s="1" t="s">
        <v>410</v>
      </c>
      <c r="Z37" s="1" t="s">
        <v>411</v>
      </c>
      <c r="AA37" s="1" t="s">
        <v>412</v>
      </c>
      <c r="AB37" s="1" t="s">
        <v>413</v>
      </c>
      <c r="AC37" s="1" t="s">
        <v>414</v>
      </c>
      <c r="AD37" s="1" t="s">
        <v>415</v>
      </c>
      <c r="AE37" s="1" t="s">
        <v>416</v>
      </c>
      <c r="AF37" s="1" t="s">
        <v>8</v>
      </c>
      <c r="AG37" s="1" t="s">
        <v>171</v>
      </c>
      <c r="AH37" s="1" t="s">
        <v>417</v>
      </c>
      <c r="AI37" s="1" t="s">
        <v>0</v>
      </c>
      <c r="AJ37" s="1" t="s">
        <v>418</v>
      </c>
      <c r="AK37" s="1" t="s">
        <v>419</v>
      </c>
      <c r="AL37" s="1" t="s">
        <v>420</v>
      </c>
      <c r="AM37" s="1" t="s">
        <v>421</v>
      </c>
      <c r="AN37" s="1" t="s">
        <v>422</v>
      </c>
      <c r="AO37" s="1" t="s">
        <v>423</v>
      </c>
      <c r="AP37" s="1" t="s">
        <v>424</v>
      </c>
      <c r="AQ37" s="1" t="s">
        <v>425</v>
      </c>
      <c r="AR37" s="1" t="s">
        <v>426</v>
      </c>
      <c r="AS37" s="1" t="s">
        <v>427</v>
      </c>
      <c r="AT37" s="1" t="s">
        <v>428</v>
      </c>
      <c r="AU37" s="1" t="s">
        <v>429</v>
      </c>
      <c r="AV37" s="1" t="s">
        <v>430</v>
      </c>
      <c r="AW37" s="1" t="s">
        <v>431</v>
      </c>
      <c r="AX37" s="1" t="s">
        <v>432</v>
      </c>
      <c r="AY37" s="1" t="s">
        <v>433</v>
      </c>
      <c r="AZ37" s="1" t="s">
        <v>434</v>
      </c>
      <c r="BA37" s="1" t="s">
        <v>435</v>
      </c>
      <c r="BB37" s="1" t="s">
        <v>436</v>
      </c>
      <c r="BC37" s="1" t="s">
        <v>437</v>
      </c>
      <c r="BD37" s="1" t="s">
        <v>438</v>
      </c>
      <c r="BE37" s="1" t="s">
        <v>439</v>
      </c>
      <c r="BF37" s="1" t="s">
        <v>440</v>
      </c>
      <c r="BG37" s="1" t="s">
        <v>441</v>
      </c>
      <c r="BH37" s="1" t="s">
        <v>442</v>
      </c>
      <c r="BI37" s="1" t="s">
        <v>443</v>
      </c>
      <c r="BJ37" s="1" t="s">
        <v>444</v>
      </c>
      <c r="BK37" s="1" t="s">
        <v>445</v>
      </c>
      <c r="BL37" s="1" t="s">
        <v>446</v>
      </c>
      <c r="BM37" s="1" t="s">
        <v>447</v>
      </c>
      <c r="BN37" s="1" t="s">
        <v>448</v>
      </c>
      <c r="BO37" s="1" t="s">
        <v>449</v>
      </c>
      <c r="BP37" s="1" t="s">
        <v>450</v>
      </c>
      <c r="BQ37" s="1" t="s">
        <v>451</v>
      </c>
      <c r="BR37" s="1" t="s">
        <v>452</v>
      </c>
      <c r="BS37" s="1" t="s">
        <v>453</v>
      </c>
      <c r="BT37" s="1" t="s">
        <v>454</v>
      </c>
      <c r="BU37" s="1" t="s">
        <v>455</v>
      </c>
      <c r="BV37" s="1" t="s">
        <v>456</v>
      </c>
      <c r="BW37" s="1" t="s">
        <v>457</v>
      </c>
      <c r="BX37" s="1" t="s">
        <v>458</v>
      </c>
      <c r="BY37" s="1" t="s">
        <v>459</v>
      </c>
      <c r="BZ37" s="1" t="s">
        <v>460</v>
      </c>
      <c r="CA37" s="1" t="s">
        <v>461</v>
      </c>
      <c r="CB37" s="1" t="s">
        <v>462</v>
      </c>
      <c r="CC37" s="1" t="s">
        <v>463</v>
      </c>
      <c r="CD37" s="1" t="s">
        <v>464</v>
      </c>
      <c r="CE37" s="1" t="s">
        <v>465</v>
      </c>
      <c r="CF37" s="1" t="s">
        <v>466</v>
      </c>
      <c r="CG37" s="1" t="s">
        <v>467</v>
      </c>
      <c r="CH37" s="1" t="s">
        <v>468</v>
      </c>
      <c r="CI37" s="1" t="s">
        <v>469</v>
      </c>
    </row>
    <row r="38" spans="1:87" ht="15" x14ac:dyDescent="0.2">
      <c r="A38" s="1" t="s">
        <v>470</v>
      </c>
      <c r="B38" s="1" t="s">
        <v>471</v>
      </c>
      <c r="C38" s="1">
        <v>1752</v>
      </c>
      <c r="D38" s="1" t="s">
        <v>257</v>
      </c>
      <c r="E38" s="1" t="s">
        <v>258</v>
      </c>
      <c r="J38" s="1" t="s">
        <v>472</v>
      </c>
      <c r="K38" s="1" t="s">
        <v>150</v>
      </c>
      <c r="L38" s="1">
        <v>1752</v>
      </c>
      <c r="M38" s="6">
        <v>41570.4738657407</v>
      </c>
      <c r="N38" s="6">
        <v>43696.4976157407</v>
      </c>
      <c r="Q38" s="1">
        <v>76</v>
      </c>
      <c r="AB38" s="1" t="s">
        <v>473</v>
      </c>
      <c r="AE38" s="1">
        <v>1</v>
      </c>
      <c r="AF38" s="1" t="s">
        <v>259</v>
      </c>
      <c r="AG38" s="1" t="s">
        <v>260</v>
      </c>
      <c r="AI38" s="1" t="s">
        <v>256</v>
      </c>
      <c r="AJ38" s="1" t="s">
        <v>474</v>
      </c>
      <c r="AN38" s="1" t="s">
        <v>475</v>
      </c>
    </row>
    <row r="39" spans="1:87" ht="15" x14ac:dyDescent="0.2">
      <c r="A39" s="1" t="s">
        <v>476</v>
      </c>
      <c r="B39" s="1" t="s">
        <v>471</v>
      </c>
      <c r="C39" s="1">
        <v>1747</v>
      </c>
      <c r="D39" s="1" t="s">
        <v>375</v>
      </c>
      <c r="E39" s="1" t="s">
        <v>376</v>
      </c>
      <c r="K39" s="1" t="s">
        <v>377</v>
      </c>
      <c r="L39" s="1">
        <v>1747</v>
      </c>
      <c r="M39" s="6">
        <v>41570.432997685202</v>
      </c>
      <c r="N39" s="6">
        <v>43530.529328703698</v>
      </c>
      <c r="AB39" s="1" t="s">
        <v>377</v>
      </c>
      <c r="AF39" s="1" t="s">
        <v>77</v>
      </c>
      <c r="AG39" s="1" t="s">
        <v>378</v>
      </c>
      <c r="AI39" s="1" t="s">
        <v>374</v>
      </c>
      <c r="AJ39" s="1" t="s">
        <v>477</v>
      </c>
      <c r="AN39" s="1" t="s">
        <v>478</v>
      </c>
    </row>
    <row r="40" spans="1:87" ht="15" x14ac:dyDescent="0.2">
      <c r="A40" s="1" t="s">
        <v>479</v>
      </c>
      <c r="B40" s="1" t="s">
        <v>471</v>
      </c>
      <c r="C40" s="1">
        <v>1752</v>
      </c>
      <c r="D40" s="1" t="s">
        <v>381</v>
      </c>
      <c r="E40" s="1" t="s">
        <v>382</v>
      </c>
      <c r="K40" s="1" t="s">
        <v>150</v>
      </c>
      <c r="L40" s="1">
        <v>1752</v>
      </c>
      <c r="M40" s="6">
        <v>43160.5858449074</v>
      </c>
      <c r="N40" s="6">
        <v>43544.437534722201</v>
      </c>
      <c r="Q40" s="1">
        <v>20</v>
      </c>
      <c r="AB40" s="1" t="s">
        <v>150</v>
      </c>
      <c r="AF40" s="1" t="s">
        <v>151</v>
      </c>
      <c r="AG40" s="1" t="s">
        <v>383</v>
      </c>
      <c r="AI40" s="1" t="s">
        <v>380</v>
      </c>
      <c r="AJ40" s="1" t="s">
        <v>480</v>
      </c>
      <c r="AN40" s="1" t="s">
        <v>481</v>
      </c>
    </row>
    <row r="41" spans="1:87" ht="15" x14ac:dyDescent="0.2">
      <c r="A41" s="1" t="s">
        <v>482</v>
      </c>
      <c r="B41" s="1" t="s">
        <v>471</v>
      </c>
      <c r="C41" s="1">
        <v>1814</v>
      </c>
      <c r="D41" s="1" t="s">
        <v>385</v>
      </c>
      <c r="E41" s="1" t="s">
        <v>386</v>
      </c>
      <c r="J41" s="1" t="s">
        <v>483</v>
      </c>
      <c r="K41" s="1" t="s">
        <v>387</v>
      </c>
      <c r="L41" s="1">
        <v>1814</v>
      </c>
      <c r="M41" s="6">
        <v>43161.5992708333</v>
      </c>
      <c r="N41" s="6">
        <v>43551.689363425903</v>
      </c>
      <c r="Q41" s="1">
        <v>62</v>
      </c>
      <c r="AB41" s="1" t="s">
        <v>387</v>
      </c>
      <c r="AC41" s="1" t="s">
        <v>484</v>
      </c>
      <c r="AF41" s="1" t="s">
        <v>151</v>
      </c>
      <c r="AG41" s="1" t="s">
        <v>388</v>
      </c>
      <c r="AI41" s="1" t="s">
        <v>384</v>
      </c>
      <c r="AJ41" s="1" t="s">
        <v>485</v>
      </c>
      <c r="AN41" s="1" t="s">
        <v>481</v>
      </c>
    </row>
    <row r="42" spans="1:87" ht="15" x14ac:dyDescent="0.2">
      <c r="M42" s="6"/>
      <c r="N42" s="6"/>
    </row>
    <row r="43" spans="1:87" ht="15" x14ac:dyDescent="0.2">
      <c r="M43" s="6"/>
      <c r="N43" s="6"/>
    </row>
    <row r="44" spans="1:87" ht="15" x14ac:dyDescent="0.2">
      <c r="M44" s="6"/>
      <c r="N44" s="6"/>
    </row>
    <row r="45" spans="1:87" ht="15" x14ac:dyDescent="0.2">
      <c r="M45" s="6"/>
      <c r="N45" s="6"/>
    </row>
    <row r="46" spans="1:87" ht="15" x14ac:dyDescent="0.2">
      <c r="M46" s="6"/>
      <c r="N46" s="6"/>
    </row>
    <row r="47" spans="1:87" ht="15" x14ac:dyDescent="0.2">
      <c r="M47" s="6"/>
      <c r="N47" s="6"/>
    </row>
    <row r="48" spans="1:87" ht="15" x14ac:dyDescent="0.2">
      <c r="M48" s="6"/>
      <c r="N48" s="6"/>
    </row>
    <row r="49" spans="13:19" ht="15" x14ac:dyDescent="0.2">
      <c r="M49" s="6"/>
      <c r="N49" s="6"/>
    </row>
    <row r="50" spans="13:19" ht="15" x14ac:dyDescent="0.2">
      <c r="M50" s="6"/>
      <c r="N50" s="6"/>
      <c r="S50" s="7"/>
    </row>
    <row r="51" spans="13:19" ht="15" x14ac:dyDescent="0.2">
      <c r="M51" s="6"/>
      <c r="N51" s="6"/>
    </row>
    <row r="52" spans="13:19" ht="15" x14ac:dyDescent="0.2">
      <c r="M52" s="6"/>
      <c r="N52" s="6"/>
    </row>
    <row r="53" spans="13:19" ht="15" x14ac:dyDescent="0.2">
      <c r="M53" s="6"/>
      <c r="N53" s="6"/>
    </row>
    <row r="54" spans="13:19" ht="15" x14ac:dyDescent="0.2">
      <c r="M54" s="6"/>
      <c r="N54" s="6"/>
    </row>
    <row r="55" spans="13:19" ht="15" x14ac:dyDescent="0.2">
      <c r="M55" s="6"/>
      <c r="N55" s="6"/>
    </row>
    <row r="56" spans="13:19" ht="15" x14ac:dyDescent="0.2">
      <c r="M56" s="6"/>
      <c r="N56" s="6"/>
    </row>
    <row r="57" spans="13:19" ht="15" x14ac:dyDescent="0.2">
      <c r="M57" s="6"/>
      <c r="N57" s="6"/>
    </row>
    <row r="58" spans="13:19" ht="15" x14ac:dyDescent="0.2">
      <c r="M58" s="6"/>
      <c r="N58" s="6"/>
    </row>
    <row r="59" spans="13:19" ht="15" x14ac:dyDescent="0.2">
      <c r="M59" s="6"/>
      <c r="N59" s="6"/>
    </row>
    <row r="60" spans="13:19" ht="15" x14ac:dyDescent="0.2">
      <c r="M60" s="6"/>
      <c r="N60" s="6"/>
    </row>
    <row r="61" spans="13:19" ht="15" x14ac:dyDescent="0.2">
      <c r="M61" s="6"/>
      <c r="N61" s="6"/>
    </row>
    <row r="62" spans="13:19" ht="15" x14ac:dyDescent="0.2">
      <c r="M62" s="6"/>
      <c r="N62" s="6"/>
    </row>
    <row r="63" spans="13:19" ht="15" x14ac:dyDescent="0.2">
      <c r="M63" s="6"/>
      <c r="N63" s="6"/>
    </row>
    <row r="64" spans="13:19" ht="15" x14ac:dyDescent="0.2">
      <c r="M64" s="6"/>
      <c r="N64" s="6"/>
    </row>
    <row r="65" spans="13:14" ht="15" x14ac:dyDescent="0.2">
      <c r="M65" s="6"/>
      <c r="N65" s="6"/>
    </row>
    <row r="66" spans="13:14" ht="15" x14ac:dyDescent="0.2">
      <c r="M66" s="6"/>
      <c r="N66" s="6"/>
    </row>
    <row r="67" spans="13:14" ht="15" x14ac:dyDescent="0.2">
      <c r="M67" s="6"/>
      <c r="N67" s="6"/>
    </row>
    <row r="68" spans="13:14" ht="15" x14ac:dyDescent="0.2">
      <c r="M68" s="6"/>
      <c r="N68" s="6"/>
    </row>
    <row r="69" spans="13:14" ht="15" x14ac:dyDescent="0.2">
      <c r="M69" s="6"/>
      <c r="N69" s="6"/>
    </row>
    <row r="70" spans="13:14" ht="15" x14ac:dyDescent="0.2">
      <c r="M70" s="6"/>
      <c r="N70" s="6"/>
    </row>
    <row r="71" spans="13:14" ht="15" x14ac:dyDescent="0.2">
      <c r="M71" s="6"/>
      <c r="N71" s="6"/>
    </row>
    <row r="72" spans="13:14" ht="15" x14ac:dyDescent="0.2">
      <c r="M72" s="6"/>
      <c r="N72" s="6"/>
    </row>
    <row r="73" spans="13:14" ht="15" x14ac:dyDescent="0.2">
      <c r="M73" s="6"/>
      <c r="N73" s="6"/>
    </row>
    <row r="74" spans="13:14" ht="15" x14ac:dyDescent="0.2">
      <c r="M74" s="6"/>
      <c r="N74" s="6"/>
    </row>
    <row r="75" spans="13:14" ht="15" x14ac:dyDescent="0.2">
      <c r="M75" s="6"/>
      <c r="N75" s="6"/>
    </row>
    <row r="76" spans="13:14" ht="15" x14ac:dyDescent="0.2">
      <c r="M76" s="6"/>
      <c r="N76" s="6"/>
    </row>
    <row r="77" spans="13:14" ht="15" x14ac:dyDescent="0.2">
      <c r="M77" s="6"/>
      <c r="N77" s="6"/>
    </row>
    <row r="78" spans="13:14" ht="15" x14ac:dyDescent="0.2">
      <c r="M78" s="6"/>
      <c r="N78" s="6"/>
    </row>
    <row r="79" spans="13:14" ht="15" x14ac:dyDescent="0.2">
      <c r="M79" s="6"/>
      <c r="N79" s="6"/>
    </row>
    <row r="80" spans="13:14" ht="15" x14ac:dyDescent="0.2">
      <c r="M80" s="6"/>
      <c r="N80" s="6"/>
    </row>
    <row r="81" spans="13:16" ht="15" x14ac:dyDescent="0.2">
      <c r="M81" s="6"/>
      <c r="N81" s="6"/>
    </row>
    <row r="82" spans="13:16" ht="15" x14ac:dyDescent="0.2">
      <c r="M82" s="6"/>
      <c r="N82" s="6"/>
    </row>
    <row r="83" spans="13:16" ht="15" x14ac:dyDescent="0.2">
      <c r="M83" s="6"/>
      <c r="N83" s="6"/>
    </row>
    <row r="84" spans="13:16" ht="15" x14ac:dyDescent="0.2">
      <c r="M84" s="6"/>
      <c r="N84" s="6"/>
    </row>
    <row r="85" spans="13:16" ht="15" x14ac:dyDescent="0.2">
      <c r="M85" s="6"/>
      <c r="N85" s="6"/>
    </row>
    <row r="86" spans="13:16" ht="15" x14ac:dyDescent="0.2">
      <c r="M86" s="6"/>
      <c r="N86" s="6"/>
    </row>
    <row r="87" spans="13:16" ht="15" x14ac:dyDescent="0.2">
      <c r="M87" s="6"/>
      <c r="N87" s="6"/>
    </row>
    <row r="88" spans="13:16" ht="15" x14ac:dyDescent="0.2">
      <c r="M88" s="6"/>
      <c r="N88" s="6"/>
    </row>
    <row r="89" spans="13:16" ht="15" x14ac:dyDescent="0.2">
      <c r="M89" s="6"/>
      <c r="N89" s="6"/>
    </row>
    <row r="90" spans="13:16" ht="15" x14ac:dyDescent="0.2">
      <c r="M90" s="6"/>
      <c r="N90" s="6"/>
      <c r="P90" s="8"/>
    </row>
    <row r="91" spans="13:16" ht="15" x14ac:dyDescent="0.2">
      <c r="M91" s="6"/>
      <c r="N91" s="6"/>
    </row>
    <row r="92" spans="13:16" ht="15" x14ac:dyDescent="0.2">
      <c r="M92" s="6"/>
      <c r="N92" s="6"/>
    </row>
    <row r="93" spans="13:16" ht="15" x14ac:dyDescent="0.2">
      <c r="M93" s="6"/>
      <c r="N93" s="6"/>
    </row>
    <row r="94" spans="13:16" ht="15" x14ac:dyDescent="0.2">
      <c r="M94" s="6"/>
      <c r="N94" s="6"/>
    </row>
    <row r="95" spans="13:16" ht="15" x14ac:dyDescent="0.2">
      <c r="M95" s="6"/>
      <c r="N95" s="6"/>
    </row>
    <row r="96" spans="13:16" ht="15" x14ac:dyDescent="0.2">
      <c r="M96" s="6"/>
      <c r="N96" s="6"/>
    </row>
    <row r="97" spans="13:14" ht="15" x14ac:dyDescent="0.2">
      <c r="M97" s="6"/>
      <c r="N97" s="6"/>
    </row>
    <row r="98" spans="13:14" ht="15" x14ac:dyDescent="0.2">
      <c r="M98" s="6"/>
      <c r="N98" s="6"/>
    </row>
    <row r="99" spans="13:14" ht="15" x14ac:dyDescent="0.2">
      <c r="M99" s="6"/>
      <c r="N99" s="6"/>
    </row>
    <row r="100" spans="13:14" ht="15" x14ac:dyDescent="0.2">
      <c r="M100" s="6"/>
      <c r="N100" s="6"/>
    </row>
    <row r="101" spans="13:14" ht="15" x14ac:dyDescent="0.2">
      <c r="M101" s="6"/>
      <c r="N101" s="6"/>
    </row>
    <row r="102" spans="13:14" ht="15" x14ac:dyDescent="0.2">
      <c r="M102" s="6"/>
      <c r="N102" s="6"/>
    </row>
    <row r="103" spans="13:14" ht="15" x14ac:dyDescent="0.2">
      <c r="M103" s="6"/>
      <c r="N103" s="6"/>
    </row>
    <row r="104" spans="13:14" ht="15" x14ac:dyDescent="0.2">
      <c r="M104" s="6"/>
      <c r="N104" s="6"/>
    </row>
    <row r="105" spans="13:14" ht="15" x14ac:dyDescent="0.2">
      <c r="M105" s="6"/>
      <c r="N105" s="6"/>
    </row>
    <row r="106" spans="13:14" ht="15" x14ac:dyDescent="0.2">
      <c r="M106" s="6"/>
      <c r="N106" s="6"/>
    </row>
    <row r="107" spans="13:14" ht="15" x14ac:dyDescent="0.2">
      <c r="M107" s="6"/>
      <c r="N107" s="6"/>
    </row>
    <row r="108" spans="13:14" ht="15" x14ac:dyDescent="0.2">
      <c r="M108" s="6"/>
      <c r="N108" s="6"/>
    </row>
    <row r="109" spans="13:14" ht="15" x14ac:dyDescent="0.2">
      <c r="M109" s="6"/>
      <c r="N109" s="6"/>
    </row>
    <row r="110" spans="13:14" ht="15" x14ac:dyDescent="0.2">
      <c r="M110" s="6"/>
      <c r="N110" s="6"/>
    </row>
    <row r="111" spans="13:14" ht="15" x14ac:dyDescent="0.2">
      <c r="M111" s="6"/>
      <c r="N111" s="6"/>
    </row>
    <row r="112" spans="13:14" ht="15" x14ac:dyDescent="0.2">
      <c r="M112" s="6"/>
      <c r="N112" s="6"/>
    </row>
    <row r="113" spans="13:14" ht="15" x14ac:dyDescent="0.2">
      <c r="M113" s="6"/>
      <c r="N113" s="6"/>
    </row>
    <row r="114" spans="13:14" ht="15" x14ac:dyDescent="0.2">
      <c r="M114" s="6"/>
      <c r="N114" s="6"/>
    </row>
    <row r="115" spans="13:14" ht="15" x14ac:dyDescent="0.2">
      <c r="M115" s="6"/>
      <c r="N115" s="6"/>
    </row>
    <row r="116" spans="13:14" ht="15" x14ac:dyDescent="0.2">
      <c r="M116" s="6"/>
      <c r="N116" s="6"/>
    </row>
    <row r="117" spans="13:14" ht="15" x14ac:dyDescent="0.2">
      <c r="M117" s="6"/>
      <c r="N117" s="6"/>
    </row>
    <row r="118" spans="13:14" ht="15" x14ac:dyDescent="0.2">
      <c r="M118" s="6"/>
      <c r="N118" s="6"/>
    </row>
    <row r="119" spans="13:14" ht="15" x14ac:dyDescent="0.2">
      <c r="M119" s="6"/>
      <c r="N119" s="6"/>
    </row>
    <row r="120" spans="13:14" ht="15" x14ac:dyDescent="0.2">
      <c r="M120" s="6"/>
      <c r="N120" s="6"/>
    </row>
    <row r="121" spans="13:14" ht="15" x14ac:dyDescent="0.2">
      <c r="M121" s="6"/>
      <c r="N121" s="6"/>
    </row>
    <row r="122" spans="13:14" ht="15" x14ac:dyDescent="0.2">
      <c r="M122" s="6"/>
      <c r="N122" s="6"/>
    </row>
    <row r="123" spans="13:14" ht="15" x14ac:dyDescent="0.2">
      <c r="M123" s="6"/>
      <c r="N123" s="6"/>
    </row>
    <row r="124" spans="13:14" ht="15" x14ac:dyDescent="0.2">
      <c r="M124" s="6"/>
      <c r="N124" s="6"/>
    </row>
    <row r="125" spans="13:14" ht="15" x14ac:dyDescent="0.2">
      <c r="M125" s="6"/>
      <c r="N125" s="6"/>
    </row>
    <row r="126" spans="13:14" ht="15" x14ac:dyDescent="0.2">
      <c r="M126" s="6"/>
      <c r="N126" s="6"/>
    </row>
    <row r="127" spans="13:14" ht="15" x14ac:dyDescent="0.2">
      <c r="M127" s="6"/>
      <c r="N127" s="6"/>
    </row>
    <row r="128" spans="13:14" ht="15" x14ac:dyDescent="0.2">
      <c r="M128" s="6"/>
      <c r="N128" s="6"/>
    </row>
    <row r="129" spans="13:14" ht="15" x14ac:dyDescent="0.2">
      <c r="M129" s="6"/>
      <c r="N129" s="6"/>
    </row>
    <row r="130" spans="13:14" ht="15" x14ac:dyDescent="0.2">
      <c r="M130" s="6"/>
      <c r="N130" s="6"/>
    </row>
    <row r="131" spans="13:14" ht="15" x14ac:dyDescent="0.2">
      <c r="M131" s="6"/>
      <c r="N131" s="6"/>
    </row>
    <row r="132" spans="13:14" ht="15" x14ac:dyDescent="0.2">
      <c r="M132" s="6"/>
      <c r="N132" s="6"/>
    </row>
    <row r="133" spans="13:14" ht="15" x14ac:dyDescent="0.2">
      <c r="M133" s="6"/>
      <c r="N133" s="6"/>
    </row>
    <row r="134" spans="13:14" ht="15" x14ac:dyDescent="0.2">
      <c r="M134" s="6"/>
      <c r="N134" s="6"/>
    </row>
    <row r="135" spans="13:14" ht="15" x14ac:dyDescent="0.2">
      <c r="M135" s="6"/>
      <c r="N135" s="6"/>
    </row>
    <row r="136" spans="13:14" ht="15" x14ac:dyDescent="0.2">
      <c r="M136" s="6"/>
      <c r="N136" s="6"/>
    </row>
    <row r="137" spans="13:14" ht="15" x14ac:dyDescent="0.2">
      <c r="M137" s="6"/>
      <c r="N137" s="6"/>
    </row>
    <row r="138" spans="13:14" ht="15" x14ac:dyDescent="0.2">
      <c r="M138" s="6"/>
      <c r="N138" s="6"/>
    </row>
    <row r="139" spans="13:14" ht="15" x14ac:dyDescent="0.2">
      <c r="M139" s="6"/>
      <c r="N139" s="6"/>
    </row>
    <row r="140" spans="13:14" ht="15" x14ac:dyDescent="0.2">
      <c r="M140" s="6"/>
      <c r="N140" s="6"/>
    </row>
    <row r="141" spans="13:14" ht="15" x14ac:dyDescent="0.2">
      <c r="M141" s="6"/>
      <c r="N141" s="6"/>
    </row>
    <row r="142" spans="13:14" ht="15" x14ac:dyDescent="0.2">
      <c r="M142" s="6"/>
      <c r="N142" s="6"/>
    </row>
    <row r="143" spans="13:14" ht="15" x14ac:dyDescent="0.2">
      <c r="M143" s="6"/>
      <c r="N143" s="6"/>
    </row>
    <row r="144" spans="13:14" ht="15" x14ac:dyDescent="0.2">
      <c r="M144" s="6"/>
      <c r="N144" s="6"/>
    </row>
    <row r="145" spans="13:14" ht="15" x14ac:dyDescent="0.2">
      <c r="M145" s="6"/>
      <c r="N145" s="6"/>
    </row>
    <row r="146" spans="13:14" ht="15" x14ac:dyDescent="0.2">
      <c r="M146" s="6"/>
      <c r="N146" s="6"/>
    </row>
    <row r="147" spans="13:14" ht="15" x14ac:dyDescent="0.2">
      <c r="M147" s="6"/>
      <c r="N147" s="6"/>
    </row>
    <row r="148" spans="13:14" ht="15" x14ac:dyDescent="0.2">
      <c r="M148" s="6"/>
      <c r="N148" s="6"/>
    </row>
    <row r="149" spans="13:14" ht="15" x14ac:dyDescent="0.2">
      <c r="M149" s="6"/>
      <c r="N149" s="6"/>
    </row>
    <row r="150" spans="13:14" ht="15" x14ac:dyDescent="0.2">
      <c r="M150" s="6"/>
      <c r="N150" s="6"/>
    </row>
    <row r="151" spans="13:14" ht="15" x14ac:dyDescent="0.2">
      <c r="M151" s="6"/>
      <c r="N151" s="6"/>
    </row>
    <row r="152" spans="13:14" ht="15" x14ac:dyDescent="0.2">
      <c r="M152" s="6"/>
      <c r="N152" s="6"/>
    </row>
    <row r="153" spans="13:14" ht="15" x14ac:dyDescent="0.2">
      <c r="M153" s="6"/>
      <c r="N153" s="6"/>
    </row>
    <row r="154" spans="13:14" ht="15" x14ac:dyDescent="0.2">
      <c r="M154" s="6"/>
      <c r="N154" s="6"/>
    </row>
    <row r="155" spans="13:14" ht="15" x14ac:dyDescent="0.2">
      <c r="M155" s="6"/>
      <c r="N155" s="6"/>
    </row>
    <row r="156" spans="13:14" ht="15" x14ac:dyDescent="0.2">
      <c r="M156" s="6"/>
      <c r="N156" s="6"/>
    </row>
    <row r="157" spans="13:14" ht="15" x14ac:dyDescent="0.2">
      <c r="M157" s="6"/>
      <c r="N157" s="6"/>
    </row>
    <row r="158" spans="13:14" ht="15" x14ac:dyDescent="0.2">
      <c r="M158" s="6"/>
      <c r="N158" s="6"/>
    </row>
    <row r="159" spans="13:14" ht="15" x14ac:dyDescent="0.2">
      <c r="M159" s="6"/>
      <c r="N159" s="6"/>
    </row>
    <row r="160" spans="13:14" ht="15" x14ac:dyDescent="0.2">
      <c r="M160" s="6"/>
      <c r="N160" s="6"/>
    </row>
    <row r="161" spans="13:15" ht="15" x14ac:dyDescent="0.2">
      <c r="M161" s="6"/>
      <c r="N161" s="6"/>
    </row>
    <row r="162" spans="13:15" ht="15" x14ac:dyDescent="0.2">
      <c r="M162" s="6"/>
      <c r="N162" s="6"/>
      <c r="O162" s="6"/>
    </row>
    <row r="163" spans="13:15" ht="15" x14ac:dyDescent="0.2">
      <c r="M163" s="6"/>
      <c r="N163" s="6"/>
    </row>
    <row r="164" spans="13:15" ht="15" x14ac:dyDescent="0.2">
      <c r="M164" s="6"/>
      <c r="N164" s="6"/>
    </row>
    <row r="165" spans="13:15" ht="15" x14ac:dyDescent="0.2">
      <c r="M165" s="6"/>
      <c r="N165" s="6"/>
    </row>
    <row r="166" spans="13:15" ht="15" x14ac:dyDescent="0.2">
      <c r="M166" s="6"/>
      <c r="N166" s="6"/>
    </row>
    <row r="167" spans="13:15" ht="15" x14ac:dyDescent="0.2">
      <c r="M167" s="6"/>
      <c r="N167" s="6"/>
    </row>
    <row r="168" spans="13:15" ht="15" x14ac:dyDescent="0.2">
      <c r="M168" s="6"/>
      <c r="N168" s="6"/>
    </row>
    <row r="169" spans="13:15" ht="15" x14ac:dyDescent="0.2">
      <c r="M169" s="6"/>
      <c r="N169" s="6"/>
    </row>
    <row r="170" spans="13:15" ht="15" x14ac:dyDescent="0.2">
      <c r="M170" s="6"/>
      <c r="N170" s="6"/>
    </row>
    <row r="171" spans="13:15" ht="15" x14ac:dyDescent="0.2">
      <c r="M171" s="6"/>
      <c r="N171" s="6"/>
    </row>
    <row r="172" spans="13:15" ht="15" x14ac:dyDescent="0.2">
      <c r="M172" s="6"/>
      <c r="N172" s="6"/>
    </row>
    <row r="173" spans="13:15" ht="15" x14ac:dyDescent="0.2">
      <c r="M173" s="6"/>
      <c r="N173" s="6"/>
    </row>
    <row r="174" spans="13:15" ht="15" x14ac:dyDescent="0.2">
      <c r="M174" s="6"/>
      <c r="N174" s="6"/>
    </row>
    <row r="175" spans="13:15" ht="15" x14ac:dyDescent="0.2">
      <c r="M175" s="6"/>
      <c r="N175" s="6"/>
    </row>
    <row r="176" spans="13:15" ht="15" x14ac:dyDescent="0.2">
      <c r="M176" s="6"/>
      <c r="N176" s="6"/>
      <c r="O176" s="6"/>
    </row>
    <row r="177" spans="13:15" ht="15" x14ac:dyDescent="0.2">
      <c r="M177" s="6"/>
      <c r="N177" s="6"/>
      <c r="O177" s="6"/>
    </row>
    <row r="178" spans="13:15" ht="15" x14ac:dyDescent="0.2">
      <c r="M178" s="6"/>
      <c r="N178" s="6"/>
      <c r="O178" s="6"/>
    </row>
    <row r="179" spans="13:15" ht="15" x14ac:dyDescent="0.2">
      <c r="M179" s="6"/>
      <c r="N179" s="6"/>
      <c r="O179" s="6"/>
    </row>
    <row r="180" spans="13:15" ht="15" x14ac:dyDescent="0.2">
      <c r="M180" s="6"/>
      <c r="N180" s="6"/>
    </row>
    <row r="181" spans="13:15" ht="15" x14ac:dyDescent="0.2">
      <c r="M181" s="6"/>
      <c r="N181" s="6"/>
    </row>
    <row r="182" spans="13:15" ht="15" x14ac:dyDescent="0.2">
      <c r="M182" s="6"/>
      <c r="N182" s="6"/>
    </row>
    <row r="183" spans="13:15" ht="15" x14ac:dyDescent="0.2">
      <c r="M183" s="6"/>
      <c r="N183" s="6"/>
    </row>
    <row r="184" spans="13:15" ht="15" x14ac:dyDescent="0.2">
      <c r="M184" s="6"/>
      <c r="N184" s="6"/>
    </row>
    <row r="185" spans="13:15" ht="15" x14ac:dyDescent="0.2">
      <c r="M185" s="6"/>
      <c r="N185" s="6"/>
    </row>
    <row r="186" spans="13:15" ht="15" x14ac:dyDescent="0.2">
      <c r="M186" s="6"/>
      <c r="N186" s="6"/>
    </row>
    <row r="187" spans="13:15" ht="15" x14ac:dyDescent="0.2">
      <c r="M187" s="6"/>
      <c r="N187" s="6"/>
    </row>
    <row r="188" spans="13:15" ht="15" x14ac:dyDescent="0.2">
      <c r="M188" s="6"/>
      <c r="N188" s="6"/>
    </row>
    <row r="189" spans="13:15" ht="15" x14ac:dyDescent="0.2">
      <c r="M189" s="6"/>
      <c r="N189" s="6"/>
    </row>
    <row r="190" spans="13:15" ht="15" x14ac:dyDescent="0.2">
      <c r="M190" s="6"/>
      <c r="N190" s="6"/>
    </row>
    <row r="191" spans="13:15" ht="15" x14ac:dyDescent="0.2">
      <c r="M191" s="6"/>
      <c r="N191" s="6"/>
    </row>
    <row r="192" spans="13:15" ht="15" x14ac:dyDescent="0.2">
      <c r="M192" s="6"/>
      <c r="N192" s="6"/>
    </row>
    <row r="193" spans="13:14" ht="15" x14ac:dyDescent="0.2">
      <c r="M193" s="6"/>
      <c r="N193" s="6"/>
    </row>
    <row r="194" spans="13:14" ht="15" x14ac:dyDescent="0.2">
      <c r="M194" s="6"/>
      <c r="N194" s="6"/>
    </row>
    <row r="195" spans="13:14" ht="15" x14ac:dyDescent="0.2">
      <c r="M195" s="6"/>
      <c r="N195" s="6"/>
    </row>
    <row r="196" spans="13:14" ht="15" x14ac:dyDescent="0.2">
      <c r="M196" s="6"/>
      <c r="N196" s="6"/>
    </row>
    <row r="197" spans="13:14" ht="15" x14ac:dyDescent="0.2">
      <c r="M197" s="6"/>
      <c r="N197" s="6"/>
    </row>
    <row r="198" spans="13:14" ht="15" x14ac:dyDescent="0.2">
      <c r="M198" s="6"/>
      <c r="N198" s="6"/>
    </row>
    <row r="199" spans="13:14" ht="15" x14ac:dyDescent="0.2">
      <c r="M199" s="6"/>
      <c r="N199" s="6"/>
    </row>
    <row r="200" spans="13:14" ht="15" x14ac:dyDescent="0.2">
      <c r="M200" s="6"/>
      <c r="N200" s="6"/>
    </row>
    <row r="201" spans="13:14" ht="15" x14ac:dyDescent="0.2">
      <c r="M201" s="6"/>
      <c r="N201" s="6"/>
    </row>
    <row r="202" spans="13:14" ht="15" x14ac:dyDescent="0.2">
      <c r="M202" s="6"/>
      <c r="N202" s="6"/>
    </row>
    <row r="203" spans="13:14" ht="15" x14ac:dyDescent="0.2">
      <c r="M203" s="6"/>
      <c r="N203" s="6"/>
    </row>
    <row r="204" spans="13:14" ht="15" x14ac:dyDescent="0.2">
      <c r="M204" s="6"/>
      <c r="N204" s="6"/>
    </row>
    <row r="205" spans="13:14" ht="15" x14ac:dyDescent="0.2">
      <c r="M205" s="6"/>
      <c r="N205" s="6"/>
    </row>
    <row r="206" spans="13:14" ht="15" x14ac:dyDescent="0.2">
      <c r="M206" s="6"/>
      <c r="N206" s="6"/>
    </row>
    <row r="207" spans="13:14" ht="15" x14ac:dyDescent="0.2">
      <c r="M207" s="6"/>
      <c r="N207" s="6"/>
    </row>
    <row r="208" spans="13:14" ht="15" x14ac:dyDescent="0.2">
      <c r="M208" s="6"/>
      <c r="N208" s="6"/>
    </row>
    <row r="209" spans="13:14" ht="15" x14ac:dyDescent="0.2">
      <c r="M209" s="6"/>
      <c r="N209" s="6"/>
    </row>
    <row r="210" spans="13:14" ht="15" x14ac:dyDescent="0.2">
      <c r="M210" s="6"/>
      <c r="N210" s="6"/>
    </row>
    <row r="211" spans="13:14" ht="15" x14ac:dyDescent="0.2">
      <c r="M211" s="6"/>
      <c r="N211" s="6"/>
    </row>
    <row r="212" spans="13:14" ht="15" x14ac:dyDescent="0.2">
      <c r="M212" s="6"/>
      <c r="N212" s="6"/>
    </row>
    <row r="213" spans="13:14" ht="15" x14ac:dyDescent="0.2">
      <c r="M213" s="6"/>
      <c r="N213" s="6"/>
    </row>
    <row r="214" spans="13:14" ht="15" x14ac:dyDescent="0.2">
      <c r="M214" s="6"/>
      <c r="N214" s="6"/>
    </row>
    <row r="215" spans="13:14" ht="15" x14ac:dyDescent="0.2">
      <c r="M215" s="6"/>
      <c r="N215" s="6"/>
    </row>
    <row r="216" spans="13:14" ht="15" x14ac:dyDescent="0.2">
      <c r="M216" s="6"/>
      <c r="N216" s="6"/>
    </row>
    <row r="217" spans="13:14" ht="15" x14ac:dyDescent="0.2">
      <c r="M217" s="6"/>
      <c r="N217" s="6"/>
    </row>
    <row r="218" spans="13:14" ht="15" x14ac:dyDescent="0.2">
      <c r="M218" s="6"/>
      <c r="N218" s="6"/>
    </row>
    <row r="219" spans="13:14" ht="15" x14ac:dyDescent="0.2">
      <c r="M219" s="6"/>
      <c r="N219" s="6"/>
    </row>
    <row r="220" spans="13:14" ht="15" x14ac:dyDescent="0.2">
      <c r="M220" s="6"/>
      <c r="N220" s="6"/>
    </row>
    <row r="221" spans="13:14" ht="15" x14ac:dyDescent="0.2">
      <c r="M221" s="6"/>
      <c r="N221" s="6"/>
    </row>
    <row r="222" spans="13:14" ht="15" x14ac:dyDescent="0.2">
      <c r="M222" s="6"/>
      <c r="N222" s="6"/>
    </row>
    <row r="223" spans="13:14" ht="15" x14ac:dyDescent="0.2">
      <c r="M223" s="6"/>
      <c r="N223" s="6"/>
    </row>
    <row r="224" spans="13:14" ht="15" x14ac:dyDescent="0.2">
      <c r="M224" s="6"/>
      <c r="N224" s="6"/>
    </row>
    <row r="225" spans="13:14" ht="15" x14ac:dyDescent="0.2">
      <c r="M225" s="6"/>
      <c r="N225" s="6"/>
    </row>
    <row r="226" spans="13:14" ht="15" x14ac:dyDescent="0.2">
      <c r="M226" s="6"/>
      <c r="N226" s="6"/>
    </row>
    <row r="227" spans="13:14" ht="15" x14ac:dyDescent="0.2">
      <c r="M227" s="6"/>
      <c r="N227" s="6"/>
    </row>
    <row r="228" spans="13:14" ht="15" x14ac:dyDescent="0.2">
      <c r="M228" s="6"/>
      <c r="N228" s="6"/>
    </row>
    <row r="229" spans="13:14" ht="15" x14ac:dyDescent="0.2">
      <c r="M229" s="6"/>
      <c r="N229" s="6"/>
    </row>
    <row r="230" spans="13:14" ht="15" x14ac:dyDescent="0.2">
      <c r="M230" s="6"/>
      <c r="N230" s="6"/>
    </row>
    <row r="231" spans="13:14" ht="15" x14ac:dyDescent="0.2">
      <c r="M231" s="6"/>
      <c r="N231" s="6"/>
    </row>
    <row r="232" spans="13:14" ht="15" x14ac:dyDescent="0.2">
      <c r="M232" s="6"/>
      <c r="N232" s="6"/>
    </row>
    <row r="233" spans="13:14" ht="15" x14ac:dyDescent="0.2">
      <c r="M233" s="6"/>
      <c r="N233" s="6"/>
    </row>
    <row r="234" spans="13:14" ht="15" x14ac:dyDescent="0.2">
      <c r="M234" s="6"/>
      <c r="N234" s="6"/>
    </row>
    <row r="235" spans="13:14" ht="15" x14ac:dyDescent="0.2">
      <c r="M235" s="6"/>
      <c r="N235" s="6"/>
    </row>
    <row r="236" spans="13:14" ht="15" x14ac:dyDescent="0.2">
      <c r="M236" s="6"/>
      <c r="N236" s="6"/>
    </row>
    <row r="237" spans="13:14" ht="15" x14ac:dyDescent="0.2">
      <c r="M237" s="6"/>
      <c r="N237" s="6"/>
    </row>
    <row r="238" spans="13:14" ht="15" x14ac:dyDescent="0.2">
      <c r="M238" s="6"/>
      <c r="N238" s="6"/>
    </row>
    <row r="239" spans="13:14" ht="15" x14ac:dyDescent="0.2">
      <c r="M239" s="6"/>
      <c r="N239" s="6"/>
    </row>
    <row r="240" spans="13:14" ht="15" x14ac:dyDescent="0.2">
      <c r="M240" s="6"/>
      <c r="N240" s="6"/>
    </row>
    <row r="241" spans="13:14" ht="15" x14ac:dyDescent="0.2">
      <c r="M241" s="6"/>
      <c r="N241" s="6"/>
    </row>
    <row r="242" spans="13:14" ht="15" x14ac:dyDescent="0.2">
      <c r="M242" s="6"/>
      <c r="N242" s="6"/>
    </row>
    <row r="243" spans="13:14" ht="15" x14ac:dyDescent="0.2">
      <c r="M243" s="6"/>
      <c r="N243" s="6"/>
    </row>
    <row r="244" spans="13:14" ht="15" x14ac:dyDescent="0.2">
      <c r="M244" s="6"/>
      <c r="N244" s="6"/>
    </row>
    <row r="245" spans="13:14" ht="15" x14ac:dyDescent="0.2">
      <c r="M245" s="6"/>
      <c r="N245" s="6"/>
    </row>
    <row r="246" spans="13:14" ht="15" x14ac:dyDescent="0.2">
      <c r="M246" s="6"/>
      <c r="N246" s="6"/>
    </row>
    <row r="247" spans="13:14" ht="15" x14ac:dyDescent="0.2">
      <c r="M247" s="6"/>
      <c r="N247" s="6"/>
    </row>
    <row r="248" spans="13:14" ht="15" x14ac:dyDescent="0.2">
      <c r="M248" s="6"/>
      <c r="N248" s="6"/>
    </row>
    <row r="249" spans="13:14" ht="15" x14ac:dyDescent="0.2">
      <c r="M249" s="6"/>
      <c r="N249" s="6"/>
    </row>
    <row r="250" spans="13:14" ht="15" x14ac:dyDescent="0.2">
      <c r="M250" s="6"/>
      <c r="N250" s="6"/>
    </row>
    <row r="251" spans="13:14" ht="15" x14ac:dyDescent="0.2">
      <c r="M251" s="6"/>
      <c r="N251" s="6"/>
    </row>
    <row r="252" spans="13:14" ht="15" x14ac:dyDescent="0.2">
      <c r="M252" s="6"/>
      <c r="N252" s="6"/>
    </row>
    <row r="253" spans="13:14" ht="15" x14ac:dyDescent="0.2">
      <c r="M253" s="6"/>
      <c r="N253" s="6"/>
    </row>
    <row r="254" spans="13:14" ht="15" x14ac:dyDescent="0.2">
      <c r="M254" s="6"/>
      <c r="N254" s="6"/>
    </row>
    <row r="255" spans="13:14" ht="15" x14ac:dyDescent="0.2">
      <c r="M255" s="6"/>
      <c r="N255" s="6"/>
    </row>
    <row r="256" spans="13:14" ht="15" x14ac:dyDescent="0.2">
      <c r="M256" s="6"/>
      <c r="N256" s="6"/>
    </row>
    <row r="257" spans="13:14" ht="15" x14ac:dyDescent="0.2">
      <c r="M257" s="6"/>
      <c r="N257" s="6"/>
    </row>
    <row r="258" spans="13:14" ht="15" x14ac:dyDescent="0.2">
      <c r="M258" s="6"/>
      <c r="N258" s="6"/>
    </row>
    <row r="259" spans="13:14" ht="15" x14ac:dyDescent="0.2">
      <c r="M259" s="6"/>
      <c r="N259" s="6"/>
    </row>
    <row r="260" spans="13:14" ht="15" x14ac:dyDescent="0.2">
      <c r="M260" s="6"/>
      <c r="N260" s="6"/>
    </row>
    <row r="261" spans="13:14" ht="15" x14ac:dyDescent="0.2">
      <c r="M261" s="6"/>
      <c r="N261" s="6"/>
    </row>
    <row r="262" spans="13:14" ht="15" x14ac:dyDescent="0.2">
      <c r="M262" s="6"/>
      <c r="N262" s="6"/>
    </row>
    <row r="263" spans="13:14" ht="15" x14ac:dyDescent="0.2">
      <c r="M263" s="6"/>
      <c r="N263" s="6"/>
    </row>
    <row r="264" spans="13:14" ht="15" x14ac:dyDescent="0.2">
      <c r="M264" s="6"/>
      <c r="N264" s="6"/>
    </row>
    <row r="265" spans="13:14" ht="15" x14ac:dyDescent="0.2">
      <c r="M265" s="6"/>
      <c r="N265" s="6"/>
    </row>
    <row r="266" spans="13:14" ht="15" x14ac:dyDescent="0.2">
      <c r="M266" s="6"/>
      <c r="N266" s="6"/>
    </row>
    <row r="267" spans="13:14" ht="15" x14ac:dyDescent="0.2">
      <c r="M267" s="6"/>
      <c r="N267" s="6"/>
    </row>
    <row r="268" spans="13:14" ht="15" x14ac:dyDescent="0.2">
      <c r="M268" s="6"/>
      <c r="N268" s="6"/>
    </row>
    <row r="269" spans="13:14" ht="15" x14ac:dyDescent="0.2">
      <c r="M269" s="6"/>
      <c r="N269" s="6"/>
    </row>
    <row r="270" spans="13:14" ht="15" x14ac:dyDescent="0.2">
      <c r="M270" s="6"/>
      <c r="N270" s="6"/>
    </row>
    <row r="271" spans="13:14" ht="15" x14ac:dyDescent="0.2">
      <c r="M271" s="6"/>
      <c r="N271" s="6"/>
    </row>
    <row r="272" spans="13:14" ht="15" x14ac:dyDescent="0.2">
      <c r="M272" s="6"/>
      <c r="N272" s="6"/>
    </row>
    <row r="273" spans="13:15" ht="15" x14ac:dyDescent="0.2">
      <c r="M273" s="6"/>
      <c r="N273" s="6"/>
    </row>
    <row r="274" spans="13:15" ht="15" x14ac:dyDescent="0.2">
      <c r="M274" s="6"/>
      <c r="N274" s="6"/>
    </row>
    <row r="275" spans="13:15" ht="15" x14ac:dyDescent="0.2">
      <c r="M275" s="6"/>
      <c r="N275" s="6"/>
    </row>
    <row r="276" spans="13:15" ht="15" x14ac:dyDescent="0.2">
      <c r="M276" s="6"/>
      <c r="N276" s="6"/>
    </row>
    <row r="277" spans="13:15" ht="15" x14ac:dyDescent="0.2">
      <c r="M277" s="6"/>
      <c r="N277" s="6"/>
    </row>
    <row r="278" spans="13:15" ht="15" x14ac:dyDescent="0.2">
      <c r="M278" s="6"/>
      <c r="N278" s="6"/>
    </row>
    <row r="279" spans="13:15" ht="15" x14ac:dyDescent="0.2">
      <c r="M279" s="6"/>
      <c r="N279" s="6"/>
    </row>
    <row r="280" spans="13:15" ht="15" x14ac:dyDescent="0.2">
      <c r="M280" s="6"/>
      <c r="N280" s="6"/>
      <c r="O280" s="6"/>
    </row>
    <row r="281" spans="13:15" ht="15" x14ac:dyDescent="0.2">
      <c r="M281" s="6"/>
      <c r="N281" s="6"/>
    </row>
    <row r="282" spans="13:15" ht="15" x14ac:dyDescent="0.2">
      <c r="M282" s="6"/>
      <c r="N282" s="6"/>
    </row>
    <row r="283" spans="13:15" ht="15" x14ac:dyDescent="0.2">
      <c r="M283" s="6"/>
      <c r="N283" s="6"/>
    </row>
    <row r="284" spans="13:15" ht="15" x14ac:dyDescent="0.2">
      <c r="M284" s="6"/>
      <c r="N284" s="6"/>
    </row>
    <row r="285" spans="13:15" ht="15" x14ac:dyDescent="0.2">
      <c r="M285" s="6"/>
      <c r="N285" s="6"/>
    </row>
    <row r="286" spans="13:15" ht="15" x14ac:dyDescent="0.2">
      <c r="M286" s="6"/>
      <c r="N286" s="6"/>
    </row>
    <row r="287" spans="13:15" ht="15" x14ac:dyDescent="0.2">
      <c r="M287" s="6"/>
      <c r="N287" s="6"/>
    </row>
    <row r="288" spans="13:15" ht="15" x14ac:dyDescent="0.2">
      <c r="M288" s="6"/>
      <c r="N288" s="6"/>
    </row>
    <row r="289" spans="13:16" ht="15" x14ac:dyDescent="0.2">
      <c r="M289" s="6"/>
      <c r="N289" s="6"/>
    </row>
    <row r="290" spans="13:16" ht="15" x14ac:dyDescent="0.2">
      <c r="M290" s="6"/>
      <c r="N290" s="6"/>
    </row>
    <row r="291" spans="13:16" ht="15" x14ac:dyDescent="0.2">
      <c r="M291" s="6"/>
      <c r="N291" s="6"/>
    </row>
    <row r="292" spans="13:16" ht="15" x14ac:dyDescent="0.2">
      <c r="M292" s="6"/>
      <c r="N292" s="6"/>
    </row>
    <row r="293" spans="13:16" ht="15" x14ac:dyDescent="0.2">
      <c r="M293" s="6"/>
      <c r="N293" s="6"/>
    </row>
    <row r="294" spans="13:16" ht="15" x14ac:dyDescent="0.2">
      <c r="M294" s="6"/>
      <c r="N294" s="6"/>
      <c r="P294" s="8"/>
    </row>
    <row r="295" spans="13:16" ht="15" x14ac:dyDescent="0.2">
      <c r="M295" s="6"/>
      <c r="N295" s="6"/>
    </row>
    <row r="296" spans="13:16" ht="15" x14ac:dyDescent="0.2">
      <c r="M296" s="6"/>
      <c r="N296" s="6"/>
    </row>
    <row r="297" spans="13:16" ht="15" x14ac:dyDescent="0.2">
      <c r="M297" s="6"/>
      <c r="N297" s="6"/>
    </row>
    <row r="298" spans="13:16" ht="15" x14ac:dyDescent="0.2">
      <c r="M298" s="6"/>
      <c r="N298" s="6"/>
    </row>
    <row r="299" spans="13:16" ht="15" x14ac:dyDescent="0.2">
      <c r="M299" s="6"/>
      <c r="N299" s="6"/>
    </row>
    <row r="300" spans="13:16" ht="15" x14ac:dyDescent="0.2">
      <c r="M300" s="6"/>
      <c r="N300" s="6"/>
    </row>
    <row r="301" spans="13:16" ht="15" x14ac:dyDescent="0.2">
      <c r="M301" s="6"/>
      <c r="N301" s="6"/>
    </row>
    <row r="302" spans="13:16" ht="15" x14ac:dyDescent="0.2">
      <c r="M302" s="6"/>
      <c r="N302" s="6"/>
    </row>
    <row r="303" spans="13:16" ht="15" x14ac:dyDescent="0.2">
      <c r="M303" s="6"/>
      <c r="N303" s="6"/>
    </row>
    <row r="304" spans="13:16" ht="15" x14ac:dyDescent="0.2">
      <c r="M304" s="6"/>
      <c r="N304" s="6"/>
    </row>
    <row r="305" spans="12:14" ht="15" x14ac:dyDescent="0.2">
      <c r="L305" s="9"/>
      <c r="M305" s="6"/>
      <c r="N305" s="6"/>
    </row>
    <row r="306" spans="12:14" ht="15" x14ac:dyDescent="0.2">
      <c r="M306" s="6"/>
      <c r="N306" s="6"/>
    </row>
    <row r="307" spans="12:14" ht="15" x14ac:dyDescent="0.2">
      <c r="M307" s="6"/>
      <c r="N307" s="6"/>
    </row>
    <row r="308" spans="12:14" ht="15" x14ac:dyDescent="0.2">
      <c r="M308" s="6"/>
      <c r="N308" s="6"/>
    </row>
    <row r="309" spans="12:14" ht="15" x14ac:dyDescent="0.2">
      <c r="M309" s="6"/>
      <c r="N309" s="6"/>
    </row>
    <row r="310" spans="12:14" ht="15" x14ac:dyDescent="0.2">
      <c r="M310" s="6"/>
      <c r="N310" s="6"/>
    </row>
    <row r="311" spans="12:14" ht="15" x14ac:dyDescent="0.2">
      <c r="M311" s="6"/>
      <c r="N311" s="6"/>
    </row>
    <row r="312" spans="12:14" ht="15" x14ac:dyDescent="0.2">
      <c r="M312" s="6"/>
      <c r="N312" s="6"/>
    </row>
    <row r="313" spans="12:14" ht="15" x14ac:dyDescent="0.2">
      <c r="M313" s="6"/>
      <c r="N313" s="6"/>
    </row>
    <row r="314" spans="12:14" ht="15" x14ac:dyDescent="0.2">
      <c r="M314" s="6"/>
      <c r="N314" s="6"/>
    </row>
    <row r="315" spans="12:14" ht="15" x14ac:dyDescent="0.2">
      <c r="M315" s="6"/>
      <c r="N315" s="6"/>
    </row>
    <row r="316" spans="12:14" ht="15" x14ac:dyDescent="0.2">
      <c r="M316" s="6"/>
      <c r="N316" s="6"/>
    </row>
    <row r="317" spans="12:14" ht="15" x14ac:dyDescent="0.2">
      <c r="M317" s="6"/>
      <c r="N317" s="6"/>
    </row>
    <row r="318" spans="12:14" ht="15" x14ac:dyDescent="0.2">
      <c r="M318" s="6"/>
      <c r="N318" s="6"/>
    </row>
    <row r="319" spans="12:14" ht="15" x14ac:dyDescent="0.2">
      <c r="M319" s="6"/>
      <c r="N319" s="6"/>
    </row>
    <row r="320" spans="12:14" ht="15" x14ac:dyDescent="0.2">
      <c r="M320" s="6"/>
      <c r="N320" s="6"/>
    </row>
    <row r="321" spans="12:15" ht="15" x14ac:dyDescent="0.2">
      <c r="M321" s="6"/>
      <c r="N321" s="6"/>
    </row>
    <row r="322" spans="12:15" ht="15" x14ac:dyDescent="0.2">
      <c r="M322" s="6"/>
      <c r="N322" s="6"/>
    </row>
    <row r="323" spans="12:15" ht="15" x14ac:dyDescent="0.2">
      <c r="M323" s="6"/>
      <c r="N323" s="6"/>
    </row>
    <row r="324" spans="12:15" ht="15" x14ac:dyDescent="0.2">
      <c r="M324" s="6"/>
      <c r="N324" s="6"/>
    </row>
    <row r="325" spans="12:15" ht="15" x14ac:dyDescent="0.2">
      <c r="M325" s="6"/>
      <c r="N325" s="6"/>
    </row>
    <row r="326" spans="12:15" ht="15" x14ac:dyDescent="0.2">
      <c r="M326" s="6"/>
      <c r="N326" s="6"/>
    </row>
    <row r="327" spans="12:15" ht="15" x14ac:dyDescent="0.2">
      <c r="L327" s="9"/>
      <c r="M327" s="6"/>
      <c r="N327" s="6"/>
      <c r="O327" s="6"/>
    </row>
    <row r="328" spans="12:15" ht="15" x14ac:dyDescent="0.2">
      <c r="M328" s="6"/>
      <c r="N328" s="6"/>
    </row>
    <row r="329" spans="12:15" ht="15" x14ac:dyDescent="0.2">
      <c r="M329" s="6"/>
      <c r="N329" s="6"/>
    </row>
    <row r="330" spans="12:15" ht="15" x14ac:dyDescent="0.2">
      <c r="M330" s="6"/>
      <c r="N330" s="6"/>
      <c r="O330" s="6"/>
    </row>
    <row r="331" spans="12:15" ht="15" x14ac:dyDescent="0.2">
      <c r="M331" s="6"/>
      <c r="N331" s="6"/>
      <c r="O331" s="6"/>
    </row>
    <row r="332" spans="12:15" ht="15" x14ac:dyDescent="0.2">
      <c r="M332" s="6"/>
      <c r="N332" s="6"/>
    </row>
    <row r="333" spans="12:15" ht="15" x14ac:dyDescent="0.2">
      <c r="M333" s="6"/>
      <c r="N333" s="6"/>
    </row>
    <row r="334" spans="12:15" ht="15" x14ac:dyDescent="0.2">
      <c r="M334" s="6"/>
      <c r="N334" s="6"/>
    </row>
    <row r="335" spans="12:15" ht="15" x14ac:dyDescent="0.2">
      <c r="M335" s="6"/>
      <c r="N335" s="6"/>
    </row>
    <row r="336" spans="12:15" ht="15" x14ac:dyDescent="0.2">
      <c r="M336" s="6"/>
      <c r="N336" s="6"/>
    </row>
    <row r="337" spans="13:15" ht="15" x14ac:dyDescent="0.2">
      <c r="M337" s="6"/>
      <c r="N337" s="6"/>
    </row>
    <row r="338" spans="13:15" ht="15" x14ac:dyDescent="0.2">
      <c r="M338" s="6"/>
      <c r="N338" s="6"/>
    </row>
    <row r="339" spans="13:15" ht="15" x14ac:dyDescent="0.2">
      <c r="M339" s="6"/>
      <c r="N339" s="6"/>
    </row>
    <row r="340" spans="13:15" ht="15" x14ac:dyDescent="0.2">
      <c r="M340" s="6"/>
      <c r="N340" s="6"/>
    </row>
    <row r="341" spans="13:15" ht="15" x14ac:dyDescent="0.2">
      <c r="M341" s="6"/>
      <c r="N341" s="6"/>
    </row>
    <row r="342" spans="13:15" ht="15" x14ac:dyDescent="0.2">
      <c r="M342" s="6"/>
      <c r="N342" s="6"/>
    </row>
    <row r="343" spans="13:15" ht="15" x14ac:dyDescent="0.2">
      <c r="M343" s="6"/>
      <c r="N343" s="6"/>
    </row>
    <row r="344" spans="13:15" ht="15" x14ac:dyDescent="0.2">
      <c r="M344" s="6"/>
      <c r="N344" s="6"/>
      <c r="O344" s="6"/>
    </row>
    <row r="345" spans="13:15" ht="15" x14ac:dyDescent="0.2">
      <c r="M345" s="6"/>
      <c r="N345" s="6"/>
    </row>
    <row r="346" spans="13:15" ht="15" x14ac:dyDescent="0.2">
      <c r="M346" s="6"/>
      <c r="N346" s="6"/>
    </row>
    <row r="347" spans="13:15" ht="15" x14ac:dyDescent="0.2">
      <c r="M347" s="6"/>
      <c r="N347" s="6"/>
    </row>
    <row r="348" spans="13:15" ht="15" x14ac:dyDescent="0.2">
      <c r="M348" s="6"/>
      <c r="N348" s="6"/>
    </row>
    <row r="349" spans="13:15" ht="15" x14ac:dyDescent="0.2">
      <c r="M349" s="6"/>
      <c r="N349" s="6"/>
    </row>
    <row r="350" spans="13:15" ht="15" x14ac:dyDescent="0.2">
      <c r="M350" s="6"/>
      <c r="N350" s="6"/>
    </row>
    <row r="351" spans="13:15" ht="15" x14ac:dyDescent="0.2">
      <c r="M351" s="6"/>
      <c r="N351" s="6"/>
    </row>
    <row r="352" spans="13:15" ht="15" x14ac:dyDescent="0.2">
      <c r="M352" s="6"/>
      <c r="N352" s="6"/>
    </row>
    <row r="353" spans="12:15" ht="15" x14ac:dyDescent="0.2">
      <c r="M353" s="6"/>
      <c r="N353" s="6"/>
    </row>
    <row r="354" spans="12:15" ht="15" x14ac:dyDescent="0.2">
      <c r="L354" s="9"/>
      <c r="M354" s="6"/>
      <c r="N354" s="6"/>
      <c r="O354" s="6"/>
    </row>
    <row r="355" spans="12:15" ht="15" x14ac:dyDescent="0.2">
      <c r="M355" s="6"/>
      <c r="N355" s="6"/>
      <c r="O355" s="6"/>
    </row>
    <row r="356" spans="12:15" ht="15" x14ac:dyDescent="0.2">
      <c r="M356" s="6"/>
      <c r="N356" s="6"/>
    </row>
    <row r="357" spans="12:15" ht="15" x14ac:dyDescent="0.2">
      <c r="M357" s="6"/>
      <c r="N357" s="6"/>
    </row>
    <row r="358" spans="12:15" ht="15" x14ac:dyDescent="0.2">
      <c r="L358" s="9"/>
      <c r="M358" s="6"/>
      <c r="N358" s="6"/>
    </row>
    <row r="359" spans="12:15" ht="15" x14ac:dyDescent="0.2">
      <c r="M359" s="6"/>
      <c r="N359" s="6"/>
    </row>
    <row r="360" spans="12:15" ht="15" x14ac:dyDescent="0.2">
      <c r="M360" s="6"/>
      <c r="N360" s="6"/>
      <c r="O360" s="6"/>
    </row>
    <row r="361" spans="12:15" ht="15" x14ac:dyDescent="0.2">
      <c r="M361" s="6"/>
      <c r="N361" s="6"/>
    </row>
    <row r="362" spans="12:15" ht="15" x14ac:dyDescent="0.2">
      <c r="M362" s="6"/>
      <c r="N362" s="6"/>
    </row>
    <row r="363" spans="12:15" ht="15" x14ac:dyDescent="0.2">
      <c r="M363" s="6"/>
      <c r="N363" s="6"/>
    </row>
    <row r="364" spans="12:15" ht="15" x14ac:dyDescent="0.2">
      <c r="M364" s="6"/>
      <c r="N364" s="6"/>
    </row>
    <row r="365" spans="12:15" ht="15" x14ac:dyDescent="0.2">
      <c r="M365" s="6"/>
      <c r="N365" s="6"/>
    </row>
    <row r="366" spans="12:15" ht="15" x14ac:dyDescent="0.2">
      <c r="M366" s="6"/>
      <c r="N366" s="6"/>
    </row>
    <row r="367" spans="12:15" ht="15" x14ac:dyDescent="0.2">
      <c r="M367" s="6"/>
      <c r="N367" s="6"/>
    </row>
    <row r="368" spans="12:15" ht="15" x14ac:dyDescent="0.2">
      <c r="M368" s="6"/>
      <c r="N368" s="6"/>
    </row>
    <row r="369" spans="12:16" ht="15" x14ac:dyDescent="0.2">
      <c r="L369" s="9"/>
      <c r="M369" s="6"/>
      <c r="N369" s="6"/>
      <c r="O369" s="6"/>
    </row>
    <row r="370" spans="12:16" ht="15" x14ac:dyDescent="0.2">
      <c r="M370" s="6"/>
      <c r="N370" s="6"/>
    </row>
    <row r="371" spans="12:16" ht="15" x14ac:dyDescent="0.2">
      <c r="M371" s="6"/>
      <c r="N371" s="6"/>
    </row>
    <row r="372" spans="12:16" ht="15" x14ac:dyDescent="0.2">
      <c r="M372" s="6"/>
      <c r="N372" s="6"/>
    </row>
    <row r="373" spans="12:16" ht="15" x14ac:dyDescent="0.2">
      <c r="M373" s="6"/>
      <c r="N373" s="6"/>
    </row>
    <row r="374" spans="12:16" ht="15" x14ac:dyDescent="0.2">
      <c r="M374" s="6"/>
      <c r="N374" s="6"/>
    </row>
    <row r="375" spans="12:16" ht="15" x14ac:dyDescent="0.2">
      <c r="M375" s="6"/>
      <c r="N375" s="6"/>
    </row>
    <row r="376" spans="12:16" ht="15" x14ac:dyDescent="0.2">
      <c r="M376" s="6"/>
      <c r="N376" s="6"/>
    </row>
    <row r="377" spans="12:16" ht="15" x14ac:dyDescent="0.2">
      <c r="M377" s="6"/>
      <c r="N377" s="6"/>
    </row>
    <row r="378" spans="12:16" ht="15" x14ac:dyDescent="0.2">
      <c r="M378" s="6"/>
      <c r="N378" s="6"/>
      <c r="O378" s="6"/>
    </row>
    <row r="379" spans="12:16" ht="15" x14ac:dyDescent="0.2">
      <c r="M379" s="6"/>
      <c r="N379" s="6"/>
    </row>
    <row r="380" spans="12:16" ht="15" x14ac:dyDescent="0.2">
      <c r="M380" s="6"/>
      <c r="N380" s="6"/>
      <c r="O380" s="6"/>
    </row>
    <row r="381" spans="12:16" ht="15" x14ac:dyDescent="0.2">
      <c r="M381" s="6"/>
      <c r="N381" s="6"/>
      <c r="O381" s="6"/>
    </row>
    <row r="382" spans="12:16" ht="15" x14ac:dyDescent="0.2">
      <c r="L382" s="9"/>
      <c r="M382" s="6"/>
      <c r="N382" s="6"/>
      <c r="O382" s="6"/>
      <c r="P382" s="7"/>
    </row>
    <row r="383" spans="12:16" ht="15" x14ac:dyDescent="0.2">
      <c r="L383" s="9"/>
      <c r="M383" s="6"/>
      <c r="N383" s="6"/>
      <c r="O383" s="6"/>
    </row>
    <row r="384" spans="12:16" ht="15" x14ac:dyDescent="0.2">
      <c r="L384" s="9"/>
      <c r="M384" s="6"/>
      <c r="N384" s="6"/>
      <c r="O384" s="6"/>
    </row>
    <row r="385" spans="13:15" ht="15" x14ac:dyDescent="0.2">
      <c r="M385" s="6"/>
      <c r="N385" s="6"/>
      <c r="O385" s="6"/>
    </row>
    <row r="386" spans="13:15" ht="15" x14ac:dyDescent="0.2">
      <c r="M386" s="6"/>
      <c r="N386" s="6"/>
      <c r="O386" s="6"/>
    </row>
    <row r="387" spans="13:15" ht="15" x14ac:dyDescent="0.2">
      <c r="M387" s="6"/>
      <c r="N387" s="6"/>
      <c r="O387" s="6"/>
    </row>
    <row r="388" spans="13:15" ht="15" x14ac:dyDescent="0.2">
      <c r="M388" s="6"/>
      <c r="N388" s="6"/>
      <c r="O388" s="6"/>
    </row>
    <row r="389" spans="13:15" ht="15" x14ac:dyDescent="0.2">
      <c r="M389" s="6"/>
      <c r="N389" s="6"/>
      <c r="O389" s="6"/>
    </row>
    <row r="390" spans="13:15" ht="15" x14ac:dyDescent="0.2">
      <c r="M390" s="6"/>
      <c r="N390" s="6"/>
      <c r="O390" s="6"/>
    </row>
    <row r="391" spans="13:15" ht="15" x14ac:dyDescent="0.2">
      <c r="M391" s="6"/>
      <c r="N391" s="6"/>
    </row>
    <row r="392" spans="13:15" ht="15" x14ac:dyDescent="0.2">
      <c r="M392" s="6"/>
      <c r="N392" s="6"/>
    </row>
    <row r="393" spans="13:15" ht="15" x14ac:dyDescent="0.2">
      <c r="M393" s="6"/>
      <c r="N393" s="6"/>
    </row>
    <row r="394" spans="13:15" ht="15" x14ac:dyDescent="0.2">
      <c r="M394" s="6"/>
      <c r="N394" s="6"/>
    </row>
    <row r="395" spans="13:15" ht="15" x14ac:dyDescent="0.2">
      <c r="M395" s="6"/>
      <c r="N395" s="6"/>
    </row>
    <row r="396" spans="13:15" ht="15" x14ac:dyDescent="0.2">
      <c r="M396" s="6"/>
      <c r="N396" s="6"/>
    </row>
    <row r="397" spans="13:15" ht="15" x14ac:dyDescent="0.2">
      <c r="M397" s="6"/>
      <c r="N397" s="6"/>
    </row>
    <row r="398" spans="13:15" ht="15" x14ac:dyDescent="0.2">
      <c r="M398" s="6"/>
      <c r="N398" s="6"/>
    </row>
    <row r="399" spans="13:15" ht="15" x14ac:dyDescent="0.2">
      <c r="M399" s="6"/>
      <c r="N399" s="6"/>
    </row>
    <row r="400" spans="13:15" ht="15" x14ac:dyDescent="0.2">
      <c r="M400" s="6"/>
      <c r="N400" s="6"/>
    </row>
    <row r="401" spans="13:16" ht="15" x14ac:dyDescent="0.2">
      <c r="M401" s="6"/>
      <c r="N401" s="6"/>
    </row>
    <row r="402" spans="13:16" ht="15" x14ac:dyDescent="0.2">
      <c r="M402" s="6"/>
      <c r="N402" s="6"/>
    </row>
    <row r="403" spans="13:16" ht="15" x14ac:dyDescent="0.2">
      <c r="M403" s="6"/>
      <c r="N403" s="6"/>
      <c r="P403" s="8"/>
    </row>
    <row r="404" spans="13:16" ht="15" x14ac:dyDescent="0.2">
      <c r="M404" s="6"/>
      <c r="N404" s="6"/>
    </row>
    <row r="405" spans="13:16" ht="15" x14ac:dyDescent="0.2">
      <c r="M405" s="6"/>
      <c r="N405" s="6"/>
    </row>
    <row r="406" spans="13:16" ht="15" x14ac:dyDescent="0.2">
      <c r="M406" s="6"/>
      <c r="N406" s="6"/>
    </row>
    <row r="407" spans="13:16" ht="15" x14ac:dyDescent="0.2">
      <c r="M407" s="6"/>
      <c r="N407" s="6"/>
    </row>
    <row r="408" spans="13:16" ht="15" x14ac:dyDescent="0.2">
      <c r="M408" s="6"/>
      <c r="N408" s="6"/>
    </row>
    <row r="409" spans="13:16" ht="15" x14ac:dyDescent="0.2">
      <c r="M409" s="6"/>
      <c r="N409" s="6"/>
    </row>
    <row r="410" spans="13:16" ht="15" x14ac:dyDescent="0.2">
      <c r="M410" s="6"/>
      <c r="N410" s="6"/>
    </row>
    <row r="411" spans="13:16" ht="15" x14ac:dyDescent="0.2">
      <c r="M411" s="6"/>
      <c r="N411" s="6"/>
    </row>
    <row r="412" spans="13:16" ht="15" x14ac:dyDescent="0.2">
      <c r="M412" s="6"/>
      <c r="N412" s="6"/>
    </row>
    <row r="413" spans="13:16" ht="15" x14ac:dyDescent="0.2">
      <c r="M413" s="6"/>
      <c r="N413" s="6"/>
    </row>
    <row r="414" spans="13:16" ht="15" x14ac:dyDescent="0.2">
      <c r="M414" s="6"/>
      <c r="N414" s="6"/>
    </row>
    <row r="415" spans="13:16" ht="15" x14ac:dyDescent="0.2">
      <c r="M415" s="6"/>
      <c r="N415" s="6"/>
    </row>
    <row r="416" spans="13:16" ht="15" x14ac:dyDescent="0.2">
      <c r="M416" s="6"/>
      <c r="N416" s="6"/>
    </row>
    <row r="417" spans="12:15" ht="15" x14ac:dyDescent="0.2">
      <c r="M417" s="6"/>
      <c r="N417" s="6"/>
      <c r="O417" s="6"/>
    </row>
    <row r="418" spans="12:15" ht="15" x14ac:dyDescent="0.2">
      <c r="M418" s="6"/>
      <c r="N418" s="6"/>
    </row>
    <row r="419" spans="12:15" ht="15" x14ac:dyDescent="0.2">
      <c r="L419" s="9"/>
      <c r="M419" s="6"/>
      <c r="N419" s="6"/>
      <c r="O419" s="6"/>
    </row>
    <row r="420" spans="12:15" ht="15" x14ac:dyDescent="0.2">
      <c r="M420" s="6"/>
      <c r="N420" s="6"/>
    </row>
    <row r="421" spans="12:15" ht="15" x14ac:dyDescent="0.2">
      <c r="M421" s="6"/>
      <c r="N421" s="6"/>
    </row>
    <row r="422" spans="12:15" ht="15" x14ac:dyDescent="0.2">
      <c r="M422" s="6"/>
      <c r="N422" s="6"/>
    </row>
    <row r="423" spans="12:15" ht="15" x14ac:dyDescent="0.2">
      <c r="L423" s="9"/>
      <c r="M423" s="6"/>
      <c r="N423" s="6"/>
      <c r="O423" s="6"/>
    </row>
    <row r="424" spans="12:15" ht="15" x14ac:dyDescent="0.2">
      <c r="M424" s="6"/>
      <c r="N424" s="6"/>
      <c r="O424" s="6"/>
    </row>
    <row r="425" spans="12:15" ht="15" x14ac:dyDescent="0.2">
      <c r="M425" s="6"/>
      <c r="N425" s="6"/>
    </row>
    <row r="426" spans="12:15" ht="15" x14ac:dyDescent="0.2">
      <c r="M426" s="6"/>
      <c r="N426" s="6"/>
    </row>
    <row r="427" spans="12:15" ht="15" x14ac:dyDescent="0.2">
      <c r="M427" s="6"/>
      <c r="N427" s="6"/>
    </row>
    <row r="428" spans="12:15" ht="15" x14ac:dyDescent="0.2">
      <c r="M428" s="6"/>
      <c r="N428" s="6"/>
    </row>
    <row r="429" spans="12:15" ht="15" x14ac:dyDescent="0.2">
      <c r="M429" s="6"/>
      <c r="N429" s="6"/>
    </row>
    <row r="430" spans="12:15" ht="15" x14ac:dyDescent="0.2">
      <c r="M430" s="6"/>
      <c r="N430" s="6"/>
    </row>
    <row r="431" spans="12:15" ht="15" x14ac:dyDescent="0.2">
      <c r="M431" s="6"/>
      <c r="N431" s="6"/>
    </row>
    <row r="432" spans="12:15" ht="15" x14ac:dyDescent="0.2">
      <c r="M432" s="6"/>
      <c r="N432" s="6"/>
    </row>
    <row r="433" spans="13:15" ht="15" x14ac:dyDescent="0.2">
      <c r="M433" s="6"/>
      <c r="N433" s="6"/>
    </row>
    <row r="434" spans="13:15" ht="15" x14ac:dyDescent="0.2">
      <c r="M434" s="6"/>
      <c r="N434" s="6"/>
    </row>
    <row r="435" spans="13:15" ht="15" x14ac:dyDescent="0.2">
      <c r="M435" s="6"/>
      <c r="N435" s="6"/>
    </row>
    <row r="436" spans="13:15" ht="15" x14ac:dyDescent="0.2">
      <c r="M436" s="6"/>
      <c r="N436" s="6"/>
    </row>
    <row r="437" spans="13:15" ht="15" x14ac:dyDescent="0.2">
      <c r="M437" s="6"/>
      <c r="N437" s="6"/>
    </row>
    <row r="438" spans="13:15" ht="15" x14ac:dyDescent="0.2">
      <c r="M438" s="6"/>
      <c r="N438" s="6"/>
    </row>
    <row r="439" spans="13:15" ht="15" x14ac:dyDescent="0.2">
      <c r="M439" s="6"/>
      <c r="N439" s="6"/>
    </row>
    <row r="440" spans="13:15" ht="15" x14ac:dyDescent="0.2">
      <c r="M440" s="6"/>
      <c r="N440" s="6"/>
      <c r="O440" s="6"/>
    </row>
    <row r="441" spans="13:15" ht="15" x14ac:dyDescent="0.2">
      <c r="M441" s="6"/>
      <c r="N441" s="6"/>
    </row>
    <row r="442" spans="13:15" ht="15" x14ac:dyDescent="0.2">
      <c r="M442" s="6"/>
      <c r="N442" s="6"/>
    </row>
    <row r="443" spans="13:15" ht="15" x14ac:dyDescent="0.2">
      <c r="M443" s="6"/>
      <c r="N443" s="6"/>
    </row>
    <row r="444" spans="13:15" ht="15" x14ac:dyDescent="0.2">
      <c r="M444" s="6"/>
      <c r="N444" s="6"/>
    </row>
    <row r="445" spans="13:15" ht="15" x14ac:dyDescent="0.2">
      <c r="M445" s="6"/>
      <c r="N445" s="6"/>
    </row>
    <row r="446" spans="13:15" ht="15" x14ac:dyDescent="0.2">
      <c r="M446" s="6"/>
      <c r="N446" s="6"/>
    </row>
    <row r="447" spans="13:15" ht="15" x14ac:dyDescent="0.2">
      <c r="M447" s="6"/>
      <c r="N447" s="6"/>
    </row>
    <row r="448" spans="13:15" ht="15" x14ac:dyDescent="0.2">
      <c r="M448" s="6"/>
      <c r="N448" s="6"/>
    </row>
    <row r="449" spans="13:16" ht="15" x14ac:dyDescent="0.2">
      <c r="M449" s="6"/>
      <c r="N449" s="6"/>
    </row>
    <row r="450" spans="13:16" ht="15" x14ac:dyDescent="0.2">
      <c r="M450" s="6"/>
      <c r="N450" s="6"/>
    </row>
    <row r="451" spans="13:16" ht="15" x14ac:dyDescent="0.2">
      <c r="M451" s="6"/>
      <c r="N451" s="6"/>
    </row>
    <row r="452" spans="13:16" ht="15" x14ac:dyDescent="0.2">
      <c r="M452" s="6"/>
      <c r="N452" s="6"/>
    </row>
    <row r="453" spans="13:16" ht="15" x14ac:dyDescent="0.2">
      <c r="M453" s="6"/>
      <c r="N453" s="6"/>
      <c r="O453" s="6"/>
    </row>
    <row r="454" spans="13:16" ht="15" x14ac:dyDescent="0.2">
      <c r="M454" s="6"/>
      <c r="N454" s="6"/>
    </row>
    <row r="455" spans="13:16" ht="15" x14ac:dyDescent="0.2">
      <c r="M455" s="6"/>
      <c r="N455" s="6"/>
    </row>
    <row r="456" spans="13:16" ht="15" x14ac:dyDescent="0.2">
      <c r="M456" s="6"/>
      <c r="N456" s="6"/>
      <c r="O456" s="6"/>
    </row>
    <row r="457" spans="13:16" ht="15" x14ac:dyDescent="0.2">
      <c r="M457" s="6"/>
      <c r="N457" s="6"/>
      <c r="O457" s="6"/>
    </row>
    <row r="458" spans="13:16" ht="15" x14ac:dyDescent="0.2">
      <c r="M458" s="6"/>
      <c r="N458" s="6"/>
    </row>
    <row r="459" spans="13:16" ht="15" x14ac:dyDescent="0.2">
      <c r="M459" s="6"/>
      <c r="N459" s="6"/>
      <c r="O459" s="6"/>
    </row>
    <row r="460" spans="13:16" ht="15" x14ac:dyDescent="0.2">
      <c r="M460" s="6"/>
      <c r="N460" s="6"/>
      <c r="P460" s="8"/>
    </row>
    <row r="461" spans="13:16" ht="15" x14ac:dyDescent="0.2">
      <c r="M461" s="6"/>
      <c r="N461" s="6"/>
      <c r="O461" s="6"/>
    </row>
    <row r="462" spans="13:16" ht="15" x14ac:dyDescent="0.2">
      <c r="M462" s="6"/>
      <c r="N462" s="6"/>
      <c r="O462" s="6"/>
    </row>
    <row r="463" spans="13:16" ht="15" x14ac:dyDescent="0.2">
      <c r="M463" s="6"/>
      <c r="N463" s="6"/>
      <c r="P463" s="8"/>
    </row>
    <row r="464" spans="13:16" ht="15" x14ac:dyDescent="0.2">
      <c r="M464" s="6"/>
      <c r="N464" s="6"/>
    </row>
    <row r="465" spans="12:15" ht="15" x14ac:dyDescent="0.2">
      <c r="M465" s="6"/>
      <c r="N465" s="6"/>
    </row>
    <row r="466" spans="12:15" ht="15" x14ac:dyDescent="0.2">
      <c r="M466" s="6"/>
      <c r="N466" s="6"/>
    </row>
    <row r="467" spans="12:15" ht="15" x14ac:dyDescent="0.2">
      <c r="M467" s="6"/>
      <c r="N467" s="6"/>
    </row>
    <row r="468" spans="12:15" ht="15" x14ac:dyDescent="0.2">
      <c r="M468" s="6"/>
      <c r="N468" s="6"/>
    </row>
    <row r="469" spans="12:15" ht="15" x14ac:dyDescent="0.2">
      <c r="M469" s="6"/>
      <c r="N469" s="6"/>
    </row>
    <row r="470" spans="12:15" ht="15" x14ac:dyDescent="0.2">
      <c r="M470" s="6"/>
      <c r="N470" s="6"/>
    </row>
    <row r="471" spans="12:15" ht="15" x14ac:dyDescent="0.2">
      <c r="M471" s="6"/>
      <c r="N471" s="6"/>
    </row>
    <row r="472" spans="12:15" ht="15" x14ac:dyDescent="0.2">
      <c r="L472" s="9"/>
      <c r="M472" s="6"/>
      <c r="N472" s="6"/>
      <c r="O472" s="6"/>
    </row>
    <row r="473" spans="12:15" ht="15" x14ac:dyDescent="0.2">
      <c r="M473" s="6"/>
      <c r="N473" s="6"/>
    </row>
    <row r="474" spans="12:15" ht="15" x14ac:dyDescent="0.2">
      <c r="M474" s="6"/>
      <c r="N474" s="6"/>
    </row>
    <row r="475" spans="12:15" ht="15" x14ac:dyDescent="0.2">
      <c r="M475" s="6"/>
      <c r="N475" s="6"/>
    </row>
    <row r="476" spans="12:15" ht="15" x14ac:dyDescent="0.2">
      <c r="M476" s="6"/>
      <c r="N476" s="6"/>
    </row>
    <row r="477" spans="12:15" ht="15" x14ac:dyDescent="0.2">
      <c r="M477" s="6"/>
      <c r="N477" s="6"/>
    </row>
    <row r="478" spans="12:15" ht="15" x14ac:dyDescent="0.2">
      <c r="M478" s="6"/>
      <c r="N478" s="6"/>
    </row>
    <row r="479" spans="12:15" ht="15" x14ac:dyDescent="0.2">
      <c r="M479" s="6"/>
      <c r="N479" s="6"/>
    </row>
    <row r="480" spans="12:15" ht="15" x14ac:dyDescent="0.2">
      <c r="M480" s="6"/>
      <c r="N480" s="6"/>
    </row>
    <row r="481" spans="13:14" ht="15" x14ac:dyDescent="0.2">
      <c r="M481" s="6"/>
      <c r="N481" s="6"/>
    </row>
    <row r="482" spans="13:14" ht="15" x14ac:dyDescent="0.2">
      <c r="M482" s="6"/>
      <c r="N482" s="6"/>
    </row>
    <row r="483" spans="13:14" ht="15" x14ac:dyDescent="0.2">
      <c r="M483" s="6"/>
      <c r="N483" s="6"/>
    </row>
    <row r="484" spans="13:14" ht="15" x14ac:dyDescent="0.2">
      <c r="M484" s="6"/>
      <c r="N484" s="6"/>
    </row>
    <row r="485" spans="13:14" ht="15" x14ac:dyDescent="0.2">
      <c r="M485" s="6"/>
      <c r="N485" s="6"/>
    </row>
    <row r="486" spans="13:14" ht="15" x14ac:dyDescent="0.2">
      <c r="M486" s="6"/>
      <c r="N486" s="6"/>
    </row>
    <row r="487" spans="13:14" ht="15" x14ac:dyDescent="0.2">
      <c r="M487" s="6"/>
      <c r="N487" s="6"/>
    </row>
    <row r="488" spans="13:14" ht="15" x14ac:dyDescent="0.2">
      <c r="M488" s="6"/>
      <c r="N488" s="6"/>
    </row>
    <row r="489" spans="13:14" ht="15" x14ac:dyDescent="0.2">
      <c r="M489" s="6"/>
      <c r="N489" s="6"/>
    </row>
    <row r="490" spans="13:14" ht="15" x14ac:dyDescent="0.2">
      <c r="M490" s="6"/>
      <c r="N490" s="6"/>
    </row>
    <row r="491" spans="13:14" ht="15" x14ac:dyDescent="0.2">
      <c r="M491" s="6"/>
      <c r="N491" s="6"/>
    </row>
    <row r="492" spans="13:14" ht="15" x14ac:dyDescent="0.2">
      <c r="M492" s="6"/>
      <c r="N492" s="6"/>
    </row>
    <row r="493" spans="13:14" ht="15" x14ac:dyDescent="0.2">
      <c r="M493" s="6"/>
      <c r="N493" s="6"/>
    </row>
    <row r="494" spans="13:14" ht="15" x14ac:dyDescent="0.2">
      <c r="M494" s="6"/>
      <c r="N494" s="6"/>
    </row>
    <row r="495" spans="13:14" ht="15" x14ac:dyDescent="0.2">
      <c r="M495" s="6"/>
      <c r="N495" s="6"/>
    </row>
    <row r="496" spans="13:14" ht="15" x14ac:dyDescent="0.2">
      <c r="M496" s="6"/>
      <c r="N496" s="6"/>
    </row>
    <row r="497" spans="12:16" ht="15" x14ac:dyDescent="0.2">
      <c r="M497" s="6"/>
      <c r="N497" s="6"/>
    </row>
    <row r="498" spans="12:16" ht="15" x14ac:dyDescent="0.2">
      <c r="M498" s="6"/>
      <c r="N498" s="6"/>
    </row>
    <row r="499" spans="12:16" ht="15" x14ac:dyDescent="0.2">
      <c r="M499" s="6"/>
      <c r="N499" s="6"/>
    </row>
    <row r="500" spans="12:16" ht="15" x14ac:dyDescent="0.2">
      <c r="M500" s="6"/>
      <c r="N500" s="6"/>
    </row>
    <row r="501" spans="12:16" ht="15" x14ac:dyDescent="0.2">
      <c r="M501" s="6"/>
      <c r="N501" s="6"/>
    </row>
    <row r="502" spans="12:16" ht="15" x14ac:dyDescent="0.2">
      <c r="L502" s="9"/>
      <c r="M502" s="6"/>
      <c r="N502" s="6"/>
      <c r="O502" s="6"/>
    </row>
    <row r="503" spans="12:16" ht="15" x14ac:dyDescent="0.2">
      <c r="M503" s="6"/>
      <c r="N503" s="6"/>
      <c r="P503" s="8"/>
    </row>
    <row r="504" spans="12:16" ht="15" x14ac:dyDescent="0.2">
      <c r="M504" s="6"/>
      <c r="N504" s="6"/>
      <c r="O504" s="6"/>
      <c r="P504" s="7"/>
    </row>
    <row r="505" spans="12:16" ht="15" x14ac:dyDescent="0.2">
      <c r="M505" s="6"/>
      <c r="N505" s="6"/>
      <c r="O505" s="6"/>
    </row>
    <row r="506" spans="12:16" ht="15" x14ac:dyDescent="0.2">
      <c r="M506" s="6"/>
      <c r="N506" s="6"/>
    </row>
    <row r="507" spans="12:16" ht="15" x14ac:dyDescent="0.2">
      <c r="M507" s="6"/>
      <c r="N507" s="6"/>
    </row>
    <row r="508" spans="12:16" ht="15" x14ac:dyDescent="0.2">
      <c r="L508" s="9"/>
      <c r="M508" s="6"/>
      <c r="N508" s="6"/>
    </row>
    <row r="509" spans="12:16" ht="15" x14ac:dyDescent="0.2">
      <c r="M509" s="6"/>
      <c r="N509" s="6"/>
    </row>
    <row r="510" spans="12:16" ht="15" x14ac:dyDescent="0.2">
      <c r="M510" s="6"/>
      <c r="N510" s="6"/>
    </row>
    <row r="511" spans="12:16" ht="15" x14ac:dyDescent="0.2">
      <c r="L511" s="9"/>
      <c r="M511" s="6"/>
      <c r="N511" s="6"/>
    </row>
    <row r="512" spans="12:16" ht="15" x14ac:dyDescent="0.2">
      <c r="M512" s="6"/>
      <c r="N512" s="6"/>
    </row>
    <row r="513" spans="13:14" ht="15" x14ac:dyDescent="0.2">
      <c r="M513" s="6"/>
      <c r="N513" s="6"/>
    </row>
    <row r="514" spans="13:14" ht="15" x14ac:dyDescent="0.2">
      <c r="M514" s="6"/>
      <c r="N514" s="6"/>
    </row>
    <row r="515" spans="13:14" ht="15" x14ac:dyDescent="0.2">
      <c r="M515" s="6"/>
      <c r="N515" s="6"/>
    </row>
    <row r="516" spans="13:14" ht="15" x14ac:dyDescent="0.2">
      <c r="M516" s="6"/>
      <c r="N516" s="6"/>
    </row>
    <row r="517" spans="13:14" ht="15" x14ac:dyDescent="0.2">
      <c r="M517" s="6"/>
      <c r="N517" s="6"/>
    </row>
    <row r="518" spans="13:14" ht="15" x14ac:dyDescent="0.2">
      <c r="M518" s="6"/>
      <c r="N518" s="6"/>
    </row>
    <row r="519" spans="13:14" ht="15" x14ac:dyDescent="0.2">
      <c r="M519" s="6"/>
      <c r="N519" s="6"/>
    </row>
    <row r="520" spans="13:14" ht="15" x14ac:dyDescent="0.2">
      <c r="M520" s="6"/>
      <c r="N520" s="6"/>
    </row>
    <row r="521" spans="13:14" ht="15" x14ac:dyDescent="0.2">
      <c r="M521" s="6"/>
      <c r="N521" s="6"/>
    </row>
    <row r="522" spans="13:14" ht="15" x14ac:dyDescent="0.2">
      <c r="M522" s="6"/>
      <c r="N522" s="6"/>
    </row>
    <row r="523" spans="13:14" ht="15" x14ac:dyDescent="0.2">
      <c r="M523" s="6"/>
      <c r="N523" s="6"/>
    </row>
    <row r="524" spans="13:14" ht="15" x14ac:dyDescent="0.2">
      <c r="M524" s="6"/>
      <c r="N524" s="6"/>
    </row>
    <row r="525" spans="13:14" ht="15" x14ac:dyDescent="0.2">
      <c r="M525" s="6"/>
      <c r="N525" s="6"/>
    </row>
    <row r="526" spans="13:14" ht="15" x14ac:dyDescent="0.2">
      <c r="M526" s="6"/>
      <c r="N526" s="6"/>
    </row>
    <row r="527" spans="13:14" ht="15" x14ac:dyDescent="0.2">
      <c r="M527" s="6"/>
      <c r="N527" s="6"/>
    </row>
    <row r="528" spans="13:14" ht="15" x14ac:dyDescent="0.2">
      <c r="M528" s="6"/>
      <c r="N528" s="6"/>
    </row>
    <row r="529" spans="12:16" ht="15" x14ac:dyDescent="0.2">
      <c r="L529" s="9"/>
      <c r="M529" s="6"/>
      <c r="N529" s="6"/>
    </row>
    <row r="530" spans="12:16" ht="15" x14ac:dyDescent="0.2">
      <c r="L530" s="9"/>
      <c r="M530" s="6"/>
      <c r="N530" s="6"/>
    </row>
    <row r="531" spans="12:16" ht="15" x14ac:dyDescent="0.2">
      <c r="M531" s="6"/>
      <c r="N531" s="6"/>
      <c r="O531" s="6"/>
    </row>
    <row r="532" spans="12:16" ht="15" x14ac:dyDescent="0.2">
      <c r="M532" s="6"/>
      <c r="N532" s="6"/>
      <c r="O532" s="6"/>
    </row>
    <row r="533" spans="12:16" ht="15" x14ac:dyDescent="0.2">
      <c r="M533" s="6"/>
      <c r="N533" s="6"/>
      <c r="P533" s="8"/>
    </row>
    <row r="534" spans="12:16" ht="15" x14ac:dyDescent="0.2">
      <c r="M534" s="6"/>
      <c r="N534" s="6"/>
    </row>
    <row r="535" spans="12:16" ht="15" x14ac:dyDescent="0.2">
      <c r="M535" s="6"/>
      <c r="N535" s="6"/>
    </row>
    <row r="536" spans="12:16" ht="15" x14ac:dyDescent="0.2">
      <c r="M536" s="6"/>
      <c r="N536" s="6"/>
    </row>
    <row r="537" spans="12:16" ht="15" x14ac:dyDescent="0.2">
      <c r="M537" s="6"/>
      <c r="N537" s="6"/>
    </row>
    <row r="538" spans="12:16" ht="15" x14ac:dyDescent="0.2">
      <c r="M538" s="6"/>
      <c r="N538" s="6"/>
    </row>
    <row r="539" spans="12:16" ht="15" x14ac:dyDescent="0.2">
      <c r="M539" s="6"/>
      <c r="N539" s="6"/>
    </row>
    <row r="540" spans="12:16" ht="15" x14ac:dyDescent="0.2">
      <c r="M540" s="6"/>
      <c r="N540" s="6"/>
    </row>
    <row r="541" spans="12:16" ht="15" x14ac:dyDescent="0.2">
      <c r="M541" s="6"/>
      <c r="N541" s="6"/>
    </row>
    <row r="542" spans="12:16" ht="15" x14ac:dyDescent="0.2">
      <c r="M542" s="6"/>
      <c r="N542" s="6"/>
    </row>
    <row r="543" spans="12:16" ht="15" x14ac:dyDescent="0.2">
      <c r="M543" s="6"/>
      <c r="N543" s="6"/>
    </row>
    <row r="544" spans="12:16" ht="15" x14ac:dyDescent="0.2">
      <c r="M544" s="6"/>
      <c r="N544" s="6"/>
    </row>
    <row r="545" spans="13:14" ht="15" x14ac:dyDescent="0.2">
      <c r="M545" s="6"/>
      <c r="N545" s="6"/>
    </row>
    <row r="546" spans="13:14" ht="15" x14ac:dyDescent="0.2">
      <c r="M546" s="6"/>
      <c r="N546" s="6"/>
    </row>
    <row r="547" spans="13:14" ht="15" x14ac:dyDescent="0.2">
      <c r="M547" s="6"/>
      <c r="N547" s="6"/>
    </row>
    <row r="548" spans="13:14" ht="15" x14ac:dyDescent="0.2">
      <c r="M548" s="6"/>
      <c r="N548" s="6"/>
    </row>
    <row r="549" spans="13:14" ht="15" x14ac:dyDescent="0.2">
      <c r="M549" s="6"/>
      <c r="N549" s="6"/>
    </row>
    <row r="550" spans="13:14" ht="15" x14ac:dyDescent="0.2">
      <c r="M550" s="6"/>
      <c r="N550" s="6"/>
    </row>
    <row r="551" spans="13:14" ht="15" x14ac:dyDescent="0.2">
      <c r="M551" s="6"/>
      <c r="N551" s="6"/>
    </row>
    <row r="552" spans="13:14" ht="15" x14ac:dyDescent="0.2">
      <c r="M552" s="6"/>
      <c r="N552" s="6"/>
    </row>
    <row r="553" spans="13:14" ht="15" x14ac:dyDescent="0.2">
      <c r="M553" s="6"/>
      <c r="N553" s="6"/>
    </row>
    <row r="554" spans="13:14" ht="15" x14ac:dyDescent="0.2">
      <c r="M554" s="6"/>
      <c r="N554" s="6"/>
    </row>
    <row r="555" spans="13:14" ht="15" x14ac:dyDescent="0.2">
      <c r="M555" s="6"/>
      <c r="N555" s="6"/>
    </row>
    <row r="556" spans="13:14" ht="15" x14ac:dyDescent="0.2">
      <c r="M556" s="6"/>
      <c r="N556" s="6"/>
    </row>
    <row r="557" spans="13:14" ht="15" x14ac:dyDescent="0.2">
      <c r="M557" s="6"/>
      <c r="N557" s="6"/>
    </row>
    <row r="558" spans="13:14" ht="15" x14ac:dyDescent="0.2">
      <c r="M558" s="6"/>
      <c r="N558" s="6"/>
    </row>
    <row r="559" spans="13:14" ht="15" x14ac:dyDescent="0.2">
      <c r="M559" s="6"/>
      <c r="N559" s="6"/>
    </row>
    <row r="560" spans="13:14" ht="15" x14ac:dyDescent="0.2">
      <c r="M560" s="6"/>
      <c r="N560" s="6"/>
    </row>
    <row r="561" spans="12:14" ht="15" x14ac:dyDescent="0.2">
      <c r="M561" s="6"/>
      <c r="N561" s="6"/>
    </row>
    <row r="562" spans="12:14" ht="15" x14ac:dyDescent="0.2">
      <c r="M562" s="6"/>
      <c r="N562" s="6"/>
    </row>
    <row r="563" spans="12:14" ht="15" x14ac:dyDescent="0.2">
      <c r="M563" s="6"/>
      <c r="N563" s="6"/>
    </row>
    <row r="564" spans="12:14" ht="15" x14ac:dyDescent="0.2">
      <c r="M564" s="6"/>
      <c r="N564" s="6"/>
    </row>
    <row r="565" spans="12:14" ht="15" x14ac:dyDescent="0.2">
      <c r="M565" s="6"/>
      <c r="N565" s="6"/>
    </row>
    <row r="566" spans="12:14" ht="15" x14ac:dyDescent="0.2">
      <c r="M566" s="6"/>
      <c r="N566" s="6"/>
    </row>
    <row r="567" spans="12:14" ht="15" x14ac:dyDescent="0.2">
      <c r="M567" s="6"/>
      <c r="N567" s="6"/>
    </row>
    <row r="568" spans="12:14" ht="15" x14ac:dyDescent="0.2">
      <c r="L568" s="9"/>
      <c r="M568" s="6"/>
      <c r="N568" s="6"/>
    </row>
    <row r="569" spans="12:14" ht="15" x14ac:dyDescent="0.2">
      <c r="L569" s="9"/>
      <c r="M569" s="6"/>
      <c r="N569" s="6"/>
    </row>
    <row r="570" spans="12:14" ht="15" x14ac:dyDescent="0.2">
      <c r="M570" s="6"/>
      <c r="N570" s="6"/>
    </row>
    <row r="571" spans="12:14" ht="15" x14ac:dyDescent="0.2">
      <c r="M571" s="6"/>
      <c r="N571" s="6"/>
    </row>
    <row r="572" spans="12:14" ht="15" x14ac:dyDescent="0.2">
      <c r="M572" s="6"/>
      <c r="N572" s="6"/>
    </row>
    <row r="573" spans="12:14" ht="15" x14ac:dyDescent="0.2">
      <c r="M573" s="6"/>
      <c r="N573" s="6"/>
    </row>
    <row r="574" spans="12:14" ht="15" x14ac:dyDescent="0.2">
      <c r="L574" s="9"/>
      <c r="M574" s="6"/>
      <c r="N574" s="6"/>
    </row>
    <row r="575" spans="12:14" ht="15" x14ac:dyDescent="0.2">
      <c r="M575" s="6"/>
      <c r="N575" s="6"/>
    </row>
    <row r="576" spans="12:14" ht="15" x14ac:dyDescent="0.2">
      <c r="M576" s="6"/>
      <c r="N576" s="6"/>
    </row>
    <row r="577" spans="12:15" ht="15" x14ac:dyDescent="0.2">
      <c r="L577" s="9"/>
      <c r="M577" s="6"/>
      <c r="N577" s="6"/>
      <c r="O577" s="6"/>
    </row>
    <row r="578" spans="12:15" ht="15" x14ac:dyDescent="0.2">
      <c r="M578" s="6"/>
      <c r="N578" s="6"/>
    </row>
    <row r="579" spans="12:15" ht="15" x14ac:dyDescent="0.2">
      <c r="M579" s="6"/>
      <c r="N579" s="6"/>
    </row>
    <row r="580" spans="12:15" ht="15" x14ac:dyDescent="0.2">
      <c r="M580" s="6"/>
      <c r="N580" s="6"/>
    </row>
    <row r="581" spans="12:15" ht="15" x14ac:dyDescent="0.2">
      <c r="M581" s="6"/>
      <c r="N581" s="6"/>
    </row>
    <row r="582" spans="12:15" ht="15" x14ac:dyDescent="0.2">
      <c r="M582" s="6"/>
      <c r="N582" s="6"/>
    </row>
    <row r="583" spans="12:15" ht="15" x14ac:dyDescent="0.2">
      <c r="M583" s="6"/>
      <c r="N583" s="6"/>
    </row>
    <row r="584" spans="12:15" ht="15" x14ac:dyDescent="0.2">
      <c r="M584" s="6"/>
      <c r="N584" s="6"/>
    </row>
    <row r="585" spans="12:15" ht="15" x14ac:dyDescent="0.2">
      <c r="M585" s="6"/>
      <c r="N585" s="6"/>
    </row>
    <row r="586" spans="12:15" ht="15" x14ac:dyDescent="0.2">
      <c r="M586" s="6"/>
      <c r="N586" s="6"/>
    </row>
    <row r="587" spans="12:15" ht="15" x14ac:dyDescent="0.2">
      <c r="M587" s="6"/>
      <c r="N587" s="6"/>
    </row>
    <row r="588" spans="12:15" ht="15" x14ac:dyDescent="0.2">
      <c r="M588" s="6"/>
      <c r="N588" s="6"/>
    </row>
    <row r="589" spans="12:15" ht="15" x14ac:dyDescent="0.2">
      <c r="M589" s="6"/>
      <c r="N589" s="6"/>
    </row>
    <row r="590" spans="12:15" ht="15" x14ac:dyDescent="0.2">
      <c r="M590" s="6"/>
      <c r="N590" s="6"/>
    </row>
    <row r="591" spans="12:15" ht="15" x14ac:dyDescent="0.2">
      <c r="M591" s="6"/>
      <c r="N591" s="6"/>
    </row>
    <row r="592" spans="12:15" ht="15" x14ac:dyDescent="0.2">
      <c r="M592" s="6"/>
      <c r="N592" s="6"/>
    </row>
    <row r="593" spans="13:14" ht="15" x14ac:dyDescent="0.2">
      <c r="M593" s="6"/>
      <c r="N593" s="6"/>
    </row>
    <row r="594" spans="13:14" ht="15" x14ac:dyDescent="0.2">
      <c r="M594" s="6"/>
      <c r="N594" s="6"/>
    </row>
    <row r="595" spans="13:14" ht="15" x14ac:dyDescent="0.2">
      <c r="M595" s="6"/>
      <c r="N595" s="6"/>
    </row>
    <row r="596" spans="13:14" ht="15" x14ac:dyDescent="0.2">
      <c r="M596" s="6"/>
      <c r="N596" s="6"/>
    </row>
    <row r="597" spans="13:14" ht="15" x14ac:dyDescent="0.2">
      <c r="M597" s="6"/>
      <c r="N597" s="6"/>
    </row>
    <row r="598" spans="13:14" ht="15" x14ac:dyDescent="0.2">
      <c r="M598" s="6"/>
      <c r="N598" s="6"/>
    </row>
    <row r="599" spans="13:14" ht="15" x14ac:dyDescent="0.2">
      <c r="M599" s="6"/>
      <c r="N599" s="6"/>
    </row>
    <row r="600" spans="13:14" ht="15" x14ac:dyDescent="0.2">
      <c r="M600" s="6"/>
      <c r="N600" s="6"/>
    </row>
    <row r="601" spans="13:14" ht="15" x14ac:dyDescent="0.2">
      <c r="M601" s="6"/>
      <c r="N601" s="6"/>
    </row>
    <row r="602" spans="13:14" ht="15" x14ac:dyDescent="0.2">
      <c r="M602" s="6"/>
      <c r="N602" s="6"/>
    </row>
    <row r="603" spans="13:14" ht="15" x14ac:dyDescent="0.2">
      <c r="M603" s="6"/>
      <c r="N603" s="6"/>
    </row>
    <row r="604" spans="13:14" ht="15" x14ac:dyDescent="0.2">
      <c r="M604" s="6"/>
      <c r="N604" s="6"/>
    </row>
    <row r="605" spans="13:14" ht="15" x14ac:dyDescent="0.2">
      <c r="M605" s="6"/>
      <c r="N605" s="6"/>
    </row>
    <row r="606" spans="13:14" ht="15" x14ac:dyDescent="0.2">
      <c r="M606" s="6"/>
      <c r="N606" s="6"/>
    </row>
    <row r="607" spans="13:14" ht="15" x14ac:dyDescent="0.2">
      <c r="M607" s="6"/>
      <c r="N607" s="6"/>
    </row>
    <row r="608" spans="13:14" ht="15" x14ac:dyDescent="0.2">
      <c r="M608" s="6"/>
      <c r="N608" s="6"/>
    </row>
    <row r="609" spans="13:14" ht="15" x14ac:dyDescent="0.2">
      <c r="M609" s="6"/>
      <c r="N609" s="6"/>
    </row>
    <row r="610" spans="13:14" ht="15" x14ac:dyDescent="0.2">
      <c r="M610" s="6"/>
      <c r="N610" s="6"/>
    </row>
    <row r="611" spans="13:14" ht="15" x14ac:dyDescent="0.2">
      <c r="M611" s="6"/>
      <c r="N611" s="6"/>
    </row>
    <row r="612" spans="13:14" ht="15" x14ac:dyDescent="0.2">
      <c r="M612" s="6"/>
      <c r="N612" s="6"/>
    </row>
    <row r="613" spans="13:14" ht="15" x14ac:dyDescent="0.2">
      <c r="M613" s="6"/>
      <c r="N613" s="6"/>
    </row>
    <row r="614" spans="13:14" ht="15" x14ac:dyDescent="0.2">
      <c r="M614" s="6"/>
      <c r="N614" s="6"/>
    </row>
    <row r="615" spans="13:14" ht="15" x14ac:dyDescent="0.2">
      <c r="M615" s="6"/>
      <c r="N615" s="6"/>
    </row>
    <row r="616" spans="13:14" ht="15" x14ac:dyDescent="0.2">
      <c r="M616" s="6"/>
      <c r="N616" s="6"/>
    </row>
    <row r="617" spans="13:14" ht="15" x14ac:dyDescent="0.2">
      <c r="M617" s="6"/>
      <c r="N617" s="6"/>
    </row>
    <row r="618" spans="13:14" ht="15" x14ac:dyDescent="0.2">
      <c r="M618" s="6"/>
      <c r="N618" s="6"/>
    </row>
    <row r="619" spans="13:14" ht="15" x14ac:dyDescent="0.2">
      <c r="M619" s="6"/>
      <c r="N619" s="6"/>
    </row>
    <row r="620" spans="13:14" ht="15" x14ac:dyDescent="0.2">
      <c r="M620" s="6"/>
      <c r="N620" s="6"/>
    </row>
    <row r="621" spans="13:14" ht="15" x14ac:dyDescent="0.2">
      <c r="M621" s="6"/>
      <c r="N621" s="6"/>
    </row>
    <row r="622" spans="13:14" ht="15" x14ac:dyDescent="0.2">
      <c r="M622" s="6"/>
      <c r="N622" s="6"/>
    </row>
    <row r="623" spans="13:14" ht="15" x14ac:dyDescent="0.2">
      <c r="M623" s="6"/>
      <c r="N623" s="6"/>
    </row>
    <row r="624" spans="13:14" ht="15" x14ac:dyDescent="0.2">
      <c r="M624" s="6"/>
      <c r="N624" s="6"/>
    </row>
    <row r="625" spans="13:15" ht="15" x14ac:dyDescent="0.2">
      <c r="M625" s="6"/>
      <c r="N625" s="6"/>
      <c r="O625" s="6"/>
    </row>
    <row r="626" spans="13:15" ht="15" x14ac:dyDescent="0.2">
      <c r="M626" s="6"/>
      <c r="N626" s="6"/>
    </row>
    <row r="627" spans="13:15" ht="15" x14ac:dyDescent="0.2">
      <c r="M627" s="6"/>
      <c r="N627" s="6"/>
    </row>
    <row r="628" spans="13:15" ht="15" x14ac:dyDescent="0.2">
      <c r="M628" s="6"/>
      <c r="N628" s="6"/>
    </row>
    <row r="629" spans="13:15" ht="15" x14ac:dyDescent="0.2">
      <c r="M629" s="6"/>
      <c r="N629" s="6"/>
    </row>
    <row r="630" spans="13:15" ht="15" x14ac:dyDescent="0.2">
      <c r="M630" s="6"/>
      <c r="N630" s="6"/>
    </row>
    <row r="631" spans="13:15" ht="15" x14ac:dyDescent="0.2">
      <c r="M631" s="6"/>
      <c r="N631" s="6"/>
    </row>
    <row r="632" spans="13:15" ht="15" x14ac:dyDescent="0.2">
      <c r="M632" s="6"/>
      <c r="N632" s="6"/>
    </row>
    <row r="633" spans="13:15" ht="15" x14ac:dyDescent="0.2">
      <c r="M633" s="6"/>
      <c r="N633" s="6"/>
    </row>
    <row r="634" spans="13:15" ht="15" x14ac:dyDescent="0.2">
      <c r="M634" s="6"/>
      <c r="N634" s="6"/>
    </row>
    <row r="635" spans="13:15" ht="15" x14ac:dyDescent="0.2">
      <c r="M635" s="6"/>
      <c r="N635" s="6"/>
    </row>
    <row r="636" spans="13:15" ht="15" x14ac:dyDescent="0.2">
      <c r="M636" s="6"/>
      <c r="N636" s="6"/>
    </row>
    <row r="637" spans="13:15" ht="15" x14ac:dyDescent="0.2">
      <c r="M637" s="6"/>
      <c r="N637" s="6"/>
    </row>
    <row r="638" spans="13:15" ht="15" x14ac:dyDescent="0.2">
      <c r="M638" s="6"/>
      <c r="N638" s="6"/>
    </row>
    <row r="639" spans="13:15" ht="15" x14ac:dyDescent="0.2">
      <c r="M639" s="6"/>
      <c r="N639" s="6"/>
    </row>
    <row r="640" spans="13:15" ht="15" x14ac:dyDescent="0.2">
      <c r="M640" s="6"/>
      <c r="N640" s="6"/>
    </row>
    <row r="641" spans="13:15" ht="15" x14ac:dyDescent="0.2">
      <c r="M641" s="6"/>
      <c r="N641" s="6"/>
    </row>
    <row r="642" spans="13:15" ht="15" x14ac:dyDescent="0.2">
      <c r="M642" s="6"/>
      <c r="N642" s="6"/>
    </row>
    <row r="643" spans="13:15" ht="15" x14ac:dyDescent="0.2">
      <c r="M643" s="6"/>
      <c r="N643" s="6"/>
    </row>
    <row r="644" spans="13:15" ht="15" x14ac:dyDescent="0.2">
      <c r="M644" s="6"/>
      <c r="N644" s="6"/>
    </row>
    <row r="645" spans="13:15" ht="15" x14ac:dyDescent="0.2">
      <c r="M645" s="6"/>
      <c r="N645" s="6"/>
    </row>
    <row r="646" spans="13:15" ht="15" x14ac:dyDescent="0.2">
      <c r="M646" s="6"/>
      <c r="N646" s="6"/>
    </row>
    <row r="647" spans="13:15" ht="15" x14ac:dyDescent="0.2">
      <c r="M647" s="6"/>
      <c r="N647" s="6"/>
    </row>
    <row r="648" spans="13:15" ht="15" x14ac:dyDescent="0.2">
      <c r="M648" s="6"/>
      <c r="N648" s="6"/>
    </row>
    <row r="649" spans="13:15" ht="15" x14ac:dyDescent="0.2">
      <c r="M649" s="6"/>
      <c r="N649" s="6"/>
    </row>
    <row r="650" spans="13:15" ht="15" x14ac:dyDescent="0.2">
      <c r="M650" s="6"/>
      <c r="N650" s="6"/>
    </row>
    <row r="651" spans="13:15" ht="15" x14ac:dyDescent="0.2">
      <c r="M651" s="6"/>
      <c r="N651" s="6"/>
    </row>
    <row r="652" spans="13:15" ht="15" x14ac:dyDescent="0.2">
      <c r="M652" s="6"/>
      <c r="N652" s="6"/>
    </row>
    <row r="653" spans="13:15" ht="15" x14ac:dyDescent="0.2">
      <c r="M653" s="6"/>
      <c r="N653" s="6"/>
      <c r="O653" s="6"/>
    </row>
    <row r="654" spans="13:15" ht="15" x14ac:dyDescent="0.2">
      <c r="M654" s="6"/>
      <c r="N654" s="6"/>
      <c r="O654" s="6"/>
    </row>
    <row r="655" spans="13:15" ht="15" x14ac:dyDescent="0.2">
      <c r="M655" s="6"/>
      <c r="N655" s="6"/>
    </row>
    <row r="656" spans="13:15" ht="15" x14ac:dyDescent="0.2">
      <c r="M656" s="6"/>
      <c r="N656" s="6"/>
    </row>
    <row r="657" spans="13:15" ht="15" x14ac:dyDescent="0.2">
      <c r="M657" s="6"/>
      <c r="N657" s="6"/>
    </row>
    <row r="658" spans="13:15" ht="15" x14ac:dyDescent="0.2">
      <c r="M658" s="6"/>
      <c r="N658" s="6"/>
    </row>
    <row r="659" spans="13:15" ht="15" x14ac:dyDescent="0.2">
      <c r="M659" s="6"/>
      <c r="N659" s="6"/>
    </row>
    <row r="660" spans="13:15" ht="15" x14ac:dyDescent="0.2">
      <c r="M660" s="6"/>
      <c r="N660" s="6"/>
    </row>
    <row r="661" spans="13:15" ht="15" x14ac:dyDescent="0.2">
      <c r="M661" s="6"/>
      <c r="N661" s="6"/>
    </row>
    <row r="662" spans="13:15" ht="15" x14ac:dyDescent="0.2">
      <c r="M662" s="6"/>
      <c r="N662" s="6"/>
    </row>
    <row r="663" spans="13:15" ht="15" x14ac:dyDescent="0.2">
      <c r="M663" s="6"/>
      <c r="N663" s="6"/>
    </row>
    <row r="664" spans="13:15" ht="15" x14ac:dyDescent="0.2">
      <c r="M664" s="6"/>
      <c r="N664" s="6"/>
    </row>
    <row r="665" spans="13:15" ht="15" x14ac:dyDescent="0.2">
      <c r="M665" s="6"/>
      <c r="N665" s="6"/>
      <c r="O665" s="6"/>
    </row>
    <row r="666" spans="13:15" ht="15" x14ac:dyDescent="0.2">
      <c r="M666" s="6"/>
      <c r="N666" s="6"/>
    </row>
    <row r="667" spans="13:15" ht="15" x14ac:dyDescent="0.2">
      <c r="M667" s="6"/>
      <c r="N667" s="6"/>
    </row>
    <row r="668" spans="13:15" ht="15" x14ac:dyDescent="0.2">
      <c r="M668" s="6"/>
      <c r="N668" s="6"/>
    </row>
    <row r="669" spans="13:15" ht="15" x14ac:dyDescent="0.2">
      <c r="M669" s="6"/>
      <c r="N669" s="6"/>
    </row>
    <row r="670" spans="13:15" ht="15" x14ac:dyDescent="0.2">
      <c r="M670" s="6"/>
      <c r="N670" s="6"/>
    </row>
    <row r="671" spans="13:15" ht="15" x14ac:dyDescent="0.2">
      <c r="M671" s="6"/>
      <c r="N671" s="6"/>
    </row>
    <row r="672" spans="13:15" ht="15" x14ac:dyDescent="0.2">
      <c r="M672" s="6"/>
      <c r="N672" s="6"/>
    </row>
    <row r="673" spans="13:15" ht="15" x14ac:dyDescent="0.2">
      <c r="M673" s="6"/>
      <c r="N673" s="6"/>
    </row>
    <row r="674" spans="13:15" ht="15" x14ac:dyDescent="0.2">
      <c r="M674" s="6"/>
      <c r="N674" s="6"/>
    </row>
    <row r="675" spans="13:15" ht="15" x14ac:dyDescent="0.2">
      <c r="M675" s="6"/>
      <c r="N675" s="6"/>
    </row>
    <row r="676" spans="13:15" ht="15" x14ac:dyDescent="0.2">
      <c r="M676" s="6"/>
      <c r="N676" s="6"/>
    </row>
    <row r="677" spans="13:15" ht="15" x14ac:dyDescent="0.2">
      <c r="M677" s="6"/>
      <c r="N677" s="6"/>
    </row>
    <row r="678" spans="13:15" ht="15" x14ac:dyDescent="0.2">
      <c r="M678" s="6"/>
      <c r="N678" s="6"/>
    </row>
    <row r="679" spans="13:15" ht="15" x14ac:dyDescent="0.2">
      <c r="M679" s="6"/>
      <c r="N679" s="6"/>
    </row>
    <row r="680" spans="13:15" ht="15" x14ac:dyDescent="0.2">
      <c r="M680" s="6"/>
      <c r="N680" s="6"/>
    </row>
    <row r="681" spans="13:15" ht="15" x14ac:dyDescent="0.2">
      <c r="M681" s="6"/>
      <c r="N681" s="6"/>
    </row>
    <row r="682" spans="13:15" ht="15" x14ac:dyDescent="0.2">
      <c r="M682" s="6"/>
      <c r="N682" s="6"/>
    </row>
    <row r="683" spans="13:15" ht="15" x14ac:dyDescent="0.2">
      <c r="M683" s="6"/>
      <c r="N683" s="6"/>
    </row>
    <row r="684" spans="13:15" ht="15" x14ac:dyDescent="0.2">
      <c r="M684" s="6"/>
      <c r="N684" s="6"/>
    </row>
    <row r="685" spans="13:15" ht="15" x14ac:dyDescent="0.2">
      <c r="M685" s="6"/>
      <c r="N685" s="6"/>
    </row>
    <row r="686" spans="13:15" ht="15" x14ac:dyDescent="0.2">
      <c r="M686" s="6"/>
      <c r="N686" s="6"/>
      <c r="O686" s="6"/>
    </row>
    <row r="687" spans="13:15" ht="15" x14ac:dyDescent="0.2">
      <c r="M687" s="6"/>
      <c r="N687" s="6"/>
    </row>
    <row r="688" spans="13:15" ht="15" x14ac:dyDescent="0.2">
      <c r="M688" s="6"/>
      <c r="N688" s="6"/>
    </row>
    <row r="689" spans="13:15" ht="15" x14ac:dyDescent="0.2">
      <c r="M689" s="6"/>
      <c r="N689" s="6"/>
      <c r="O689" s="6"/>
    </row>
    <row r="690" spans="13:15" ht="15" x14ac:dyDescent="0.2">
      <c r="M690" s="6"/>
      <c r="N690" s="6"/>
    </row>
    <row r="691" spans="13:15" ht="15" x14ac:dyDescent="0.2">
      <c r="M691" s="6"/>
      <c r="N691" s="6"/>
    </row>
    <row r="692" spans="13:15" ht="15" x14ac:dyDescent="0.2">
      <c r="M692" s="6"/>
      <c r="N692" s="6"/>
    </row>
    <row r="693" spans="13:15" ht="15" x14ac:dyDescent="0.2">
      <c r="M693" s="6"/>
      <c r="N693" s="6"/>
    </row>
    <row r="694" spans="13:15" ht="15" x14ac:dyDescent="0.2">
      <c r="M694" s="6"/>
      <c r="N694" s="6"/>
    </row>
    <row r="695" spans="13:15" ht="15" x14ac:dyDescent="0.2">
      <c r="M695" s="6"/>
      <c r="N695" s="6"/>
    </row>
    <row r="696" spans="13:15" ht="15" x14ac:dyDescent="0.2">
      <c r="M696" s="6"/>
      <c r="N696" s="6"/>
    </row>
    <row r="697" spans="13:15" ht="15" x14ac:dyDescent="0.2">
      <c r="M697" s="6"/>
      <c r="N697" s="6"/>
    </row>
    <row r="698" spans="13:15" ht="15" x14ac:dyDescent="0.2">
      <c r="M698" s="6"/>
      <c r="N698" s="6"/>
    </row>
    <row r="699" spans="13:15" ht="15" x14ac:dyDescent="0.2">
      <c r="M699" s="6"/>
      <c r="N699" s="6"/>
    </row>
    <row r="700" spans="13:15" ht="15" x14ac:dyDescent="0.2">
      <c r="M700" s="6"/>
      <c r="N700" s="6"/>
    </row>
    <row r="701" spans="13:15" ht="15" x14ac:dyDescent="0.2">
      <c r="M701" s="6"/>
      <c r="N701" s="6"/>
    </row>
    <row r="702" spans="13:15" ht="15" x14ac:dyDescent="0.2">
      <c r="M702" s="6"/>
      <c r="N702" s="6"/>
    </row>
    <row r="703" spans="13:15" ht="15" x14ac:dyDescent="0.2">
      <c r="M703" s="6"/>
      <c r="N703" s="6"/>
    </row>
    <row r="704" spans="13:15" ht="15" x14ac:dyDescent="0.2">
      <c r="M704" s="6"/>
      <c r="N704" s="6"/>
    </row>
    <row r="705" spans="13:14" ht="15" x14ac:dyDescent="0.2">
      <c r="M705" s="6"/>
      <c r="N705" s="6"/>
    </row>
    <row r="706" spans="13:14" ht="15" x14ac:dyDescent="0.2">
      <c r="M706" s="6"/>
      <c r="N706" s="6"/>
    </row>
    <row r="707" spans="13:14" ht="15" x14ac:dyDescent="0.2">
      <c r="M707" s="6"/>
      <c r="N707" s="6"/>
    </row>
    <row r="708" spans="13:14" ht="15" x14ac:dyDescent="0.2">
      <c r="M708" s="6"/>
      <c r="N708" s="6"/>
    </row>
    <row r="709" spans="13:14" ht="15" x14ac:dyDescent="0.2">
      <c r="M709" s="6"/>
      <c r="N709" s="6"/>
    </row>
    <row r="710" spans="13:14" ht="15" x14ac:dyDescent="0.2">
      <c r="M710" s="6"/>
      <c r="N710" s="6"/>
    </row>
    <row r="711" spans="13:14" ht="15" x14ac:dyDescent="0.2">
      <c r="M711" s="6"/>
      <c r="N711" s="6"/>
    </row>
    <row r="712" spans="13:14" ht="15" x14ac:dyDescent="0.2">
      <c r="M712" s="6"/>
      <c r="N712" s="6"/>
    </row>
    <row r="713" spans="13:14" ht="15" x14ac:dyDescent="0.2">
      <c r="M713" s="6"/>
      <c r="N713" s="6"/>
    </row>
    <row r="714" spans="13:14" ht="15" x14ac:dyDescent="0.2">
      <c r="M714" s="6"/>
      <c r="N714" s="6"/>
    </row>
    <row r="715" spans="13:14" ht="15" x14ac:dyDescent="0.2">
      <c r="M715" s="6"/>
      <c r="N715" s="6"/>
    </row>
    <row r="716" spans="13:14" ht="15" x14ac:dyDescent="0.2">
      <c r="M716" s="6"/>
      <c r="N716" s="6"/>
    </row>
    <row r="717" spans="13:14" ht="15" x14ac:dyDescent="0.2">
      <c r="M717" s="6"/>
      <c r="N717" s="6"/>
    </row>
    <row r="718" spans="13:14" ht="15" x14ac:dyDescent="0.2">
      <c r="M718" s="6"/>
      <c r="N718" s="6"/>
    </row>
    <row r="719" spans="13:14" ht="15" x14ac:dyDescent="0.2">
      <c r="M719" s="6"/>
      <c r="N719" s="6"/>
    </row>
    <row r="720" spans="13:14" ht="15" x14ac:dyDescent="0.2">
      <c r="M720" s="6"/>
      <c r="N720" s="6"/>
    </row>
    <row r="721" spans="13:14" ht="15" x14ac:dyDescent="0.2">
      <c r="M721" s="6"/>
      <c r="N721" s="6"/>
    </row>
    <row r="722" spans="13:14" ht="15" x14ac:dyDescent="0.2">
      <c r="M722" s="6"/>
      <c r="N722" s="6"/>
    </row>
    <row r="723" spans="13:14" ht="15" x14ac:dyDescent="0.2">
      <c r="M723" s="6"/>
      <c r="N723" s="6"/>
    </row>
    <row r="724" spans="13:14" ht="15" x14ac:dyDescent="0.2">
      <c r="M724" s="6"/>
      <c r="N724" s="6"/>
    </row>
    <row r="725" spans="13:14" ht="15" x14ac:dyDescent="0.2">
      <c r="M725" s="6"/>
      <c r="N725" s="6"/>
    </row>
    <row r="726" spans="13:14" ht="15" x14ac:dyDescent="0.2">
      <c r="M726" s="6"/>
      <c r="N726" s="6"/>
    </row>
    <row r="727" spans="13:14" ht="15" x14ac:dyDescent="0.2">
      <c r="M727" s="6"/>
      <c r="N727" s="6"/>
    </row>
    <row r="728" spans="13:14" ht="15" x14ac:dyDescent="0.2">
      <c r="M728" s="6"/>
      <c r="N728" s="6"/>
    </row>
    <row r="729" spans="13:14" ht="15" x14ac:dyDescent="0.2">
      <c r="M729" s="6"/>
      <c r="N729" s="6"/>
    </row>
    <row r="730" spans="13:14" ht="15" x14ac:dyDescent="0.2">
      <c r="M730" s="6"/>
      <c r="N730" s="6"/>
    </row>
    <row r="731" spans="13:14" ht="15" x14ac:dyDescent="0.2">
      <c r="M731" s="6"/>
      <c r="N731" s="6"/>
    </row>
    <row r="732" spans="13:14" ht="15" x14ac:dyDescent="0.2">
      <c r="M732" s="6"/>
      <c r="N732" s="6"/>
    </row>
    <row r="733" spans="13:14" ht="15" x14ac:dyDescent="0.2">
      <c r="M733" s="6"/>
      <c r="N733" s="6"/>
    </row>
    <row r="734" spans="13:14" ht="15" x14ac:dyDescent="0.2">
      <c r="M734" s="6"/>
      <c r="N734" s="6"/>
    </row>
    <row r="735" spans="13:14" ht="15" x14ac:dyDescent="0.2">
      <c r="M735" s="6"/>
      <c r="N735" s="6"/>
    </row>
    <row r="736" spans="13:14" ht="15" x14ac:dyDescent="0.2">
      <c r="M736" s="6"/>
      <c r="N736" s="6"/>
    </row>
    <row r="737" spans="13:14" ht="15" x14ac:dyDescent="0.2">
      <c r="M737" s="6"/>
      <c r="N737" s="6"/>
    </row>
    <row r="738" spans="13:14" ht="15" x14ac:dyDescent="0.2">
      <c r="M738" s="6"/>
      <c r="N738" s="6"/>
    </row>
    <row r="739" spans="13:14" ht="15" x14ac:dyDescent="0.2">
      <c r="M739" s="6"/>
      <c r="N739" s="6"/>
    </row>
    <row r="740" spans="13:14" ht="15" x14ac:dyDescent="0.2">
      <c r="M740" s="6"/>
      <c r="N740" s="6"/>
    </row>
    <row r="741" spans="13:14" ht="15" x14ac:dyDescent="0.2">
      <c r="M741" s="6"/>
      <c r="N741" s="6"/>
    </row>
    <row r="742" spans="13:14" ht="15" x14ac:dyDescent="0.2">
      <c r="M742" s="6"/>
      <c r="N742" s="6"/>
    </row>
    <row r="743" spans="13:14" ht="15" x14ac:dyDescent="0.2">
      <c r="M743" s="6"/>
      <c r="N743" s="6"/>
    </row>
    <row r="744" spans="13:14" ht="15" x14ac:dyDescent="0.2">
      <c r="M744" s="6"/>
      <c r="N744" s="6"/>
    </row>
    <row r="745" spans="13:14" ht="15" x14ac:dyDescent="0.2">
      <c r="M745" s="6"/>
      <c r="N745" s="6"/>
    </row>
    <row r="746" spans="13:14" ht="15" x14ac:dyDescent="0.2">
      <c r="M746" s="6"/>
      <c r="N746" s="6"/>
    </row>
    <row r="747" spans="13:14" ht="15" x14ac:dyDescent="0.2">
      <c r="M747" s="6"/>
      <c r="N747" s="6"/>
    </row>
    <row r="748" spans="13:14" ht="15" x14ac:dyDescent="0.2">
      <c r="M748" s="6"/>
      <c r="N748" s="6"/>
    </row>
    <row r="749" spans="13:14" ht="15" x14ac:dyDescent="0.2">
      <c r="M749" s="6"/>
      <c r="N749" s="6"/>
    </row>
    <row r="750" spans="13:14" ht="15" x14ac:dyDescent="0.2">
      <c r="M750" s="6"/>
      <c r="N750" s="6"/>
    </row>
    <row r="751" spans="13:14" ht="15" x14ac:dyDescent="0.2">
      <c r="M751" s="6"/>
      <c r="N751" s="6"/>
    </row>
    <row r="752" spans="13:14" ht="15" x14ac:dyDescent="0.2">
      <c r="M752" s="6"/>
      <c r="N752" s="6"/>
    </row>
    <row r="753" spans="13:15" ht="15" x14ac:dyDescent="0.2">
      <c r="M753" s="6"/>
      <c r="N753" s="6"/>
    </row>
    <row r="754" spans="13:15" ht="15" x14ac:dyDescent="0.2">
      <c r="M754" s="6"/>
      <c r="N754" s="6"/>
    </row>
    <row r="755" spans="13:15" ht="15" x14ac:dyDescent="0.2">
      <c r="M755" s="6"/>
      <c r="N755" s="6"/>
    </row>
    <row r="756" spans="13:15" ht="15" x14ac:dyDescent="0.2">
      <c r="M756" s="6"/>
      <c r="N756" s="6"/>
    </row>
    <row r="757" spans="13:15" ht="15" x14ac:dyDescent="0.2">
      <c r="M757" s="6"/>
      <c r="N757" s="6"/>
    </row>
    <row r="758" spans="13:15" ht="15" x14ac:dyDescent="0.2">
      <c r="M758" s="6"/>
      <c r="N758" s="6"/>
    </row>
    <row r="759" spans="13:15" ht="15" x14ac:dyDescent="0.2">
      <c r="M759" s="6"/>
      <c r="N759" s="6"/>
    </row>
    <row r="760" spans="13:15" ht="15" x14ac:dyDescent="0.2">
      <c r="M760" s="6"/>
      <c r="N760" s="6"/>
    </row>
    <row r="761" spans="13:15" ht="15" x14ac:dyDescent="0.2">
      <c r="M761" s="6"/>
      <c r="N761" s="6"/>
      <c r="O761" s="6"/>
    </row>
    <row r="762" spans="13:15" ht="15" x14ac:dyDescent="0.2">
      <c r="M762" s="6"/>
      <c r="N762" s="6"/>
    </row>
    <row r="763" spans="13:15" ht="15" x14ac:dyDescent="0.2">
      <c r="M763" s="6"/>
      <c r="N763" s="6"/>
    </row>
    <row r="764" spans="13:15" ht="15" x14ac:dyDescent="0.2">
      <c r="M764" s="6"/>
      <c r="N764" s="6"/>
    </row>
    <row r="765" spans="13:15" ht="15" x14ac:dyDescent="0.2">
      <c r="M765" s="6"/>
      <c r="N765" s="6"/>
    </row>
    <row r="766" spans="13:15" ht="15" x14ac:dyDescent="0.2">
      <c r="M766" s="6"/>
      <c r="N766" s="6"/>
    </row>
    <row r="767" spans="13:15" ht="15" x14ac:dyDescent="0.2">
      <c r="M767" s="6"/>
      <c r="N767" s="6"/>
    </row>
    <row r="768" spans="13:15" ht="15" x14ac:dyDescent="0.2">
      <c r="M768" s="6"/>
      <c r="N768" s="6"/>
    </row>
    <row r="769" spans="12:15" ht="15" x14ac:dyDescent="0.2">
      <c r="M769" s="6"/>
      <c r="N769" s="6"/>
    </row>
    <row r="770" spans="12:15" ht="15" x14ac:dyDescent="0.2">
      <c r="M770" s="6"/>
      <c r="N770" s="6"/>
    </row>
    <row r="771" spans="12:15" ht="15" x14ac:dyDescent="0.2">
      <c r="L771" s="9"/>
      <c r="M771" s="6"/>
      <c r="N771" s="6"/>
    </row>
    <row r="772" spans="12:15" ht="15" x14ac:dyDescent="0.2">
      <c r="M772" s="6"/>
      <c r="N772" s="6"/>
    </row>
    <row r="773" spans="12:15" ht="15" x14ac:dyDescent="0.2">
      <c r="L773" s="9"/>
      <c r="M773" s="6"/>
      <c r="N773" s="6"/>
    </row>
    <row r="774" spans="12:15" ht="15" x14ac:dyDescent="0.2">
      <c r="M774" s="6"/>
      <c r="N774" s="6"/>
    </row>
    <row r="775" spans="12:15" ht="15" x14ac:dyDescent="0.2">
      <c r="M775" s="6"/>
      <c r="N775" s="6"/>
    </row>
    <row r="776" spans="12:15" ht="15" x14ac:dyDescent="0.2">
      <c r="M776" s="6"/>
      <c r="N776" s="6"/>
    </row>
    <row r="777" spans="12:15" ht="15" x14ac:dyDescent="0.2">
      <c r="M777" s="6"/>
      <c r="N777" s="6"/>
    </row>
    <row r="778" spans="12:15" ht="15" x14ac:dyDescent="0.2">
      <c r="M778" s="6"/>
      <c r="N778" s="6"/>
    </row>
    <row r="779" spans="12:15" ht="15" x14ac:dyDescent="0.2">
      <c r="M779" s="6"/>
      <c r="N779" s="6"/>
      <c r="O779" s="6"/>
    </row>
    <row r="780" spans="12:15" ht="15" x14ac:dyDescent="0.2">
      <c r="M780" s="6"/>
      <c r="N780" s="6"/>
    </row>
    <row r="781" spans="12:15" ht="15" x14ac:dyDescent="0.2">
      <c r="M781" s="6"/>
      <c r="N781" s="6"/>
    </row>
    <row r="782" spans="12:15" ht="15" x14ac:dyDescent="0.2">
      <c r="M782" s="6"/>
      <c r="N782" s="6"/>
    </row>
    <row r="783" spans="12:15" ht="15" x14ac:dyDescent="0.2">
      <c r="M783" s="6"/>
      <c r="N783" s="6"/>
    </row>
    <row r="784" spans="12:15" ht="15" x14ac:dyDescent="0.2">
      <c r="M784" s="6"/>
      <c r="N784" s="6"/>
      <c r="O784" s="6"/>
    </row>
    <row r="785" spans="13:15" ht="15" x14ac:dyDescent="0.2">
      <c r="M785" s="6"/>
      <c r="N785" s="6"/>
    </row>
    <row r="786" spans="13:15" ht="15" x14ac:dyDescent="0.2">
      <c r="M786" s="6"/>
      <c r="N786" s="6"/>
      <c r="O786" s="6"/>
    </row>
    <row r="787" spans="13:15" ht="15" x14ac:dyDescent="0.2">
      <c r="M787" s="6"/>
      <c r="N787" s="6"/>
    </row>
    <row r="788" spans="13:15" ht="15" x14ac:dyDescent="0.2">
      <c r="M788" s="6"/>
      <c r="N788" s="6"/>
    </row>
    <row r="789" spans="13:15" ht="15" x14ac:dyDescent="0.2">
      <c r="M789" s="6"/>
      <c r="N789" s="6"/>
    </row>
    <row r="790" spans="13:15" ht="15" x14ac:dyDescent="0.2">
      <c r="M790" s="6"/>
      <c r="N790" s="6"/>
    </row>
    <row r="791" spans="13:15" ht="15" x14ac:dyDescent="0.2">
      <c r="M791" s="6"/>
      <c r="N791" s="6"/>
    </row>
    <row r="792" spans="13:15" ht="15" x14ac:dyDescent="0.2">
      <c r="M792" s="6"/>
      <c r="N792" s="6"/>
    </row>
    <row r="793" spans="13:15" ht="15" x14ac:dyDescent="0.2">
      <c r="M793" s="6"/>
      <c r="N793" s="6"/>
    </row>
    <row r="794" spans="13:15" ht="15" x14ac:dyDescent="0.2">
      <c r="M794" s="6"/>
      <c r="N794" s="6"/>
    </row>
    <row r="795" spans="13:15" ht="15" x14ac:dyDescent="0.2">
      <c r="M795" s="6"/>
      <c r="N795" s="6"/>
    </row>
    <row r="796" spans="13:15" ht="15" x14ac:dyDescent="0.2">
      <c r="M796" s="6"/>
      <c r="N796" s="6"/>
    </row>
    <row r="797" spans="13:15" ht="15" x14ac:dyDescent="0.2">
      <c r="M797" s="6"/>
      <c r="N797" s="6"/>
    </row>
    <row r="798" spans="13:15" ht="15" x14ac:dyDescent="0.2">
      <c r="M798" s="6"/>
      <c r="N798" s="6"/>
    </row>
    <row r="799" spans="13:15" ht="15" x14ac:dyDescent="0.2">
      <c r="M799" s="6"/>
      <c r="N799" s="6"/>
    </row>
    <row r="800" spans="13:15" ht="15" x14ac:dyDescent="0.2">
      <c r="M800" s="6"/>
      <c r="N800" s="6"/>
    </row>
    <row r="801" spans="13:15" ht="15" x14ac:dyDescent="0.2">
      <c r="M801" s="6"/>
      <c r="N801" s="6"/>
      <c r="O801" s="6"/>
    </row>
    <row r="802" spans="13:15" ht="15" x14ac:dyDescent="0.2">
      <c r="M802" s="6"/>
      <c r="N802" s="6"/>
      <c r="O802" s="6"/>
    </row>
    <row r="803" spans="13:15" ht="15" x14ac:dyDescent="0.2">
      <c r="M803" s="6"/>
      <c r="N803" s="6"/>
    </row>
    <row r="804" spans="13:15" ht="15" x14ac:dyDescent="0.2">
      <c r="M804" s="6"/>
      <c r="N804" s="6"/>
      <c r="O804" s="6"/>
    </row>
    <row r="805" spans="13:15" ht="15" x14ac:dyDescent="0.2">
      <c r="M805" s="6"/>
      <c r="N805" s="6"/>
      <c r="O805" s="6"/>
    </row>
    <row r="806" spans="13:15" ht="15" x14ac:dyDescent="0.2">
      <c r="M806" s="6"/>
      <c r="N806" s="6"/>
      <c r="O806" s="6"/>
    </row>
    <row r="807" spans="13:15" ht="15" x14ac:dyDescent="0.2">
      <c r="M807" s="6"/>
      <c r="N807" s="6"/>
      <c r="O807" s="6"/>
    </row>
    <row r="808" spans="13:15" ht="15" x14ac:dyDescent="0.2">
      <c r="M808" s="6"/>
      <c r="N808" s="6"/>
    </row>
    <row r="809" spans="13:15" ht="15" x14ac:dyDescent="0.2">
      <c r="M809" s="6"/>
      <c r="N809" s="6"/>
      <c r="O809" s="6"/>
    </row>
    <row r="810" spans="13:15" ht="15" x14ac:dyDescent="0.2">
      <c r="M810" s="6"/>
      <c r="N810" s="6"/>
      <c r="O810" s="6"/>
    </row>
    <row r="811" spans="13:15" ht="15" x14ac:dyDescent="0.2">
      <c r="M811" s="6"/>
      <c r="N811" s="6"/>
      <c r="O811" s="6"/>
    </row>
    <row r="812" spans="13:15" ht="15" x14ac:dyDescent="0.2">
      <c r="M812" s="6"/>
      <c r="N812" s="6"/>
    </row>
    <row r="813" spans="13:15" ht="15" x14ac:dyDescent="0.2">
      <c r="M813" s="6"/>
      <c r="N813" s="6"/>
    </row>
    <row r="814" spans="13:15" ht="15" x14ac:dyDescent="0.2">
      <c r="M814" s="6"/>
      <c r="N814" s="6"/>
    </row>
    <row r="815" spans="13:15" ht="15" x14ac:dyDescent="0.2">
      <c r="M815" s="6"/>
      <c r="N815" s="6"/>
      <c r="O815" s="6"/>
    </row>
    <row r="816" spans="13:15" ht="15" x14ac:dyDescent="0.2">
      <c r="M816" s="6"/>
      <c r="N816" s="6"/>
    </row>
    <row r="817" spans="13:14" ht="15" x14ac:dyDescent="0.2">
      <c r="M817" s="6"/>
      <c r="N817" s="6"/>
    </row>
    <row r="818" spans="13:14" ht="15" x14ac:dyDescent="0.2">
      <c r="M818" s="6"/>
      <c r="N818" s="6"/>
    </row>
    <row r="819" spans="13:14" ht="15" x14ac:dyDescent="0.2">
      <c r="M819" s="6"/>
      <c r="N819" s="6"/>
    </row>
    <row r="820" spans="13:14" ht="15" x14ac:dyDescent="0.2">
      <c r="M820" s="6"/>
      <c r="N820" s="6"/>
    </row>
    <row r="821" spans="13:14" ht="15" x14ac:dyDescent="0.2">
      <c r="M821" s="6"/>
      <c r="N821" s="6"/>
    </row>
    <row r="822" spans="13:14" ht="15" x14ac:dyDescent="0.2">
      <c r="M822" s="6"/>
      <c r="N822" s="6"/>
    </row>
    <row r="823" spans="13:14" ht="15" x14ac:dyDescent="0.2">
      <c r="M823" s="6"/>
      <c r="N823" s="6"/>
    </row>
    <row r="824" spans="13:14" ht="15" x14ac:dyDescent="0.2">
      <c r="M824" s="6"/>
      <c r="N824" s="6"/>
    </row>
    <row r="825" spans="13:14" ht="15" x14ac:dyDescent="0.2">
      <c r="M825" s="6"/>
      <c r="N825" s="6"/>
    </row>
    <row r="826" spans="13:14" ht="15" x14ac:dyDescent="0.2">
      <c r="M826" s="6"/>
      <c r="N826" s="6"/>
    </row>
    <row r="827" spans="13:14" ht="15" x14ac:dyDescent="0.2">
      <c r="M827" s="6"/>
      <c r="N827" s="6"/>
    </row>
    <row r="828" spans="13:14" ht="15" x14ac:dyDescent="0.2">
      <c r="M828" s="6"/>
      <c r="N828" s="6"/>
    </row>
    <row r="829" spans="13:14" ht="15" x14ac:dyDescent="0.2">
      <c r="M829" s="6"/>
      <c r="N829" s="6"/>
    </row>
    <row r="830" spans="13:14" ht="15" x14ac:dyDescent="0.2">
      <c r="M830" s="6"/>
      <c r="N830" s="6"/>
    </row>
    <row r="831" spans="13:14" ht="15" x14ac:dyDescent="0.2">
      <c r="M831" s="6"/>
      <c r="N831" s="6"/>
    </row>
    <row r="832" spans="13:14" ht="15" x14ac:dyDescent="0.2">
      <c r="M832" s="6"/>
      <c r="N832" s="6"/>
    </row>
    <row r="833" spans="13:15" ht="15" x14ac:dyDescent="0.2">
      <c r="M833" s="6"/>
      <c r="N833" s="6"/>
    </row>
    <row r="834" spans="13:15" ht="15" x14ac:dyDescent="0.2">
      <c r="M834" s="6"/>
      <c r="N834" s="6"/>
    </row>
    <row r="835" spans="13:15" ht="15" x14ac:dyDescent="0.2">
      <c r="M835" s="6"/>
      <c r="N835" s="6"/>
    </row>
    <row r="836" spans="13:15" ht="15" x14ac:dyDescent="0.2">
      <c r="M836" s="6"/>
      <c r="N836" s="6"/>
    </row>
    <row r="837" spans="13:15" ht="15" x14ac:dyDescent="0.2">
      <c r="M837" s="6"/>
      <c r="N837" s="6"/>
    </row>
    <row r="838" spans="13:15" ht="15" x14ac:dyDescent="0.2">
      <c r="M838" s="6"/>
      <c r="N838" s="6"/>
    </row>
    <row r="839" spans="13:15" ht="15" x14ac:dyDescent="0.2">
      <c r="M839" s="6"/>
      <c r="N839" s="6"/>
    </row>
    <row r="840" spans="13:15" ht="15" x14ac:dyDescent="0.2">
      <c r="M840" s="6"/>
      <c r="N840" s="6"/>
    </row>
    <row r="841" spans="13:15" ht="15" x14ac:dyDescent="0.2">
      <c r="M841" s="6"/>
      <c r="N841" s="6"/>
    </row>
    <row r="842" spans="13:15" ht="15" x14ac:dyDescent="0.2">
      <c r="M842" s="6"/>
      <c r="N842" s="6"/>
      <c r="O842" s="6"/>
    </row>
    <row r="843" spans="13:15" ht="15" x14ac:dyDescent="0.2">
      <c r="M843" s="6"/>
      <c r="N843" s="6"/>
    </row>
    <row r="844" spans="13:15" ht="15" x14ac:dyDescent="0.2">
      <c r="M844" s="6"/>
      <c r="N844" s="6"/>
    </row>
    <row r="845" spans="13:15" ht="15" x14ac:dyDescent="0.2">
      <c r="M845" s="6"/>
      <c r="N845" s="6"/>
    </row>
    <row r="846" spans="13:15" ht="15" x14ac:dyDescent="0.2">
      <c r="M846" s="6"/>
      <c r="N846" s="6"/>
    </row>
    <row r="847" spans="13:15" ht="15" x14ac:dyDescent="0.2">
      <c r="M847" s="6"/>
      <c r="N847" s="6"/>
    </row>
    <row r="848" spans="13:15" ht="15" x14ac:dyDescent="0.2">
      <c r="M848" s="6"/>
      <c r="N848" s="6"/>
    </row>
    <row r="849" spans="13:14" ht="15" x14ac:dyDescent="0.2">
      <c r="M849" s="6"/>
      <c r="N849" s="6"/>
    </row>
    <row r="850" spans="13:14" ht="15" x14ac:dyDescent="0.2">
      <c r="M850" s="6"/>
      <c r="N850" s="6"/>
    </row>
    <row r="851" spans="13:14" ht="15" x14ac:dyDescent="0.2">
      <c r="M851" s="6"/>
      <c r="N851" s="6"/>
    </row>
    <row r="852" spans="13:14" ht="15" x14ac:dyDescent="0.2">
      <c r="M852" s="6"/>
      <c r="N852" s="6"/>
    </row>
    <row r="853" spans="13:14" ht="15" x14ac:dyDescent="0.2">
      <c r="M853" s="6"/>
      <c r="N853" s="6"/>
    </row>
    <row r="854" spans="13:14" ht="15" x14ac:dyDescent="0.2">
      <c r="M854" s="6"/>
      <c r="N854" s="6"/>
    </row>
    <row r="855" spans="13:14" ht="15" x14ac:dyDescent="0.2">
      <c r="M855" s="6"/>
      <c r="N855" s="6"/>
    </row>
    <row r="856" spans="13:14" ht="15" x14ac:dyDescent="0.2">
      <c r="M856" s="6"/>
      <c r="N856" s="6"/>
    </row>
    <row r="857" spans="13:14" ht="15" x14ac:dyDescent="0.2">
      <c r="M857" s="6"/>
      <c r="N857" s="6"/>
    </row>
    <row r="858" spans="13:14" ht="15" x14ac:dyDescent="0.2">
      <c r="M858" s="6"/>
      <c r="N858" s="6"/>
    </row>
    <row r="859" spans="13:14" ht="15" x14ac:dyDescent="0.2">
      <c r="M859" s="6"/>
      <c r="N859" s="6"/>
    </row>
    <row r="860" spans="13:14" ht="15" x14ac:dyDescent="0.2">
      <c r="M860" s="6"/>
      <c r="N860" s="6"/>
    </row>
    <row r="861" spans="13:14" ht="15" x14ac:dyDescent="0.2">
      <c r="M861" s="6"/>
      <c r="N861" s="6"/>
    </row>
    <row r="862" spans="13:14" ht="15" x14ac:dyDescent="0.2">
      <c r="M862" s="6"/>
      <c r="N862" s="6"/>
    </row>
    <row r="863" spans="13:14" ht="15" x14ac:dyDescent="0.2">
      <c r="M863" s="6"/>
      <c r="N863" s="6"/>
    </row>
    <row r="864" spans="13:14" ht="15" x14ac:dyDescent="0.2">
      <c r="M864" s="6"/>
      <c r="N864" s="6"/>
    </row>
    <row r="865" spans="13:14" ht="15" x14ac:dyDescent="0.2">
      <c r="M865" s="6"/>
      <c r="N865" s="6"/>
    </row>
    <row r="866" spans="13:14" ht="15" x14ac:dyDescent="0.2">
      <c r="M866" s="6"/>
      <c r="N866" s="6"/>
    </row>
    <row r="867" spans="13:14" ht="15" x14ac:dyDescent="0.2">
      <c r="M867" s="6"/>
      <c r="N867" s="6"/>
    </row>
    <row r="868" spans="13:14" ht="15" x14ac:dyDescent="0.2">
      <c r="M868" s="6"/>
      <c r="N868" s="6"/>
    </row>
    <row r="869" spans="13:14" ht="15" x14ac:dyDescent="0.2">
      <c r="M869" s="6"/>
      <c r="N869" s="6"/>
    </row>
    <row r="870" spans="13:14" ht="15" x14ac:dyDescent="0.2">
      <c r="M870" s="6"/>
      <c r="N870" s="6"/>
    </row>
    <row r="871" spans="13:14" ht="15" x14ac:dyDescent="0.2">
      <c r="M871" s="6"/>
      <c r="N871" s="6"/>
    </row>
    <row r="872" spans="13:14" ht="15" x14ac:dyDescent="0.2">
      <c r="M872" s="6"/>
      <c r="N872" s="6"/>
    </row>
    <row r="873" spans="13:14" ht="15" x14ac:dyDescent="0.2">
      <c r="M873" s="6"/>
      <c r="N873" s="6"/>
    </row>
    <row r="874" spans="13:14" ht="15" x14ac:dyDescent="0.2">
      <c r="M874" s="6"/>
      <c r="N874" s="6"/>
    </row>
    <row r="875" spans="13:14" ht="15" x14ac:dyDescent="0.2">
      <c r="M875" s="6"/>
      <c r="N875" s="6"/>
    </row>
    <row r="876" spans="13:14" ht="15" x14ac:dyDescent="0.2">
      <c r="M876" s="6"/>
      <c r="N876" s="6"/>
    </row>
    <row r="877" spans="13:14" ht="15" x14ac:dyDescent="0.2">
      <c r="M877" s="6"/>
      <c r="N877" s="6"/>
    </row>
    <row r="878" spans="13:14" ht="15" x14ac:dyDescent="0.2">
      <c r="M878" s="6"/>
      <c r="N878" s="6"/>
    </row>
    <row r="879" spans="13:14" ht="15" x14ac:dyDescent="0.2">
      <c r="M879" s="6"/>
      <c r="N879" s="6"/>
    </row>
    <row r="880" spans="13:14" ht="15" x14ac:dyDescent="0.2">
      <c r="M880" s="6"/>
      <c r="N880" s="6"/>
    </row>
    <row r="881" spans="12:15" ht="15" x14ac:dyDescent="0.2">
      <c r="M881" s="6"/>
      <c r="N881" s="6"/>
    </row>
    <row r="882" spans="12:15" ht="15" x14ac:dyDescent="0.2">
      <c r="M882" s="6"/>
      <c r="N882" s="6"/>
    </row>
    <row r="883" spans="12:15" ht="15" x14ac:dyDescent="0.2">
      <c r="M883" s="6"/>
      <c r="N883" s="6"/>
    </row>
    <row r="884" spans="12:15" ht="15" x14ac:dyDescent="0.2">
      <c r="M884" s="6"/>
      <c r="N884" s="6"/>
    </row>
    <row r="885" spans="12:15" ht="15" x14ac:dyDescent="0.2">
      <c r="M885" s="6"/>
      <c r="N885" s="6"/>
    </row>
    <row r="886" spans="12:15" ht="15" x14ac:dyDescent="0.2">
      <c r="M886" s="6"/>
      <c r="N886" s="6"/>
    </row>
    <row r="887" spans="12:15" ht="15" x14ac:dyDescent="0.2">
      <c r="M887" s="6"/>
      <c r="N887" s="6"/>
    </row>
    <row r="888" spans="12:15" ht="15" x14ac:dyDescent="0.2">
      <c r="L888" s="9"/>
      <c r="M888" s="6"/>
      <c r="N888" s="6"/>
    </row>
    <row r="889" spans="12:15" ht="15" x14ac:dyDescent="0.2">
      <c r="M889" s="6"/>
      <c r="N889" s="6"/>
    </row>
    <row r="890" spans="12:15" ht="15" x14ac:dyDescent="0.2">
      <c r="M890" s="6"/>
      <c r="N890" s="6"/>
      <c r="O890" s="6"/>
    </row>
    <row r="891" spans="12:15" ht="15" x14ac:dyDescent="0.2">
      <c r="M891" s="6"/>
      <c r="N891" s="6"/>
      <c r="O891" s="6"/>
    </row>
    <row r="892" spans="12:15" ht="15" x14ac:dyDescent="0.2">
      <c r="M892" s="6"/>
      <c r="N892" s="6"/>
    </row>
    <row r="893" spans="12:15" ht="15" x14ac:dyDescent="0.2">
      <c r="M893" s="6"/>
      <c r="N893" s="6"/>
    </row>
    <row r="894" spans="12:15" ht="15" x14ac:dyDescent="0.2">
      <c r="M894" s="6"/>
      <c r="N894" s="6"/>
    </row>
    <row r="895" spans="12:15" ht="15" x14ac:dyDescent="0.2">
      <c r="M895" s="6"/>
      <c r="N895" s="6"/>
    </row>
    <row r="896" spans="12:15" ht="15" x14ac:dyDescent="0.2">
      <c r="M896" s="6"/>
      <c r="N896" s="6"/>
    </row>
    <row r="897" spans="13:15" ht="15" x14ac:dyDescent="0.2">
      <c r="M897" s="6"/>
      <c r="N897" s="6"/>
    </row>
    <row r="898" spans="13:15" ht="15" x14ac:dyDescent="0.2">
      <c r="M898" s="6"/>
      <c r="N898" s="6"/>
    </row>
    <row r="899" spans="13:15" ht="15" x14ac:dyDescent="0.2">
      <c r="M899" s="6"/>
      <c r="N899" s="6"/>
      <c r="O899" s="6"/>
    </row>
    <row r="900" spans="13:15" ht="15" x14ac:dyDescent="0.2">
      <c r="M900" s="6"/>
      <c r="N900" s="6"/>
    </row>
    <row r="901" spans="13:15" ht="15" x14ac:dyDescent="0.2">
      <c r="M901" s="6"/>
      <c r="N901" s="6"/>
    </row>
    <row r="902" spans="13:15" ht="15" x14ac:dyDescent="0.2">
      <c r="M902" s="6"/>
      <c r="N902" s="6"/>
    </row>
    <row r="903" spans="13:15" ht="15" x14ac:dyDescent="0.2">
      <c r="M903" s="6"/>
      <c r="N903" s="6"/>
    </row>
    <row r="904" spans="13:15" ht="15" x14ac:dyDescent="0.2">
      <c r="M904" s="6"/>
      <c r="N904" s="6"/>
    </row>
    <row r="905" spans="13:15" ht="15" x14ac:dyDescent="0.2">
      <c r="M905" s="6"/>
      <c r="N905" s="6"/>
    </row>
    <row r="906" spans="13:15" ht="15" x14ac:dyDescent="0.2">
      <c r="M906" s="6"/>
      <c r="N906" s="6"/>
    </row>
    <row r="907" spans="13:15" ht="15" x14ac:dyDescent="0.2">
      <c r="M907" s="6"/>
      <c r="N907" s="6"/>
    </row>
    <row r="908" spans="13:15" ht="15" x14ac:dyDescent="0.2">
      <c r="M908" s="6"/>
      <c r="N908" s="6"/>
    </row>
    <row r="909" spans="13:15" ht="15" x14ac:dyDescent="0.2">
      <c r="M909" s="6"/>
      <c r="N909" s="6"/>
    </row>
    <row r="910" spans="13:15" ht="15" x14ac:dyDescent="0.2">
      <c r="M910" s="6"/>
      <c r="N910" s="6"/>
    </row>
    <row r="911" spans="13:15" ht="15" x14ac:dyDescent="0.2">
      <c r="M911" s="6"/>
      <c r="N911" s="6"/>
    </row>
    <row r="912" spans="13:15" ht="15" x14ac:dyDescent="0.2">
      <c r="M912" s="6"/>
      <c r="N912" s="6"/>
    </row>
    <row r="913" spans="13:14" ht="15" x14ac:dyDescent="0.2">
      <c r="M913" s="6"/>
      <c r="N913" s="6"/>
    </row>
    <row r="914" spans="13:14" ht="15" x14ac:dyDescent="0.2">
      <c r="M914" s="6"/>
      <c r="N914" s="6"/>
    </row>
    <row r="915" spans="13:14" ht="15" x14ac:dyDescent="0.2">
      <c r="M915" s="6"/>
      <c r="N915" s="6"/>
    </row>
    <row r="916" spans="13:14" ht="15" x14ac:dyDescent="0.2">
      <c r="M916" s="6"/>
      <c r="N916" s="6"/>
    </row>
    <row r="917" spans="13:14" ht="15" x14ac:dyDescent="0.2">
      <c r="M917" s="6"/>
      <c r="N917" s="6"/>
    </row>
    <row r="918" spans="13:14" ht="15" x14ac:dyDescent="0.2">
      <c r="M918" s="6"/>
      <c r="N918" s="6"/>
    </row>
    <row r="919" spans="13:14" ht="15" x14ac:dyDescent="0.2">
      <c r="M919" s="6"/>
      <c r="N919" s="6"/>
    </row>
    <row r="920" spans="13:14" ht="15" x14ac:dyDescent="0.2">
      <c r="M920" s="6"/>
      <c r="N920" s="6"/>
    </row>
    <row r="921" spans="13:14" ht="15" x14ac:dyDescent="0.2">
      <c r="M921" s="6"/>
      <c r="N921" s="6"/>
    </row>
    <row r="922" spans="13:14" ht="15" x14ac:dyDescent="0.2">
      <c r="M922" s="6"/>
      <c r="N922" s="6"/>
    </row>
    <row r="923" spans="13:14" ht="15" x14ac:dyDescent="0.2">
      <c r="M923" s="6"/>
      <c r="N923" s="6"/>
    </row>
    <row r="924" spans="13:14" ht="15" x14ac:dyDescent="0.2">
      <c r="M924" s="6"/>
      <c r="N924" s="6"/>
    </row>
    <row r="925" spans="13:14" ht="15" x14ac:dyDescent="0.2">
      <c r="M925" s="6"/>
      <c r="N925" s="6"/>
    </row>
    <row r="926" spans="13:14" ht="15" x14ac:dyDescent="0.2">
      <c r="M926" s="6"/>
      <c r="N926" s="6"/>
    </row>
    <row r="927" spans="13:14" ht="15" x14ac:dyDescent="0.2">
      <c r="M927" s="6"/>
      <c r="N927" s="6"/>
    </row>
    <row r="928" spans="13:14" ht="15" x14ac:dyDescent="0.2">
      <c r="M928" s="6"/>
      <c r="N928" s="6"/>
    </row>
    <row r="929" spans="13:14" ht="15" x14ac:dyDescent="0.2">
      <c r="M929" s="6"/>
      <c r="N929" s="6"/>
    </row>
    <row r="930" spans="13:14" ht="15" x14ac:dyDescent="0.2">
      <c r="M930" s="6"/>
      <c r="N930" s="6"/>
    </row>
    <row r="931" spans="13:14" ht="15" x14ac:dyDescent="0.2">
      <c r="M931" s="6"/>
      <c r="N931" s="6"/>
    </row>
    <row r="932" spans="13:14" ht="15" x14ac:dyDescent="0.2">
      <c r="M932" s="6"/>
      <c r="N932" s="6"/>
    </row>
    <row r="933" spans="13:14" ht="15" x14ac:dyDescent="0.2">
      <c r="M933" s="6"/>
      <c r="N933" s="6"/>
    </row>
    <row r="934" spans="13:14" ht="15" x14ac:dyDescent="0.2">
      <c r="M934" s="6"/>
      <c r="N934" s="6"/>
    </row>
    <row r="935" spans="13:14" ht="15" x14ac:dyDescent="0.2">
      <c r="M935" s="6"/>
      <c r="N935" s="6"/>
    </row>
    <row r="936" spans="13:14" ht="15" x14ac:dyDescent="0.2">
      <c r="M936" s="6"/>
      <c r="N936" s="6"/>
    </row>
    <row r="937" spans="13:14" ht="15" x14ac:dyDescent="0.2">
      <c r="M937" s="6"/>
      <c r="N937" s="6"/>
    </row>
    <row r="938" spans="13:14" ht="15" x14ac:dyDescent="0.2">
      <c r="M938" s="6"/>
      <c r="N938" s="6"/>
    </row>
    <row r="939" spans="13:14" ht="15" x14ac:dyDescent="0.2">
      <c r="M939" s="6"/>
      <c r="N939" s="6"/>
    </row>
    <row r="940" spans="13:14" ht="15" x14ac:dyDescent="0.2">
      <c r="M940" s="6"/>
      <c r="N940" s="6"/>
    </row>
    <row r="941" spans="13:14" ht="15" x14ac:dyDescent="0.2">
      <c r="M941" s="6"/>
      <c r="N941" s="6"/>
    </row>
    <row r="942" spans="13:14" ht="15" x14ac:dyDescent="0.2">
      <c r="M942" s="6"/>
      <c r="N942" s="6"/>
    </row>
    <row r="943" spans="13:14" ht="15" x14ac:dyDescent="0.2">
      <c r="M943" s="6"/>
      <c r="N943" s="6"/>
    </row>
    <row r="944" spans="13:14" ht="15" x14ac:dyDescent="0.2">
      <c r="M944" s="6"/>
      <c r="N944" s="6"/>
    </row>
    <row r="945" spans="13:14" ht="15" x14ac:dyDescent="0.2">
      <c r="M945" s="6"/>
      <c r="N945" s="6"/>
    </row>
    <row r="946" spans="13:14" ht="15" x14ac:dyDescent="0.2">
      <c r="M946" s="6"/>
      <c r="N946" s="6"/>
    </row>
    <row r="947" spans="13:14" ht="15" x14ac:dyDescent="0.2">
      <c r="M947" s="6"/>
      <c r="N947" s="6"/>
    </row>
    <row r="948" spans="13:14" ht="15" x14ac:dyDescent="0.2">
      <c r="M948" s="6"/>
      <c r="N948" s="6"/>
    </row>
    <row r="949" spans="13:14" ht="15" x14ac:dyDescent="0.2">
      <c r="M949" s="6"/>
      <c r="N949" s="6"/>
    </row>
    <row r="950" spans="13:14" ht="15" x14ac:dyDescent="0.2">
      <c r="M950" s="6"/>
      <c r="N950" s="6"/>
    </row>
    <row r="951" spans="13:14" ht="15" x14ac:dyDescent="0.2">
      <c r="M951" s="6"/>
      <c r="N951" s="6"/>
    </row>
    <row r="952" spans="13:14" ht="15" x14ac:dyDescent="0.2">
      <c r="M952" s="6"/>
      <c r="N952" s="6"/>
    </row>
    <row r="953" spans="13:14" ht="15" x14ac:dyDescent="0.2">
      <c r="M953" s="6"/>
      <c r="N953" s="6"/>
    </row>
    <row r="954" spans="13:14" ht="15" x14ac:dyDescent="0.2">
      <c r="M954" s="6"/>
      <c r="N954" s="6"/>
    </row>
    <row r="955" spans="13:14" ht="15" x14ac:dyDescent="0.2">
      <c r="M955" s="6"/>
      <c r="N955" s="6"/>
    </row>
    <row r="956" spans="13:14" ht="15" x14ac:dyDescent="0.2">
      <c r="M956" s="6"/>
      <c r="N956" s="6"/>
    </row>
    <row r="957" spans="13:14" ht="15" x14ac:dyDescent="0.2">
      <c r="M957" s="6"/>
      <c r="N957" s="6"/>
    </row>
    <row r="958" spans="13:14" ht="15" x14ac:dyDescent="0.2">
      <c r="M958" s="6"/>
      <c r="N958" s="6"/>
    </row>
    <row r="959" spans="13:14" ht="15" x14ac:dyDescent="0.2">
      <c r="M959" s="6"/>
      <c r="N959" s="6"/>
    </row>
    <row r="960" spans="13:14" ht="15" x14ac:dyDescent="0.2">
      <c r="M960" s="6"/>
      <c r="N960" s="6"/>
    </row>
    <row r="961" spans="12:17" ht="15" x14ac:dyDescent="0.2">
      <c r="M961" s="6"/>
      <c r="N961" s="6"/>
    </row>
    <row r="962" spans="12:17" ht="15" x14ac:dyDescent="0.2">
      <c r="M962" s="6"/>
      <c r="N962" s="6"/>
    </row>
    <row r="963" spans="12:17" ht="15" x14ac:dyDescent="0.2">
      <c r="M963" s="6"/>
      <c r="N963" s="6"/>
    </row>
    <row r="964" spans="12:17" ht="15" x14ac:dyDescent="0.2">
      <c r="L964" s="9"/>
      <c r="M964" s="6"/>
      <c r="N964" s="6"/>
    </row>
    <row r="965" spans="12:17" ht="15" x14ac:dyDescent="0.2">
      <c r="M965" s="6"/>
      <c r="N965" s="6"/>
    </row>
    <row r="966" spans="12:17" ht="15" x14ac:dyDescent="0.2">
      <c r="M966" s="6"/>
      <c r="N966" s="6"/>
    </row>
    <row r="967" spans="12:17" ht="15" x14ac:dyDescent="0.2">
      <c r="M967" s="6"/>
      <c r="N967" s="6"/>
    </row>
    <row r="968" spans="12:17" ht="15" x14ac:dyDescent="0.2">
      <c r="M968" s="6"/>
      <c r="N968" s="6"/>
    </row>
    <row r="969" spans="12:17" ht="15" x14ac:dyDescent="0.2">
      <c r="M969" s="6"/>
      <c r="N969" s="6"/>
      <c r="Q969" s="8"/>
    </row>
    <row r="970" spans="12:17" ht="15" x14ac:dyDescent="0.2">
      <c r="M970" s="6"/>
      <c r="N970" s="6"/>
    </row>
    <row r="971" spans="12:17" ht="15" x14ac:dyDescent="0.2">
      <c r="M971" s="6"/>
      <c r="N971" s="6"/>
    </row>
    <row r="972" spans="12:17" ht="15" x14ac:dyDescent="0.2">
      <c r="M972" s="6"/>
      <c r="N972" s="6"/>
    </row>
    <row r="973" spans="12:17" ht="15" x14ac:dyDescent="0.2">
      <c r="M973" s="6"/>
      <c r="N973" s="6"/>
    </row>
    <row r="974" spans="12:17" ht="15" x14ac:dyDescent="0.2">
      <c r="M974" s="6"/>
      <c r="N974" s="6"/>
    </row>
    <row r="975" spans="12:17" ht="15" x14ac:dyDescent="0.2">
      <c r="M975" s="6"/>
      <c r="N975" s="6"/>
    </row>
    <row r="976" spans="12:17" ht="15" x14ac:dyDescent="0.2">
      <c r="M976" s="6"/>
      <c r="N976" s="6"/>
    </row>
    <row r="977" spans="13:14" ht="15" x14ac:dyDescent="0.2">
      <c r="M977" s="6"/>
      <c r="N977" s="6"/>
    </row>
    <row r="978" spans="13:14" ht="15" x14ac:dyDescent="0.2">
      <c r="M978" s="6"/>
      <c r="N978" s="6"/>
    </row>
    <row r="979" spans="13:14" ht="15" x14ac:dyDescent="0.2">
      <c r="M979" s="6"/>
      <c r="N979" s="6"/>
    </row>
    <row r="980" spans="13:14" ht="15" x14ac:dyDescent="0.2">
      <c r="M980" s="6"/>
      <c r="N980" s="6"/>
    </row>
    <row r="981" spans="13:14" ht="15" x14ac:dyDescent="0.2">
      <c r="M981" s="6"/>
      <c r="N981" s="6"/>
    </row>
    <row r="982" spans="13:14" ht="15" x14ac:dyDescent="0.2">
      <c r="M982" s="6"/>
      <c r="N982" s="6"/>
    </row>
    <row r="983" spans="13:14" ht="15" x14ac:dyDescent="0.2">
      <c r="M983" s="6"/>
      <c r="N983" s="6"/>
    </row>
    <row r="984" spans="13:14" ht="15" x14ac:dyDescent="0.2">
      <c r="M984" s="6"/>
      <c r="N984" s="6"/>
    </row>
    <row r="985" spans="13:14" ht="15" x14ac:dyDescent="0.2">
      <c r="M985" s="6"/>
      <c r="N985" s="6"/>
    </row>
    <row r="986" spans="13:14" ht="15" x14ac:dyDescent="0.2">
      <c r="M986" s="6"/>
      <c r="N986" s="6"/>
    </row>
    <row r="987" spans="13:14" ht="15" x14ac:dyDescent="0.2">
      <c r="M987" s="6"/>
      <c r="N987" s="6"/>
    </row>
    <row r="988" spans="13:14" ht="15" x14ac:dyDescent="0.2">
      <c r="M988" s="6"/>
      <c r="N988" s="6"/>
    </row>
    <row r="989" spans="13:14" ht="15" x14ac:dyDescent="0.2">
      <c r="M989" s="6"/>
      <c r="N989" s="6"/>
    </row>
    <row r="990" spans="13:14" ht="15" x14ac:dyDescent="0.2">
      <c r="M990" s="6"/>
      <c r="N990" s="6"/>
    </row>
    <row r="991" spans="13:14" ht="15" x14ac:dyDescent="0.2">
      <c r="M991" s="6"/>
      <c r="N991" s="6"/>
    </row>
    <row r="992" spans="13:14" ht="15" x14ac:dyDescent="0.2">
      <c r="M992" s="6"/>
      <c r="N992" s="6"/>
    </row>
    <row r="993" spans="13:14" ht="15" x14ac:dyDescent="0.2">
      <c r="M993" s="6"/>
      <c r="N993" s="6"/>
    </row>
    <row r="994" spans="13:14" ht="15" x14ac:dyDescent="0.2">
      <c r="M994" s="6"/>
      <c r="N994" s="6"/>
    </row>
    <row r="995" spans="13:14" ht="15" x14ac:dyDescent="0.2">
      <c r="M995" s="6"/>
      <c r="N995" s="6"/>
    </row>
    <row r="996" spans="13:14" ht="15" x14ac:dyDescent="0.2">
      <c r="M996" s="6"/>
      <c r="N996" s="6"/>
    </row>
    <row r="997" spans="13:14" ht="15" x14ac:dyDescent="0.2">
      <c r="M997" s="6"/>
      <c r="N997" s="6"/>
    </row>
    <row r="998" spans="13:14" ht="15" x14ac:dyDescent="0.2">
      <c r="M998" s="6"/>
      <c r="N998" s="6"/>
    </row>
    <row r="999" spans="13:14" ht="15" x14ac:dyDescent="0.2">
      <c r="M999" s="6"/>
      <c r="N999" s="6"/>
    </row>
    <row r="1000" spans="13:14" ht="15" x14ac:dyDescent="0.2">
      <c r="M1000" s="6"/>
      <c r="N1000" s="6"/>
    </row>
    <row r="1001" spans="13:14" ht="15" x14ac:dyDescent="0.2">
      <c r="M1001" s="6"/>
      <c r="N1001" s="6"/>
    </row>
    <row r="1002" spans="13:14" ht="15" x14ac:dyDescent="0.2">
      <c r="M1002" s="6"/>
      <c r="N1002" s="6"/>
    </row>
    <row r="1003" spans="13:14" ht="15" x14ac:dyDescent="0.2">
      <c r="M1003" s="6"/>
      <c r="N1003" s="6"/>
    </row>
    <row r="1004" spans="13:14" ht="15" x14ac:dyDescent="0.2">
      <c r="M1004" s="6"/>
      <c r="N1004" s="6"/>
    </row>
    <row r="1005" spans="13:14" ht="15" x14ac:dyDescent="0.2">
      <c r="M1005" s="6"/>
      <c r="N1005" s="6"/>
    </row>
    <row r="1006" spans="13:14" ht="15" x14ac:dyDescent="0.2">
      <c r="M1006" s="6"/>
      <c r="N1006" s="6"/>
    </row>
    <row r="1007" spans="13:14" ht="15" x14ac:dyDescent="0.2">
      <c r="M1007" s="6"/>
      <c r="N1007" s="6"/>
    </row>
    <row r="1008" spans="13:14" ht="15" x14ac:dyDescent="0.2">
      <c r="M1008" s="6"/>
      <c r="N1008" s="6"/>
    </row>
    <row r="1009" spans="13:14" ht="15" x14ac:dyDescent="0.2">
      <c r="M1009" s="6"/>
      <c r="N1009" s="6"/>
    </row>
    <row r="1010" spans="13:14" ht="15" x14ac:dyDescent="0.2">
      <c r="M1010" s="6"/>
      <c r="N1010" s="6"/>
    </row>
    <row r="1011" spans="13:14" ht="15" x14ac:dyDescent="0.2">
      <c r="M1011" s="6"/>
      <c r="N1011" s="6"/>
    </row>
    <row r="1012" spans="13:14" ht="15" x14ac:dyDescent="0.2">
      <c r="M1012" s="6"/>
      <c r="N1012" s="6"/>
    </row>
    <row r="1013" spans="13:14" ht="15" x14ac:dyDescent="0.2">
      <c r="M1013" s="6"/>
      <c r="N1013" s="6"/>
    </row>
    <row r="1014" spans="13:14" ht="15" x14ac:dyDescent="0.2">
      <c r="M1014" s="6"/>
      <c r="N1014" s="6"/>
    </row>
    <row r="1015" spans="13:14" ht="15" x14ac:dyDescent="0.2">
      <c r="M1015" s="6"/>
      <c r="N1015" s="6"/>
    </row>
    <row r="1016" spans="13:14" ht="15" x14ac:dyDescent="0.2">
      <c r="M1016" s="6"/>
      <c r="N1016" s="6"/>
    </row>
    <row r="1017" spans="13:14" ht="15" x14ac:dyDescent="0.2">
      <c r="M1017" s="6"/>
      <c r="N1017" s="6"/>
    </row>
    <row r="1018" spans="13:14" ht="15" x14ac:dyDescent="0.2">
      <c r="M1018" s="6"/>
      <c r="N1018" s="6"/>
    </row>
    <row r="1019" spans="13:14" ht="15" x14ac:dyDescent="0.2">
      <c r="M1019" s="6"/>
      <c r="N1019" s="6"/>
    </row>
    <row r="1020" spans="13:14" ht="15" x14ac:dyDescent="0.2">
      <c r="M1020" s="6"/>
      <c r="N1020" s="6"/>
    </row>
    <row r="1021" spans="13:14" ht="15" x14ac:dyDescent="0.2">
      <c r="M1021" s="6"/>
      <c r="N1021" s="6"/>
    </row>
    <row r="1022" spans="13:14" ht="15" x14ac:dyDescent="0.2">
      <c r="M1022" s="6"/>
      <c r="N1022" s="6"/>
    </row>
    <row r="1023" spans="13:14" ht="15" x14ac:dyDescent="0.2">
      <c r="M1023" s="6"/>
      <c r="N1023" s="6"/>
    </row>
    <row r="1024" spans="13:14" ht="15" x14ac:dyDescent="0.2">
      <c r="M1024" s="6"/>
      <c r="N1024" s="6"/>
    </row>
    <row r="1025" spans="13:14" ht="15" x14ac:dyDescent="0.2">
      <c r="M1025" s="6"/>
      <c r="N1025" s="6"/>
    </row>
    <row r="1026" spans="13:14" ht="15" x14ac:dyDescent="0.2">
      <c r="M1026" s="6"/>
      <c r="N1026" s="6"/>
    </row>
    <row r="1027" spans="13:14" ht="15" x14ac:dyDescent="0.2">
      <c r="M1027" s="6"/>
      <c r="N1027" s="6"/>
    </row>
    <row r="1028" spans="13:14" ht="15" x14ac:dyDescent="0.2">
      <c r="M1028" s="6"/>
      <c r="N1028" s="6"/>
    </row>
    <row r="1029" spans="13:14" ht="15" x14ac:dyDescent="0.2">
      <c r="M1029" s="6"/>
      <c r="N1029" s="6"/>
    </row>
    <row r="1030" spans="13:14" ht="15" x14ac:dyDescent="0.2">
      <c r="M1030" s="6"/>
      <c r="N1030" s="6"/>
    </row>
    <row r="1031" spans="13:14" ht="15" x14ac:dyDescent="0.2">
      <c r="M1031" s="6"/>
      <c r="N1031" s="6"/>
    </row>
    <row r="1032" spans="13:14" ht="15" x14ac:dyDescent="0.2">
      <c r="M1032" s="6"/>
      <c r="N1032" s="6"/>
    </row>
    <row r="1033" spans="13:14" ht="15" x14ac:dyDescent="0.2">
      <c r="M1033" s="6"/>
      <c r="N1033" s="6"/>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M326"/>
  <sheetViews>
    <sheetView tabSelected="1" zoomScaleNormal="100" workbookViewId="0">
      <pane xSplit="3" ySplit="1" topLeftCell="D51" activePane="bottomRight" state="frozen"/>
      <selection pane="topRight" activeCell="D1" sqref="D1"/>
      <selection pane="bottomLeft" activeCell="A2" sqref="A2"/>
      <selection pane="bottomRight" activeCell="D65" sqref="D65"/>
    </sheetView>
  </sheetViews>
  <sheetFormatPr baseColWidth="10" defaultColWidth="144.83203125" defaultRowHeight="15" x14ac:dyDescent="0.2"/>
  <cols>
    <col min="1" max="1" width="11.83203125" style="1" customWidth="1"/>
    <col min="2" max="2" width="32.1640625" style="1" customWidth="1"/>
    <col min="3" max="3" width="6.33203125" style="1" hidden="1" customWidth="1"/>
    <col min="4" max="4" width="13.5" style="1" customWidth="1"/>
    <col min="5" max="6" width="23.6640625" style="10" customWidth="1"/>
    <col min="7" max="7" width="23.6640625" style="11" customWidth="1"/>
    <col min="8" max="8" width="133.5" style="10" hidden="1" customWidth="1"/>
    <col min="9" max="9" width="13.5" style="10" customWidth="1"/>
    <col min="10" max="10" width="19.1640625" style="10" customWidth="1"/>
    <col min="11" max="11" width="29.6640625" style="12" customWidth="1"/>
    <col min="12" max="12" width="24" style="1" customWidth="1"/>
    <col min="13" max="13" width="16.33203125" style="1" customWidth="1"/>
    <col min="14" max="14" width="13.33203125" style="1" customWidth="1"/>
    <col min="15" max="15" width="29.83203125" style="1" hidden="1" customWidth="1"/>
    <col min="16" max="16" width="17.5" style="1" hidden="1" customWidth="1"/>
    <col min="17" max="17" width="30.1640625" style="1" hidden="1" customWidth="1"/>
    <col min="18" max="18" width="21.6640625" style="1" hidden="1" customWidth="1"/>
    <col min="19" max="19" width="11.6640625" style="13" customWidth="1"/>
    <col min="20" max="20" width="12.5" style="1" customWidth="1"/>
    <col min="21" max="1025" width="135" style="1" customWidth="1"/>
    <col min="1026" max="1026" width="110.6640625" customWidth="1"/>
  </cols>
  <sheetData>
    <row r="1" spans="1:1026" s="2" customFormat="1" ht="32" x14ac:dyDescent="0.2">
      <c r="A1" s="2" t="s">
        <v>486</v>
      </c>
      <c r="B1" s="2" t="s">
        <v>0</v>
      </c>
      <c r="C1" s="2" t="s">
        <v>2</v>
      </c>
      <c r="D1" s="2" t="s">
        <v>487</v>
      </c>
      <c r="E1" s="14" t="s">
        <v>488</v>
      </c>
      <c r="F1" s="14" t="s">
        <v>489</v>
      </c>
      <c r="G1" s="15" t="s">
        <v>490</v>
      </c>
      <c r="H1" s="14" t="s">
        <v>491</v>
      </c>
      <c r="I1" s="14" t="s">
        <v>492</v>
      </c>
      <c r="J1" s="14" t="s">
        <v>493</v>
      </c>
      <c r="K1" s="16" t="s">
        <v>494</v>
      </c>
      <c r="L1" s="2" t="s">
        <v>495</v>
      </c>
      <c r="M1" s="3" t="s">
        <v>496</v>
      </c>
      <c r="N1" s="2" t="s">
        <v>497</v>
      </c>
      <c r="O1" s="2" t="s">
        <v>498</v>
      </c>
      <c r="P1" s="2" t="s">
        <v>499</v>
      </c>
      <c r="Q1" s="2" t="s">
        <v>500</v>
      </c>
      <c r="R1" s="2" t="s">
        <v>501</v>
      </c>
      <c r="S1" s="17" t="s">
        <v>502</v>
      </c>
      <c r="T1" s="2" t="s">
        <v>503</v>
      </c>
    </row>
    <row r="2" spans="1:1026" s="18" customFormat="1" x14ac:dyDescent="0.2">
      <c r="A2" s="18" t="s">
        <v>504</v>
      </c>
      <c r="B2" s="18" t="s">
        <v>505</v>
      </c>
      <c r="D2" s="18">
        <v>118</v>
      </c>
      <c r="E2" s="19" t="s">
        <v>506</v>
      </c>
      <c r="F2" s="19" t="s">
        <v>507</v>
      </c>
      <c r="G2" s="20" t="s">
        <v>508</v>
      </c>
      <c r="H2" s="19" t="s">
        <v>507</v>
      </c>
      <c r="I2" s="19" t="s">
        <v>507</v>
      </c>
      <c r="J2" s="19" t="s">
        <v>507</v>
      </c>
      <c r="K2" s="21" t="s">
        <v>509</v>
      </c>
      <c r="M2" s="1" t="s">
        <v>510</v>
      </c>
      <c r="N2" s="1"/>
      <c r="O2" s="18" t="s">
        <v>511</v>
      </c>
      <c r="S2" s="13"/>
      <c r="T2" s="18" t="s">
        <v>276</v>
      </c>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1026" s="18" customFormat="1" x14ac:dyDescent="0.2">
      <c r="A3" s="18" t="s">
        <v>504</v>
      </c>
      <c r="B3" s="18" t="s">
        <v>512</v>
      </c>
      <c r="D3" s="18">
        <v>65</v>
      </c>
      <c r="E3" s="19" t="s">
        <v>506</v>
      </c>
      <c r="F3" s="19" t="s">
        <v>507</v>
      </c>
      <c r="G3" s="20" t="s">
        <v>513</v>
      </c>
      <c r="H3" s="19" t="s">
        <v>507</v>
      </c>
      <c r="I3" s="19"/>
      <c r="J3" s="19" t="s">
        <v>507</v>
      </c>
      <c r="K3" s="22" t="s">
        <v>509</v>
      </c>
      <c r="M3" s="1" t="s">
        <v>514</v>
      </c>
      <c r="N3" s="1"/>
      <c r="S3" s="13"/>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row>
    <row r="4" spans="1:1026" s="18" customFormat="1" ht="15" customHeight="1" x14ac:dyDescent="0.2">
      <c r="A4" s="18" t="s">
        <v>504</v>
      </c>
      <c r="B4" s="18" t="s">
        <v>515</v>
      </c>
      <c r="D4" s="18">
        <v>9</v>
      </c>
      <c r="E4" s="19" t="s">
        <v>506</v>
      </c>
      <c r="F4" s="19" t="s">
        <v>507</v>
      </c>
      <c r="G4" s="20" t="s">
        <v>513</v>
      </c>
      <c r="H4" s="19" t="s">
        <v>507</v>
      </c>
      <c r="I4" s="19"/>
      <c r="J4" s="19" t="s">
        <v>507</v>
      </c>
      <c r="K4" s="21" t="s">
        <v>509</v>
      </c>
      <c r="M4" s="1" t="s">
        <v>514</v>
      </c>
      <c r="N4" s="1"/>
      <c r="S4" s="13"/>
      <c r="T4" s="18" t="s">
        <v>516</v>
      </c>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1026" s="18" customFormat="1" x14ac:dyDescent="0.2">
      <c r="A5" s="18" t="s">
        <v>504</v>
      </c>
      <c r="B5" s="18" t="s">
        <v>517</v>
      </c>
      <c r="D5" s="18">
        <v>13</v>
      </c>
      <c r="E5" s="19" t="s">
        <v>506</v>
      </c>
      <c r="F5" s="19" t="s">
        <v>507</v>
      </c>
      <c r="G5" s="20" t="s">
        <v>508</v>
      </c>
      <c r="H5" s="19" t="s">
        <v>507</v>
      </c>
      <c r="I5" s="19"/>
      <c r="J5" s="19" t="s">
        <v>507</v>
      </c>
      <c r="K5" s="21" t="s">
        <v>509</v>
      </c>
      <c r="M5" s="1" t="s">
        <v>514</v>
      </c>
      <c r="N5" s="1"/>
      <c r="S5" s="13" t="s">
        <v>496</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1026" s="18" customFormat="1" x14ac:dyDescent="0.2">
      <c r="A6" s="18" t="s">
        <v>504</v>
      </c>
      <c r="B6" s="18" t="s">
        <v>518</v>
      </c>
      <c r="D6" s="18">
        <v>18</v>
      </c>
      <c r="E6" s="19" t="s">
        <v>506</v>
      </c>
      <c r="F6" s="19" t="s">
        <v>507</v>
      </c>
      <c r="G6" s="20" t="s">
        <v>508</v>
      </c>
      <c r="H6" s="19" t="s">
        <v>507</v>
      </c>
      <c r="I6" s="19"/>
      <c r="J6" s="19" t="s">
        <v>507</v>
      </c>
      <c r="K6" s="23"/>
      <c r="M6" s="1"/>
      <c r="N6" s="1"/>
      <c r="S6" s="13" t="s">
        <v>496</v>
      </c>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1026" s="18" customFormat="1" x14ac:dyDescent="0.2">
      <c r="A7" s="1">
        <v>3</v>
      </c>
      <c r="B7" s="1" t="s">
        <v>519</v>
      </c>
      <c r="C7" s="1" t="s">
        <v>520</v>
      </c>
      <c r="D7" s="1">
        <v>37</v>
      </c>
      <c r="E7" s="24" t="s">
        <v>507</v>
      </c>
      <c r="F7" s="24" t="s">
        <v>508</v>
      </c>
      <c r="G7" s="25" t="s">
        <v>508</v>
      </c>
      <c r="H7" s="24"/>
      <c r="I7" s="24"/>
      <c r="J7" s="24" t="s">
        <v>507</v>
      </c>
      <c r="K7" s="12"/>
      <c r="L7" s="26"/>
      <c r="M7" s="1"/>
      <c r="N7" s="1"/>
      <c r="O7" s="1"/>
      <c r="P7" s="1"/>
      <c r="Q7" s="1"/>
      <c r="R7" s="1"/>
      <c r="S7" s="13"/>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spans="1:1026" s="18" customFormat="1" x14ac:dyDescent="0.2">
      <c r="A8" s="1" t="s">
        <v>521</v>
      </c>
      <c r="B8" s="1" t="s">
        <v>522</v>
      </c>
      <c r="C8" s="1"/>
      <c r="D8" s="1">
        <v>157</v>
      </c>
      <c r="E8" s="10" t="s">
        <v>506</v>
      </c>
      <c r="F8" s="10" t="s">
        <v>508</v>
      </c>
      <c r="G8" s="11" t="s">
        <v>508</v>
      </c>
      <c r="H8" s="10" t="s">
        <v>507</v>
      </c>
      <c r="I8" s="10"/>
      <c r="J8" s="10" t="s">
        <v>507</v>
      </c>
      <c r="K8" s="12"/>
      <c r="L8" s="26"/>
      <c r="M8" s="1"/>
      <c r="N8" s="1"/>
      <c r="O8" s="1"/>
      <c r="P8" s="1"/>
      <c r="Q8" s="1"/>
      <c r="R8" s="1"/>
      <c r="S8" s="13"/>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row>
    <row r="9" spans="1:1026" s="18" customFormat="1" x14ac:dyDescent="0.2">
      <c r="A9" s="18" t="s">
        <v>504</v>
      </c>
      <c r="B9" s="18" t="s">
        <v>523</v>
      </c>
      <c r="D9" s="18">
        <v>475</v>
      </c>
      <c r="E9" s="19" t="s">
        <v>506</v>
      </c>
      <c r="F9" s="19" t="s">
        <v>507</v>
      </c>
      <c r="G9" s="20" t="s">
        <v>513</v>
      </c>
      <c r="H9" s="19" t="s">
        <v>507</v>
      </c>
      <c r="I9" s="19"/>
      <c r="J9" s="19" t="s">
        <v>507</v>
      </c>
      <c r="K9" s="23"/>
      <c r="M9" s="1"/>
      <c r="N9" s="1"/>
      <c r="S9" s="13" t="s">
        <v>496</v>
      </c>
      <c r="T9" s="2" t="s">
        <v>524</v>
      </c>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row>
    <row r="10" spans="1:1026" s="18" customFormat="1" x14ac:dyDescent="0.2">
      <c r="A10" s="18" t="s">
        <v>504</v>
      </c>
      <c r="B10" s="18" t="s">
        <v>525</v>
      </c>
      <c r="D10" s="18">
        <v>7</v>
      </c>
      <c r="E10" s="19" t="s">
        <v>506</v>
      </c>
      <c r="F10" s="19" t="s">
        <v>507</v>
      </c>
      <c r="G10" s="20" t="s">
        <v>508</v>
      </c>
      <c r="H10" s="19" t="s">
        <v>507</v>
      </c>
      <c r="I10" s="19"/>
      <c r="J10" s="19" t="s">
        <v>507</v>
      </c>
      <c r="K10" s="23"/>
      <c r="M10" s="1"/>
      <c r="N10" s="1"/>
      <c r="S10" s="13" t="s">
        <v>496</v>
      </c>
      <c r="T10" s="18" t="s">
        <v>248</v>
      </c>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row>
    <row r="11" spans="1:1026" s="18" customFormat="1" x14ac:dyDescent="0.2">
      <c r="A11" s="18" t="s">
        <v>504</v>
      </c>
      <c r="B11" s="27" t="s">
        <v>526</v>
      </c>
      <c r="D11" s="18">
        <v>228</v>
      </c>
      <c r="E11" s="19" t="s">
        <v>506</v>
      </c>
      <c r="F11" s="19" t="s">
        <v>507</v>
      </c>
      <c r="G11" s="20" t="s">
        <v>507</v>
      </c>
      <c r="H11" s="19" t="s">
        <v>507</v>
      </c>
      <c r="I11" s="19"/>
      <c r="J11" s="19" t="s">
        <v>507</v>
      </c>
      <c r="K11" s="23"/>
      <c r="M11" s="1"/>
      <c r="N11" s="1"/>
      <c r="Q11" s="18" t="s">
        <v>527</v>
      </c>
      <c r="S11" s="13" t="s">
        <v>496</v>
      </c>
      <c r="T11" s="28" t="s">
        <v>73</v>
      </c>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c r="NF11" s="29"/>
      <c r="NG11" s="29"/>
      <c r="NH11" s="29"/>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c r="OZ11" s="29"/>
      <c r="PA11" s="29"/>
      <c r="PB11" s="29"/>
      <c r="PC11" s="29"/>
      <c r="PD11" s="29"/>
      <c r="PE11" s="29"/>
      <c r="PF11" s="29"/>
      <c r="PG11" s="29"/>
      <c r="PH11" s="29"/>
      <c r="PI11" s="29"/>
      <c r="PJ11" s="29"/>
      <c r="PK11" s="29"/>
      <c r="PL11" s="29"/>
      <c r="PM11" s="29"/>
      <c r="PN11" s="29"/>
      <c r="PO11" s="29"/>
      <c r="PP11" s="29"/>
      <c r="PQ11" s="29"/>
      <c r="PR11" s="29"/>
      <c r="PS11" s="29"/>
      <c r="PT11" s="29"/>
      <c r="PU11" s="29"/>
      <c r="PV11" s="29"/>
      <c r="PW11" s="29"/>
      <c r="PX11" s="29"/>
      <c r="PY11" s="29"/>
      <c r="PZ11" s="29"/>
      <c r="QA11" s="29"/>
      <c r="QB11" s="29"/>
      <c r="QC11" s="29"/>
      <c r="QD11" s="29"/>
      <c r="QE11" s="29"/>
      <c r="QF11" s="29"/>
      <c r="QG11" s="29"/>
      <c r="QH11" s="29"/>
      <c r="QI11" s="29"/>
      <c r="QJ11" s="29"/>
      <c r="QK11" s="29"/>
      <c r="QL11" s="29"/>
      <c r="QM11" s="29"/>
      <c r="QN11" s="29"/>
      <c r="QO11" s="29"/>
      <c r="QP11" s="29"/>
      <c r="QQ11" s="29"/>
      <c r="QR11" s="29"/>
      <c r="QS11" s="29"/>
      <c r="QT11" s="29"/>
      <c r="QU11" s="29"/>
      <c r="QV11" s="29"/>
      <c r="QW11" s="29"/>
      <c r="QX11" s="29"/>
      <c r="QY11" s="29"/>
      <c r="QZ11" s="29"/>
      <c r="RA11" s="29"/>
      <c r="RB11" s="29"/>
      <c r="RC11" s="29"/>
      <c r="RD11" s="29"/>
      <c r="RE11" s="29"/>
      <c r="RF11" s="29"/>
      <c r="RG11" s="29"/>
      <c r="RH11" s="29"/>
      <c r="RI11" s="29"/>
      <c r="RJ11" s="29"/>
      <c r="RK11" s="29"/>
      <c r="RL11" s="29"/>
      <c r="RM11" s="29"/>
      <c r="RN11" s="29"/>
      <c r="RO11" s="29"/>
      <c r="RP11" s="29"/>
      <c r="RQ11" s="29"/>
      <c r="RR11" s="29"/>
      <c r="RS11" s="29"/>
      <c r="RT11" s="29"/>
      <c r="RU11" s="29"/>
      <c r="RV11" s="29"/>
      <c r="RW11" s="29"/>
      <c r="RX11" s="29"/>
      <c r="RY11" s="29"/>
      <c r="RZ11" s="29"/>
      <c r="SA11" s="29"/>
      <c r="SB11" s="29"/>
      <c r="SC11" s="29"/>
      <c r="SD11" s="29"/>
      <c r="SE11" s="29"/>
      <c r="SF11" s="29"/>
      <c r="SG11" s="29"/>
      <c r="SH11" s="29"/>
      <c r="SI11" s="29"/>
      <c r="SJ11" s="29"/>
      <c r="SK11" s="29"/>
      <c r="SL11" s="29"/>
      <c r="SM11" s="29"/>
      <c r="SN11" s="29"/>
      <c r="SO11" s="29"/>
      <c r="SP11" s="29"/>
      <c r="SQ11" s="29"/>
      <c r="SR11" s="29"/>
      <c r="SS11" s="29"/>
      <c r="ST11" s="29"/>
      <c r="SU11" s="29"/>
      <c r="SV11" s="29"/>
      <c r="SW11" s="29"/>
      <c r="SX11" s="29"/>
      <c r="SY11" s="29"/>
      <c r="SZ11" s="29"/>
      <c r="TA11" s="29"/>
      <c r="TB11" s="29"/>
      <c r="TC11" s="29"/>
      <c r="TD11" s="29"/>
      <c r="TE11" s="29"/>
      <c r="TF11" s="29"/>
      <c r="TG11" s="29"/>
      <c r="TH11" s="29"/>
      <c r="TI11" s="29"/>
      <c r="TJ11" s="29"/>
      <c r="TK11" s="29"/>
      <c r="TL11" s="29"/>
      <c r="TM11" s="29"/>
      <c r="TN11" s="29"/>
      <c r="TO11" s="29"/>
      <c r="TP11" s="29"/>
      <c r="TQ11" s="29"/>
      <c r="TR11" s="29"/>
      <c r="TS11" s="29"/>
      <c r="TT11" s="29"/>
      <c r="TU11" s="29"/>
      <c r="TV11" s="29"/>
      <c r="TW11" s="29"/>
      <c r="TX11" s="29"/>
      <c r="TY11" s="29"/>
      <c r="TZ11" s="29"/>
      <c r="UA11" s="29"/>
      <c r="UB11" s="29"/>
      <c r="UC11" s="29"/>
      <c r="UD11" s="29"/>
      <c r="UE11" s="29"/>
      <c r="UF11" s="29"/>
      <c r="UG11" s="29"/>
      <c r="UH11" s="29"/>
      <c r="UI11" s="29"/>
      <c r="UJ11" s="29"/>
      <c r="UK11" s="29"/>
      <c r="UL11" s="29"/>
      <c r="UM11" s="29"/>
      <c r="UN11" s="29"/>
      <c r="UO11" s="29"/>
      <c r="UP11" s="29"/>
      <c r="UQ11" s="29"/>
      <c r="UR11" s="29"/>
      <c r="US11" s="29"/>
      <c r="UT11" s="29"/>
      <c r="UU11" s="29"/>
      <c r="UV11" s="29"/>
      <c r="UW11" s="29"/>
      <c r="UX11" s="29"/>
      <c r="UY11" s="29"/>
      <c r="UZ11" s="29"/>
      <c r="VA11" s="29"/>
      <c r="VB11" s="29"/>
      <c r="VC11" s="29"/>
      <c r="VD11" s="29"/>
      <c r="VE11" s="29"/>
      <c r="VF11" s="29"/>
      <c r="VG11" s="29"/>
      <c r="VH11" s="29"/>
      <c r="VI11" s="29"/>
      <c r="VJ11" s="29"/>
      <c r="VK11" s="29"/>
      <c r="VL11" s="29"/>
      <c r="VM11" s="29"/>
      <c r="VN11" s="29"/>
      <c r="VO11" s="29"/>
      <c r="VP11" s="29"/>
      <c r="VQ11" s="29"/>
      <c r="VR11" s="29"/>
      <c r="VS11" s="29"/>
      <c r="VT11" s="29"/>
      <c r="VU11" s="29"/>
      <c r="VV11" s="29"/>
      <c r="VW11" s="29"/>
      <c r="VX11" s="29"/>
      <c r="VY11" s="29"/>
      <c r="VZ11" s="29"/>
      <c r="WA11" s="29"/>
      <c r="WB11" s="29"/>
      <c r="WC11" s="29"/>
      <c r="WD11" s="29"/>
      <c r="WE11" s="29"/>
      <c r="WF11" s="29"/>
      <c r="WG11" s="29"/>
      <c r="WH11" s="29"/>
      <c r="WI11" s="29"/>
      <c r="WJ11" s="29"/>
      <c r="WK11" s="29"/>
      <c r="WL11" s="29"/>
      <c r="WM11" s="29"/>
      <c r="WN11" s="29"/>
      <c r="WO11" s="29"/>
      <c r="WP11" s="29"/>
      <c r="WQ11" s="29"/>
      <c r="WR11" s="29"/>
      <c r="WS11" s="29"/>
      <c r="WT11" s="29"/>
      <c r="WU11" s="29"/>
      <c r="WV11" s="29"/>
      <c r="WW11" s="29"/>
      <c r="WX11" s="29"/>
      <c r="WY11" s="29"/>
      <c r="WZ11" s="29"/>
      <c r="XA11" s="29"/>
      <c r="XB11" s="29"/>
      <c r="XC11" s="29"/>
      <c r="XD11" s="29"/>
      <c r="XE11" s="29"/>
      <c r="XF11" s="29"/>
      <c r="XG11" s="29"/>
      <c r="XH11" s="29"/>
      <c r="XI11" s="29"/>
      <c r="XJ11" s="29"/>
      <c r="XK11" s="29"/>
      <c r="XL11" s="29"/>
      <c r="XM11" s="29"/>
      <c r="XN11" s="29"/>
      <c r="XO11" s="29"/>
      <c r="XP11" s="29"/>
      <c r="XQ11" s="29"/>
      <c r="XR11" s="29"/>
      <c r="XS11" s="29"/>
      <c r="XT11" s="29"/>
      <c r="XU11" s="29"/>
      <c r="XV11" s="29"/>
      <c r="XW11" s="29"/>
      <c r="XX11" s="29"/>
      <c r="XY11" s="29"/>
      <c r="XZ11" s="29"/>
      <c r="YA11" s="29"/>
      <c r="YB11" s="29"/>
      <c r="YC11" s="29"/>
      <c r="YD11" s="29"/>
      <c r="YE11" s="29"/>
      <c r="YF11" s="29"/>
      <c r="YG11" s="29"/>
      <c r="YH11" s="29"/>
      <c r="YI11" s="29"/>
      <c r="YJ11" s="29"/>
      <c r="YK11" s="29"/>
      <c r="YL11" s="29"/>
      <c r="YM11" s="29"/>
      <c r="YN11" s="29"/>
      <c r="YO11" s="29"/>
      <c r="YP11" s="29"/>
      <c r="YQ11" s="29"/>
      <c r="YR11" s="29"/>
      <c r="YS11" s="29"/>
      <c r="YT11" s="29"/>
      <c r="YU11" s="29"/>
      <c r="YV11" s="29"/>
      <c r="YW11" s="29"/>
      <c r="YX11" s="29"/>
      <c r="YY11" s="29"/>
      <c r="YZ11" s="29"/>
      <c r="ZA11" s="29"/>
      <c r="ZB11" s="29"/>
      <c r="ZC11" s="29"/>
      <c r="ZD11" s="29"/>
      <c r="ZE11" s="29"/>
      <c r="ZF11" s="29"/>
      <c r="ZG11" s="29"/>
      <c r="ZH11" s="29"/>
      <c r="ZI11" s="29"/>
      <c r="ZJ11" s="29"/>
      <c r="ZK11" s="29"/>
      <c r="ZL11" s="29"/>
      <c r="ZM11" s="29"/>
      <c r="ZN11" s="29"/>
      <c r="ZO11" s="29"/>
      <c r="ZP11" s="29"/>
      <c r="ZQ11" s="29"/>
      <c r="ZR11" s="29"/>
      <c r="ZS11" s="29"/>
      <c r="ZT11" s="29"/>
      <c r="ZU11" s="29"/>
      <c r="ZV11" s="29"/>
      <c r="ZW11" s="29"/>
      <c r="ZX11" s="29"/>
      <c r="ZY11" s="29"/>
      <c r="ZZ11" s="29"/>
      <c r="AAA11" s="29"/>
      <c r="AAB11" s="29"/>
      <c r="AAC11" s="29"/>
      <c r="AAD11" s="29"/>
      <c r="AAE11" s="29"/>
      <c r="AAF11" s="29"/>
      <c r="AAG11" s="29"/>
      <c r="AAH11" s="29"/>
      <c r="AAI11" s="29"/>
      <c r="AAJ11" s="29"/>
      <c r="AAK11" s="29"/>
      <c r="AAL11" s="29"/>
      <c r="AAM11" s="29"/>
      <c r="AAN11" s="29"/>
      <c r="AAO11" s="29"/>
      <c r="AAP11" s="29"/>
      <c r="AAQ11" s="29"/>
      <c r="AAR11" s="29"/>
      <c r="AAS11" s="29"/>
      <c r="AAT11" s="29"/>
      <c r="AAU11" s="29"/>
      <c r="AAV11" s="29"/>
      <c r="AAW11" s="29"/>
      <c r="AAX11" s="29"/>
      <c r="AAY11" s="29"/>
      <c r="AAZ11" s="29"/>
      <c r="ABA11" s="29"/>
      <c r="ABB11" s="29"/>
      <c r="ABC11" s="29"/>
      <c r="ABD11" s="29"/>
      <c r="ABE11" s="29"/>
      <c r="ABF11" s="29"/>
      <c r="ABG11" s="29"/>
      <c r="ABH11" s="29"/>
      <c r="ABI11" s="29"/>
      <c r="ABJ11" s="29"/>
      <c r="ABK11" s="29"/>
      <c r="ABL11" s="29"/>
      <c r="ABM11" s="29"/>
      <c r="ABN11" s="29"/>
      <c r="ABO11" s="29"/>
      <c r="ABP11" s="29"/>
      <c r="ABQ11" s="29"/>
      <c r="ABR11" s="29"/>
      <c r="ABS11" s="29"/>
      <c r="ABT11" s="29"/>
      <c r="ABU11" s="29"/>
      <c r="ABV11" s="29"/>
      <c r="ABW11" s="29"/>
      <c r="ABX11" s="29"/>
      <c r="ABY11" s="29"/>
      <c r="ABZ11" s="29"/>
      <c r="ACA11" s="29"/>
      <c r="ACB11" s="29"/>
      <c r="ACC11" s="29"/>
      <c r="ACD11" s="29"/>
      <c r="ACE11" s="29"/>
      <c r="ACF11" s="29"/>
      <c r="ACG11" s="29"/>
      <c r="ACH11" s="29"/>
      <c r="ACI11" s="29"/>
      <c r="ACJ11" s="29"/>
      <c r="ACK11" s="29"/>
      <c r="ACL11" s="29"/>
      <c r="ACM11" s="29"/>
      <c r="ACN11" s="29"/>
      <c r="ACO11" s="29"/>
      <c r="ACP11" s="29"/>
      <c r="ACQ11" s="29"/>
      <c r="ACR11" s="29"/>
      <c r="ACS11" s="29"/>
      <c r="ACT11" s="29"/>
      <c r="ACU11" s="29"/>
      <c r="ACV11" s="29"/>
      <c r="ACW11" s="29"/>
      <c r="ACX11" s="29"/>
      <c r="ACY11" s="29"/>
      <c r="ACZ11" s="29"/>
      <c r="ADA11" s="29"/>
      <c r="ADB11" s="29"/>
      <c r="ADC11" s="29"/>
      <c r="ADD11" s="29"/>
      <c r="ADE11" s="29"/>
      <c r="ADF11" s="29"/>
      <c r="ADG11" s="29"/>
      <c r="ADH11" s="29"/>
      <c r="ADI11" s="29"/>
      <c r="ADJ11" s="29"/>
      <c r="ADK11" s="29"/>
      <c r="ADL11" s="29"/>
      <c r="ADM11" s="29"/>
      <c r="ADN11" s="29"/>
      <c r="ADO11" s="29"/>
      <c r="ADP11" s="29"/>
      <c r="ADQ11" s="29"/>
      <c r="ADR11" s="29"/>
      <c r="ADS11" s="29"/>
      <c r="ADT11" s="29"/>
      <c r="ADU11" s="29"/>
      <c r="ADV11" s="29"/>
      <c r="ADW11" s="29"/>
      <c r="ADX11" s="29"/>
      <c r="ADY11" s="29"/>
      <c r="ADZ11" s="29"/>
      <c r="AEA11" s="29"/>
      <c r="AEB11" s="29"/>
      <c r="AEC11" s="29"/>
      <c r="AED11" s="29"/>
      <c r="AEE11" s="29"/>
      <c r="AEF11" s="29"/>
      <c r="AEG11" s="29"/>
      <c r="AEH11" s="29"/>
      <c r="AEI11" s="29"/>
      <c r="AEJ11" s="29"/>
      <c r="AEK11" s="29"/>
      <c r="AEL11" s="29"/>
      <c r="AEM11" s="29"/>
      <c r="AEN11" s="29"/>
      <c r="AEO11" s="29"/>
      <c r="AEP11" s="29"/>
      <c r="AEQ11" s="29"/>
      <c r="AER11" s="29"/>
      <c r="AES11" s="29"/>
      <c r="AET11" s="29"/>
      <c r="AEU11" s="29"/>
      <c r="AEV11" s="29"/>
      <c r="AEW11" s="29"/>
      <c r="AEX11" s="29"/>
      <c r="AEY11" s="29"/>
      <c r="AEZ11" s="29"/>
      <c r="AFA11" s="29"/>
      <c r="AFB11" s="29"/>
      <c r="AFC11" s="29"/>
      <c r="AFD11" s="29"/>
      <c r="AFE11" s="29"/>
      <c r="AFF11" s="29"/>
      <c r="AFG11" s="29"/>
      <c r="AFH11" s="29"/>
      <c r="AFI11" s="29"/>
      <c r="AFJ11" s="29"/>
      <c r="AFK11" s="29"/>
      <c r="AFL11" s="29"/>
      <c r="AFM11" s="29"/>
      <c r="AFN11" s="29"/>
      <c r="AFO11" s="29"/>
      <c r="AFP11" s="29"/>
      <c r="AFQ11" s="29"/>
      <c r="AFR11" s="29"/>
      <c r="AFS11" s="29"/>
      <c r="AFT11" s="29"/>
      <c r="AFU11" s="29"/>
      <c r="AFV11" s="29"/>
      <c r="AFW11" s="29"/>
      <c r="AFX11" s="29"/>
      <c r="AFY11" s="29"/>
      <c r="AFZ11" s="29"/>
      <c r="AGA11" s="29"/>
      <c r="AGB11" s="29"/>
      <c r="AGC11" s="29"/>
      <c r="AGD11" s="29"/>
      <c r="AGE11" s="29"/>
      <c r="AGF11" s="29"/>
      <c r="AGG11" s="29"/>
      <c r="AGH11" s="29"/>
      <c r="AGI11" s="29"/>
      <c r="AGJ11" s="29"/>
      <c r="AGK11" s="29"/>
      <c r="AGL11" s="29"/>
      <c r="AGM11" s="29"/>
      <c r="AGN11" s="29"/>
      <c r="AGO11" s="29"/>
      <c r="AGP11" s="29"/>
      <c r="AGQ11" s="29"/>
      <c r="AGR11" s="29"/>
      <c r="AGS11" s="29"/>
      <c r="AGT11" s="29"/>
      <c r="AGU11" s="29"/>
      <c r="AGV11" s="29"/>
      <c r="AGW11" s="29"/>
      <c r="AGX11" s="29"/>
      <c r="AGY11" s="29"/>
      <c r="AGZ11" s="29"/>
      <c r="AHA11" s="29"/>
      <c r="AHB11" s="29"/>
      <c r="AHC11" s="29"/>
      <c r="AHD11" s="29"/>
      <c r="AHE11" s="29"/>
      <c r="AHF11" s="29"/>
      <c r="AHG11" s="29"/>
      <c r="AHH11" s="29"/>
      <c r="AHI11" s="29"/>
      <c r="AHJ11" s="29"/>
      <c r="AHK11" s="29"/>
      <c r="AHL11" s="29"/>
      <c r="AHM11" s="29"/>
      <c r="AHN11" s="29"/>
      <c r="AHO11" s="29"/>
      <c r="AHP11" s="29"/>
      <c r="AHQ11" s="29"/>
      <c r="AHR11" s="29"/>
      <c r="AHS11" s="29"/>
      <c r="AHT11" s="29"/>
      <c r="AHU11" s="29"/>
      <c r="AHV11" s="29"/>
      <c r="AHW11" s="29"/>
      <c r="AHX11" s="29"/>
      <c r="AHY11" s="29"/>
      <c r="AHZ11" s="29"/>
      <c r="AIA11" s="29"/>
      <c r="AIB11" s="29"/>
      <c r="AIC11" s="29"/>
      <c r="AID11" s="29"/>
      <c r="AIE11" s="29"/>
      <c r="AIF11" s="29"/>
      <c r="AIG11" s="29"/>
      <c r="AIH11" s="29"/>
      <c r="AII11" s="29"/>
      <c r="AIJ11" s="29"/>
      <c r="AIK11" s="29"/>
      <c r="AIL11" s="29"/>
      <c r="AIM11" s="29"/>
      <c r="AIN11" s="29"/>
      <c r="AIO11" s="29"/>
      <c r="AIP11" s="29"/>
      <c r="AIQ11" s="29"/>
      <c r="AIR11" s="29"/>
      <c r="AIS11" s="29"/>
      <c r="AIT11" s="29"/>
      <c r="AIU11" s="29"/>
      <c r="AIV11" s="29"/>
      <c r="AIW11" s="29"/>
      <c r="AIX11" s="29"/>
      <c r="AIY11" s="29"/>
      <c r="AIZ11" s="29"/>
      <c r="AJA11" s="29"/>
      <c r="AJB11" s="29"/>
      <c r="AJC11" s="29"/>
      <c r="AJD11" s="29"/>
      <c r="AJE11" s="29"/>
      <c r="AJF11" s="29"/>
      <c r="AJG11" s="29"/>
      <c r="AJH11" s="29"/>
      <c r="AJI11" s="29"/>
      <c r="AJJ11" s="29"/>
      <c r="AJK11" s="29"/>
      <c r="AJL11" s="29"/>
      <c r="AJM11" s="29"/>
      <c r="AJN11" s="29"/>
      <c r="AJO11" s="29"/>
      <c r="AJP11" s="29"/>
      <c r="AJQ11" s="29"/>
      <c r="AJR11" s="29"/>
      <c r="AJS11" s="29"/>
      <c r="AJT11" s="29"/>
      <c r="AJU11" s="29"/>
      <c r="AJV11" s="29"/>
      <c r="AJW11" s="29"/>
      <c r="AJX11" s="29"/>
      <c r="AJY11" s="29"/>
      <c r="AJZ11" s="29"/>
      <c r="AKA11" s="29"/>
      <c r="AKB11" s="29"/>
      <c r="AKC11" s="29"/>
      <c r="AKD11" s="29"/>
      <c r="AKE11" s="29"/>
      <c r="AKF11" s="29"/>
      <c r="AKG11" s="29"/>
      <c r="AKH11" s="29"/>
      <c r="AKI11" s="29"/>
      <c r="AKJ11" s="29"/>
      <c r="AKK11" s="29"/>
      <c r="AKL11" s="29"/>
      <c r="AKM11" s="29"/>
      <c r="AKN11" s="29"/>
      <c r="AKO11" s="29"/>
      <c r="AKP11" s="29"/>
      <c r="AKQ11" s="29"/>
      <c r="AKR11" s="29"/>
      <c r="AKS11" s="29"/>
      <c r="AKT11" s="29"/>
      <c r="AKU11" s="29"/>
      <c r="AKV11" s="29"/>
      <c r="AKW11" s="29"/>
      <c r="AKX11" s="29"/>
      <c r="AKY11" s="29"/>
      <c r="AKZ11" s="29"/>
      <c r="ALA11" s="29"/>
      <c r="ALB11" s="29"/>
      <c r="ALC11" s="29"/>
      <c r="ALD11" s="29"/>
      <c r="ALE11" s="29"/>
      <c r="ALF11" s="29"/>
      <c r="ALG11" s="29"/>
      <c r="ALH11" s="29"/>
      <c r="ALI11" s="29"/>
      <c r="ALJ11" s="29"/>
      <c r="ALK11" s="29"/>
      <c r="ALL11" s="29"/>
      <c r="ALM11" s="29"/>
      <c r="ALN11" s="29"/>
      <c r="ALO11" s="29"/>
      <c r="ALP11" s="29"/>
      <c r="ALQ11" s="29"/>
      <c r="ALR11" s="29"/>
      <c r="ALS11" s="29"/>
      <c r="ALT11" s="29"/>
      <c r="ALU11" s="29"/>
      <c r="ALV11" s="29"/>
      <c r="ALW11" s="29"/>
      <c r="ALX11" s="29"/>
      <c r="ALY11" s="29"/>
      <c r="ALZ11" s="29"/>
      <c r="AMA11" s="29"/>
      <c r="AMB11" s="29"/>
      <c r="AMC11" s="29"/>
      <c r="AMD11" s="29"/>
      <c r="AME11" s="29"/>
      <c r="AMF11" s="29"/>
      <c r="AMG11" s="29"/>
      <c r="AMH11" s="29"/>
      <c r="AMI11" s="29"/>
      <c r="AMJ11" s="29"/>
      <c r="AMK11" s="29"/>
      <c r="AML11" s="29"/>
    </row>
    <row r="12" spans="1:1026" s="1" customFormat="1" x14ac:dyDescent="0.2">
      <c r="A12" s="1">
        <v>4</v>
      </c>
      <c r="B12" s="1" t="s">
        <v>528</v>
      </c>
      <c r="C12" s="1" t="s">
        <v>529</v>
      </c>
      <c r="D12" s="1">
        <v>284</v>
      </c>
      <c r="E12" s="10" t="s">
        <v>507</v>
      </c>
      <c r="F12" s="10" t="s">
        <v>508</v>
      </c>
      <c r="G12" s="11" t="s">
        <v>508</v>
      </c>
      <c r="H12" s="10"/>
      <c r="I12" s="10"/>
      <c r="J12" s="10" t="s">
        <v>507</v>
      </c>
      <c r="K12" s="12"/>
      <c r="S12" s="1" t="s">
        <v>530</v>
      </c>
      <c r="T12" s="1" t="s">
        <v>531</v>
      </c>
      <c r="AA12" s="30"/>
      <c r="AB12" s="30"/>
    </row>
    <row r="13" spans="1:1026" x14ac:dyDescent="0.2">
      <c r="A13" s="18" t="s">
        <v>504</v>
      </c>
      <c r="B13" s="18" t="s">
        <v>532</v>
      </c>
      <c r="C13" s="18"/>
      <c r="D13" s="18">
        <v>20</v>
      </c>
      <c r="E13" s="19" t="s">
        <v>506</v>
      </c>
      <c r="F13" s="19" t="s">
        <v>507</v>
      </c>
      <c r="G13" s="20" t="s">
        <v>508</v>
      </c>
      <c r="H13" s="19" t="s">
        <v>507</v>
      </c>
      <c r="I13" s="19" t="s">
        <v>507</v>
      </c>
      <c r="J13" s="19" t="s">
        <v>507</v>
      </c>
      <c r="K13" s="21" t="s">
        <v>509</v>
      </c>
      <c r="L13" s="18"/>
      <c r="M13" s="1" t="s">
        <v>510</v>
      </c>
      <c r="O13" s="18"/>
      <c r="P13" s="18"/>
      <c r="Q13" s="18" t="s">
        <v>527</v>
      </c>
      <c r="R13" s="18"/>
      <c r="T13" s="18" t="s">
        <v>533</v>
      </c>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c r="IQ13" s="18"/>
      <c r="IR13" s="18"/>
      <c r="IS13" s="18"/>
      <c r="IT13" s="18"/>
      <c r="IU13" s="18"/>
      <c r="IV13" s="18"/>
      <c r="IW13" s="18"/>
      <c r="IX13" s="18"/>
      <c r="IY13" s="18"/>
      <c r="IZ13" s="18"/>
      <c r="JA13" s="18"/>
      <c r="JB13" s="18"/>
      <c r="JC13" s="18"/>
      <c r="JD13" s="18"/>
      <c r="JE13" s="18"/>
      <c r="JF13" s="18"/>
      <c r="JG13" s="18"/>
      <c r="JH13" s="18"/>
      <c r="JI13" s="18"/>
      <c r="JJ13" s="18"/>
      <c r="JK13" s="18"/>
      <c r="JL13" s="18"/>
      <c r="JM13" s="18"/>
      <c r="JN13" s="18"/>
      <c r="JO13" s="18"/>
      <c r="JP13" s="18"/>
      <c r="JQ13" s="18"/>
      <c r="JR13" s="18"/>
      <c r="JS13" s="18"/>
      <c r="JT13" s="18"/>
      <c r="JU13" s="18"/>
      <c r="JV13" s="18"/>
      <c r="JW13" s="18"/>
      <c r="JX13" s="18"/>
      <c r="JY13" s="18"/>
      <c r="JZ13" s="18"/>
      <c r="KA13" s="18"/>
      <c r="KB13" s="18"/>
      <c r="KC13" s="18"/>
      <c r="KD13" s="18"/>
      <c r="KE13" s="18"/>
      <c r="KF13" s="18"/>
      <c r="KG13" s="18"/>
      <c r="KH13" s="18"/>
      <c r="KI13" s="18"/>
      <c r="KJ13" s="18"/>
      <c r="KK13" s="18"/>
      <c r="KL13" s="18"/>
      <c r="KM13" s="18"/>
      <c r="KN13" s="18"/>
      <c r="KO13" s="18"/>
      <c r="KP13" s="18"/>
      <c r="KQ13" s="18"/>
      <c r="KR13" s="18"/>
      <c r="KS13" s="18"/>
      <c r="KT13" s="18"/>
      <c r="KU13" s="18"/>
      <c r="KV13" s="18"/>
      <c r="KW13" s="18"/>
      <c r="KX13" s="18"/>
      <c r="KY13" s="18"/>
      <c r="KZ13" s="18"/>
      <c r="LA13" s="18"/>
      <c r="LB13" s="18"/>
      <c r="LC13" s="18"/>
      <c r="LD13" s="18"/>
      <c r="LE13" s="18"/>
      <c r="LF13" s="18"/>
      <c r="LG13" s="18"/>
      <c r="LH13" s="18"/>
      <c r="LI13" s="18"/>
      <c r="LJ13" s="18"/>
      <c r="LK13" s="18"/>
      <c r="LL13" s="18"/>
      <c r="LM13" s="18"/>
      <c r="LN13" s="18"/>
      <c r="LO13" s="18"/>
      <c r="LP13" s="18"/>
      <c r="LQ13" s="18"/>
      <c r="LR13" s="18"/>
      <c r="LS13" s="18"/>
      <c r="LT13" s="18"/>
      <c r="LU13" s="18"/>
      <c r="LV13" s="18"/>
      <c r="LW13" s="18"/>
      <c r="LX13" s="18"/>
      <c r="LY13" s="18"/>
      <c r="LZ13" s="18"/>
      <c r="MA13" s="18"/>
      <c r="MB13" s="18"/>
      <c r="MC13" s="18"/>
      <c r="MD13" s="18"/>
      <c r="ME13" s="18"/>
      <c r="MF13" s="18"/>
      <c r="MG13" s="18"/>
      <c r="MH13" s="18"/>
      <c r="MI13" s="18"/>
      <c r="MJ13" s="18"/>
      <c r="MK13" s="18"/>
      <c r="ML13" s="18"/>
      <c r="MM13" s="18"/>
      <c r="MN13" s="18"/>
      <c r="MO13" s="18"/>
      <c r="MP13" s="18"/>
      <c r="MQ13" s="18"/>
      <c r="MR13" s="18"/>
      <c r="MS13" s="18"/>
      <c r="MT13" s="18"/>
      <c r="MU13" s="18"/>
      <c r="MV13" s="18"/>
      <c r="MW13" s="18"/>
      <c r="MX13" s="18"/>
      <c r="MY13" s="18"/>
      <c r="MZ13" s="18"/>
      <c r="NA13" s="18"/>
      <c r="NB13" s="18"/>
      <c r="NC13" s="18"/>
      <c r="ND13" s="18"/>
      <c r="NE13" s="18"/>
      <c r="NF13" s="18"/>
      <c r="NG13" s="18"/>
      <c r="NH13" s="18"/>
      <c r="NI13" s="18"/>
      <c r="NJ13" s="18"/>
      <c r="NK13" s="18"/>
      <c r="NL13" s="18"/>
      <c r="NM13" s="18"/>
      <c r="NN13" s="18"/>
      <c r="NO13" s="18"/>
      <c r="NP13" s="18"/>
      <c r="NQ13" s="18"/>
      <c r="NR13" s="18"/>
      <c r="NS13" s="18"/>
      <c r="NT13" s="18"/>
      <c r="NU13" s="18"/>
      <c r="NV13" s="18"/>
      <c r="NW13" s="18"/>
      <c r="NX13" s="18"/>
      <c r="NY13" s="18"/>
      <c r="NZ13" s="18"/>
      <c r="OA13" s="18"/>
      <c r="OB13" s="18"/>
      <c r="OC13" s="18"/>
      <c r="OD13" s="18"/>
      <c r="OE13" s="18"/>
      <c r="OF13" s="18"/>
      <c r="OG13" s="18"/>
      <c r="OH13" s="18"/>
      <c r="OI13" s="18"/>
      <c r="OJ13" s="18"/>
      <c r="OK13" s="18"/>
      <c r="OL13" s="18"/>
      <c r="OM13" s="18"/>
      <c r="ON13" s="18"/>
      <c r="OO13" s="18"/>
      <c r="OP13" s="18"/>
      <c r="OQ13" s="18"/>
      <c r="OR13" s="18"/>
      <c r="OS13" s="18"/>
      <c r="OT13" s="18"/>
      <c r="OU13" s="18"/>
      <c r="OV13" s="18"/>
      <c r="OW13" s="18"/>
      <c r="OX13" s="18"/>
      <c r="OY13" s="18"/>
      <c r="OZ13" s="18"/>
      <c r="PA13" s="18"/>
      <c r="PB13" s="18"/>
      <c r="PC13" s="18"/>
      <c r="PD13" s="18"/>
      <c r="PE13" s="18"/>
      <c r="PF13" s="18"/>
      <c r="PG13" s="18"/>
      <c r="PH13" s="18"/>
      <c r="PI13" s="18"/>
      <c r="PJ13" s="18"/>
      <c r="PK13" s="18"/>
      <c r="PL13" s="18"/>
      <c r="PM13" s="18"/>
      <c r="PN13" s="18"/>
      <c r="PO13" s="18"/>
      <c r="PP13" s="18"/>
      <c r="PQ13" s="18"/>
      <c r="PR13" s="18"/>
      <c r="PS13" s="18"/>
      <c r="PT13" s="18"/>
      <c r="PU13" s="18"/>
      <c r="PV13" s="18"/>
      <c r="PW13" s="18"/>
      <c r="PX13" s="18"/>
      <c r="PY13" s="18"/>
      <c r="PZ13" s="18"/>
      <c r="QA13" s="18"/>
      <c r="QB13" s="18"/>
      <c r="QC13" s="18"/>
      <c r="QD13" s="18"/>
      <c r="QE13" s="18"/>
      <c r="QF13" s="18"/>
      <c r="QG13" s="18"/>
      <c r="QH13" s="18"/>
      <c r="QI13" s="18"/>
      <c r="QJ13" s="18"/>
      <c r="QK13" s="18"/>
      <c r="QL13" s="18"/>
      <c r="QM13" s="18"/>
      <c r="QN13" s="18"/>
      <c r="QO13" s="18"/>
      <c r="QP13" s="18"/>
      <c r="QQ13" s="18"/>
      <c r="QR13" s="18"/>
      <c r="QS13" s="18"/>
      <c r="QT13" s="18"/>
      <c r="QU13" s="18"/>
      <c r="QV13" s="18"/>
      <c r="QW13" s="18"/>
      <c r="QX13" s="18"/>
      <c r="QY13" s="18"/>
      <c r="QZ13" s="18"/>
      <c r="RA13" s="18"/>
      <c r="RB13" s="18"/>
      <c r="RC13" s="18"/>
      <c r="RD13" s="18"/>
      <c r="RE13" s="18"/>
      <c r="RF13" s="18"/>
      <c r="RG13" s="18"/>
      <c r="RH13" s="18"/>
      <c r="RI13" s="18"/>
      <c r="RJ13" s="18"/>
      <c r="RK13" s="18"/>
      <c r="RL13" s="18"/>
      <c r="RM13" s="18"/>
      <c r="RN13" s="18"/>
      <c r="RO13" s="18"/>
      <c r="RP13" s="18"/>
      <c r="RQ13" s="18"/>
      <c r="RR13" s="18"/>
      <c r="RS13" s="18"/>
      <c r="RT13" s="18"/>
      <c r="RU13" s="18"/>
      <c r="RV13" s="18"/>
      <c r="RW13" s="18"/>
      <c r="RX13" s="18"/>
      <c r="RY13" s="18"/>
      <c r="RZ13" s="18"/>
      <c r="SA13" s="18"/>
      <c r="SB13" s="18"/>
      <c r="SC13" s="18"/>
      <c r="SD13" s="18"/>
      <c r="SE13" s="18"/>
      <c r="SF13" s="18"/>
      <c r="SG13" s="18"/>
      <c r="SH13" s="18"/>
      <c r="SI13" s="18"/>
      <c r="SJ13" s="18"/>
      <c r="SK13" s="18"/>
      <c r="SL13" s="18"/>
      <c r="SM13" s="18"/>
      <c r="SN13" s="18"/>
      <c r="SO13" s="18"/>
      <c r="SP13" s="18"/>
      <c r="SQ13" s="18"/>
      <c r="SR13" s="18"/>
      <c r="SS13" s="18"/>
      <c r="ST13" s="18"/>
      <c r="SU13" s="18"/>
      <c r="SV13" s="18"/>
      <c r="SW13" s="18"/>
      <c r="SX13" s="18"/>
      <c r="SY13" s="18"/>
      <c r="SZ13" s="18"/>
      <c r="TA13" s="18"/>
      <c r="TB13" s="18"/>
      <c r="TC13" s="18"/>
      <c r="TD13" s="18"/>
      <c r="TE13" s="18"/>
      <c r="TF13" s="18"/>
      <c r="TG13" s="18"/>
      <c r="TH13" s="18"/>
      <c r="TI13" s="18"/>
      <c r="TJ13" s="18"/>
      <c r="TK13" s="18"/>
      <c r="TL13" s="18"/>
      <c r="TM13" s="18"/>
      <c r="TN13" s="18"/>
      <c r="TO13" s="18"/>
      <c r="TP13" s="18"/>
      <c r="TQ13" s="18"/>
      <c r="TR13" s="18"/>
      <c r="TS13" s="18"/>
      <c r="TT13" s="18"/>
      <c r="TU13" s="18"/>
      <c r="TV13" s="18"/>
      <c r="TW13" s="18"/>
      <c r="TX13" s="18"/>
      <c r="TY13" s="18"/>
      <c r="TZ13" s="18"/>
      <c r="UA13" s="18"/>
      <c r="UB13" s="18"/>
      <c r="UC13" s="18"/>
      <c r="UD13" s="18"/>
      <c r="UE13" s="18"/>
      <c r="UF13" s="18"/>
      <c r="UG13" s="18"/>
      <c r="UH13" s="18"/>
      <c r="UI13" s="18"/>
      <c r="UJ13" s="18"/>
      <c r="UK13" s="18"/>
      <c r="UL13" s="18"/>
      <c r="UM13" s="18"/>
      <c r="UN13" s="18"/>
      <c r="UO13" s="18"/>
      <c r="UP13" s="18"/>
      <c r="UQ13" s="18"/>
      <c r="UR13" s="18"/>
      <c r="US13" s="18"/>
      <c r="UT13" s="18"/>
      <c r="UU13" s="18"/>
      <c r="UV13" s="18"/>
      <c r="UW13" s="18"/>
      <c r="UX13" s="18"/>
      <c r="UY13" s="18"/>
      <c r="UZ13" s="18"/>
      <c r="VA13" s="18"/>
      <c r="VB13" s="18"/>
      <c r="VC13" s="18"/>
      <c r="VD13" s="18"/>
      <c r="VE13" s="18"/>
      <c r="VF13" s="18"/>
      <c r="VG13" s="18"/>
      <c r="VH13" s="18"/>
      <c r="VI13" s="18"/>
      <c r="VJ13" s="18"/>
      <c r="VK13" s="18"/>
      <c r="VL13" s="18"/>
      <c r="VM13" s="18"/>
      <c r="VN13" s="18"/>
      <c r="VO13" s="18"/>
      <c r="VP13" s="18"/>
      <c r="VQ13" s="18"/>
      <c r="VR13" s="18"/>
      <c r="VS13" s="18"/>
      <c r="VT13" s="18"/>
      <c r="VU13" s="18"/>
      <c r="VV13" s="18"/>
      <c r="VW13" s="18"/>
      <c r="VX13" s="18"/>
      <c r="VY13" s="18"/>
      <c r="VZ13" s="18"/>
      <c r="WA13" s="18"/>
      <c r="WB13" s="18"/>
      <c r="WC13" s="18"/>
      <c r="WD13" s="18"/>
      <c r="WE13" s="18"/>
      <c r="WF13" s="18"/>
      <c r="WG13" s="18"/>
      <c r="WH13" s="18"/>
      <c r="WI13" s="18"/>
      <c r="WJ13" s="18"/>
      <c r="WK13" s="18"/>
      <c r="WL13" s="18"/>
      <c r="WM13" s="18"/>
      <c r="WN13" s="18"/>
      <c r="WO13" s="18"/>
      <c r="WP13" s="18"/>
      <c r="WQ13" s="18"/>
      <c r="WR13" s="18"/>
      <c r="WS13" s="18"/>
      <c r="WT13" s="18"/>
      <c r="WU13" s="18"/>
      <c r="WV13" s="18"/>
      <c r="WW13" s="18"/>
      <c r="WX13" s="18"/>
      <c r="WY13" s="18"/>
      <c r="WZ13" s="18"/>
      <c r="XA13" s="18"/>
      <c r="XB13" s="18"/>
      <c r="XC13" s="18"/>
      <c r="XD13" s="18"/>
      <c r="XE13" s="18"/>
      <c r="XF13" s="18"/>
      <c r="XG13" s="18"/>
      <c r="XH13" s="18"/>
      <c r="XI13" s="18"/>
      <c r="XJ13" s="18"/>
      <c r="XK13" s="18"/>
      <c r="XL13" s="18"/>
      <c r="XM13" s="18"/>
      <c r="XN13" s="18"/>
      <c r="XO13" s="18"/>
      <c r="XP13" s="18"/>
      <c r="XQ13" s="18"/>
      <c r="XR13" s="18"/>
      <c r="XS13" s="18"/>
      <c r="XT13" s="18"/>
      <c r="XU13" s="18"/>
      <c r="XV13" s="18"/>
      <c r="XW13" s="18"/>
      <c r="XX13" s="18"/>
      <c r="XY13" s="18"/>
      <c r="XZ13" s="18"/>
      <c r="YA13" s="18"/>
      <c r="YB13" s="18"/>
      <c r="YC13" s="18"/>
      <c r="YD13" s="18"/>
      <c r="YE13" s="18"/>
      <c r="YF13" s="18"/>
      <c r="YG13" s="18"/>
      <c r="YH13" s="18"/>
      <c r="YI13" s="18"/>
      <c r="YJ13" s="18"/>
      <c r="YK13" s="18"/>
      <c r="YL13" s="18"/>
      <c r="YM13" s="18"/>
      <c r="YN13" s="18"/>
      <c r="YO13" s="18"/>
      <c r="YP13" s="18"/>
      <c r="YQ13" s="18"/>
      <c r="YR13" s="18"/>
      <c r="YS13" s="18"/>
      <c r="YT13" s="18"/>
      <c r="YU13" s="18"/>
      <c r="YV13" s="18"/>
      <c r="YW13" s="18"/>
      <c r="YX13" s="18"/>
      <c r="YY13" s="18"/>
      <c r="YZ13" s="18"/>
      <c r="ZA13" s="18"/>
      <c r="ZB13" s="18"/>
      <c r="ZC13" s="18"/>
      <c r="ZD13" s="18"/>
      <c r="ZE13" s="18"/>
      <c r="ZF13" s="18"/>
      <c r="ZG13" s="18"/>
      <c r="ZH13" s="18"/>
      <c r="ZI13" s="18"/>
      <c r="ZJ13" s="18"/>
      <c r="ZK13" s="18"/>
      <c r="ZL13" s="18"/>
      <c r="ZM13" s="18"/>
      <c r="ZN13" s="18"/>
      <c r="ZO13" s="18"/>
      <c r="ZP13" s="18"/>
      <c r="ZQ13" s="18"/>
      <c r="ZR13" s="18"/>
      <c r="ZS13" s="18"/>
      <c r="ZT13" s="18"/>
      <c r="ZU13" s="18"/>
      <c r="ZV13" s="18"/>
      <c r="ZW13" s="18"/>
      <c r="ZX13" s="18"/>
      <c r="ZY13" s="18"/>
      <c r="ZZ13" s="18"/>
      <c r="AAA13" s="18"/>
      <c r="AAB13" s="18"/>
      <c r="AAC13" s="18"/>
      <c r="AAD13" s="18"/>
      <c r="AAE13" s="18"/>
      <c r="AAF13" s="18"/>
      <c r="AAG13" s="18"/>
      <c r="AAH13" s="18"/>
      <c r="AAI13" s="18"/>
      <c r="AAJ13" s="18"/>
      <c r="AAK13" s="18"/>
      <c r="AAL13" s="18"/>
      <c r="AAM13" s="18"/>
      <c r="AAN13" s="18"/>
      <c r="AAO13" s="18"/>
      <c r="AAP13" s="18"/>
      <c r="AAQ13" s="18"/>
      <c r="AAR13" s="18"/>
      <c r="AAS13" s="18"/>
      <c r="AAT13" s="18"/>
      <c r="AAU13" s="18"/>
      <c r="AAV13" s="18"/>
      <c r="AAW13" s="18"/>
      <c r="AAX13" s="18"/>
      <c r="AAY13" s="18"/>
      <c r="AAZ13" s="18"/>
      <c r="ABA13" s="18"/>
      <c r="ABB13" s="18"/>
      <c r="ABC13" s="18"/>
      <c r="ABD13" s="18"/>
      <c r="ABE13" s="18"/>
      <c r="ABF13" s="18"/>
      <c r="ABG13" s="18"/>
      <c r="ABH13" s="18"/>
      <c r="ABI13" s="18"/>
      <c r="ABJ13" s="18"/>
      <c r="ABK13" s="18"/>
      <c r="ABL13" s="18"/>
      <c r="ABM13" s="18"/>
      <c r="ABN13" s="18"/>
      <c r="ABO13" s="18"/>
      <c r="ABP13" s="18"/>
      <c r="ABQ13" s="18"/>
      <c r="ABR13" s="18"/>
      <c r="ABS13" s="18"/>
      <c r="ABT13" s="18"/>
      <c r="ABU13" s="18"/>
      <c r="ABV13" s="18"/>
      <c r="ABW13" s="18"/>
      <c r="ABX13" s="18"/>
      <c r="ABY13" s="18"/>
      <c r="ABZ13" s="18"/>
      <c r="ACA13" s="18"/>
      <c r="ACB13" s="18"/>
      <c r="ACC13" s="18"/>
      <c r="ACD13" s="18"/>
      <c r="ACE13" s="18"/>
      <c r="ACF13" s="18"/>
      <c r="ACG13" s="18"/>
      <c r="ACH13" s="18"/>
      <c r="ACI13" s="18"/>
      <c r="ACJ13" s="18"/>
      <c r="ACK13" s="18"/>
      <c r="ACL13" s="18"/>
      <c r="ACM13" s="18"/>
      <c r="ACN13" s="18"/>
      <c r="ACO13" s="18"/>
      <c r="ACP13" s="18"/>
      <c r="ACQ13" s="18"/>
      <c r="ACR13" s="18"/>
      <c r="ACS13" s="18"/>
      <c r="ACT13" s="18"/>
      <c r="ACU13" s="18"/>
      <c r="ACV13" s="18"/>
      <c r="ACW13" s="18"/>
      <c r="ACX13" s="18"/>
      <c r="ACY13" s="18"/>
      <c r="ACZ13" s="18"/>
      <c r="ADA13" s="18"/>
      <c r="ADB13" s="18"/>
      <c r="ADC13" s="18"/>
      <c r="ADD13" s="18"/>
      <c r="ADE13" s="18"/>
      <c r="ADF13" s="18"/>
      <c r="ADG13" s="18"/>
      <c r="ADH13" s="18"/>
      <c r="ADI13" s="18"/>
      <c r="ADJ13" s="18"/>
      <c r="ADK13" s="18"/>
      <c r="ADL13" s="18"/>
      <c r="ADM13" s="18"/>
      <c r="ADN13" s="18"/>
      <c r="ADO13" s="18"/>
      <c r="ADP13" s="18"/>
      <c r="ADQ13" s="18"/>
      <c r="ADR13" s="18"/>
      <c r="ADS13" s="18"/>
      <c r="ADT13" s="18"/>
      <c r="ADU13" s="18"/>
      <c r="ADV13" s="18"/>
      <c r="ADW13" s="18"/>
      <c r="ADX13" s="18"/>
      <c r="ADY13" s="18"/>
      <c r="ADZ13" s="18"/>
      <c r="AEA13" s="18"/>
      <c r="AEB13" s="18"/>
      <c r="AEC13" s="18"/>
      <c r="AED13" s="18"/>
      <c r="AEE13" s="18"/>
      <c r="AEF13" s="18"/>
      <c r="AEG13" s="18"/>
      <c r="AEH13" s="18"/>
      <c r="AEI13" s="18"/>
      <c r="AEJ13" s="18"/>
      <c r="AEK13" s="18"/>
      <c r="AEL13" s="18"/>
      <c r="AEM13" s="18"/>
      <c r="AEN13" s="18"/>
      <c r="AEO13" s="18"/>
      <c r="AEP13" s="18"/>
      <c r="AEQ13" s="18"/>
      <c r="AER13" s="18"/>
      <c r="AES13" s="18"/>
      <c r="AET13" s="18"/>
      <c r="AEU13" s="18"/>
      <c r="AEV13" s="18"/>
      <c r="AEW13" s="18"/>
      <c r="AEX13" s="18"/>
      <c r="AEY13" s="18"/>
      <c r="AEZ13" s="18"/>
      <c r="AFA13" s="18"/>
      <c r="AFB13" s="18"/>
      <c r="AFC13" s="18"/>
      <c r="AFD13" s="18"/>
      <c r="AFE13" s="18"/>
      <c r="AFF13" s="18"/>
      <c r="AFG13" s="18"/>
      <c r="AFH13" s="18"/>
      <c r="AFI13" s="18"/>
      <c r="AFJ13" s="18"/>
      <c r="AFK13" s="18"/>
      <c r="AFL13" s="18"/>
      <c r="AFM13" s="18"/>
      <c r="AFN13" s="18"/>
      <c r="AFO13" s="18"/>
      <c r="AFP13" s="18"/>
      <c r="AFQ13" s="18"/>
      <c r="AFR13" s="18"/>
      <c r="AFS13" s="18"/>
      <c r="AFT13" s="18"/>
      <c r="AFU13" s="18"/>
      <c r="AFV13" s="18"/>
      <c r="AFW13" s="18"/>
      <c r="AFX13" s="18"/>
      <c r="AFY13" s="18"/>
      <c r="AFZ13" s="18"/>
      <c r="AGA13" s="18"/>
      <c r="AGB13" s="18"/>
      <c r="AGC13" s="18"/>
      <c r="AGD13" s="18"/>
      <c r="AGE13" s="18"/>
      <c r="AGF13" s="18"/>
      <c r="AGG13" s="18"/>
      <c r="AGH13" s="18"/>
      <c r="AGI13" s="18"/>
      <c r="AGJ13" s="18"/>
      <c r="AGK13" s="18"/>
      <c r="AGL13" s="18"/>
      <c r="AGM13" s="18"/>
      <c r="AGN13" s="18"/>
      <c r="AGO13" s="18"/>
      <c r="AGP13" s="18"/>
      <c r="AGQ13" s="18"/>
      <c r="AGR13" s="18"/>
      <c r="AGS13" s="18"/>
      <c r="AGT13" s="18"/>
      <c r="AGU13" s="18"/>
      <c r="AGV13" s="18"/>
      <c r="AGW13" s="18"/>
      <c r="AGX13" s="18"/>
      <c r="AGY13" s="18"/>
      <c r="AGZ13" s="18"/>
      <c r="AHA13" s="18"/>
      <c r="AHB13" s="18"/>
      <c r="AHC13" s="18"/>
      <c r="AHD13" s="18"/>
      <c r="AHE13" s="18"/>
      <c r="AHF13" s="18"/>
      <c r="AHG13" s="18"/>
      <c r="AHH13" s="18"/>
      <c r="AHI13" s="18"/>
      <c r="AHJ13" s="18"/>
      <c r="AHK13" s="18"/>
      <c r="AHL13" s="18"/>
      <c r="AHM13" s="18"/>
      <c r="AHN13" s="18"/>
      <c r="AHO13" s="18"/>
      <c r="AHP13" s="18"/>
      <c r="AHQ13" s="18"/>
      <c r="AHR13" s="18"/>
      <c r="AHS13" s="18"/>
      <c r="AHT13" s="18"/>
      <c r="AHU13" s="18"/>
      <c r="AHV13" s="18"/>
      <c r="AHW13" s="18"/>
      <c r="AHX13" s="18"/>
      <c r="AHY13" s="18"/>
      <c r="AHZ13" s="18"/>
      <c r="AIA13" s="18"/>
      <c r="AIB13" s="18"/>
      <c r="AIC13" s="18"/>
      <c r="AID13" s="18"/>
      <c r="AIE13" s="18"/>
      <c r="AIF13" s="18"/>
      <c r="AIG13" s="18"/>
      <c r="AIH13" s="18"/>
      <c r="AII13" s="18"/>
      <c r="AIJ13" s="18"/>
      <c r="AIK13" s="18"/>
      <c r="AIL13" s="18"/>
      <c r="AIM13" s="18"/>
      <c r="AIN13" s="18"/>
      <c r="AIO13" s="18"/>
      <c r="AIP13" s="18"/>
      <c r="AIQ13" s="18"/>
      <c r="AIR13" s="18"/>
      <c r="AIS13" s="18"/>
      <c r="AIT13" s="18"/>
      <c r="AIU13" s="18"/>
      <c r="AIV13" s="18"/>
      <c r="AIW13" s="18"/>
      <c r="AIX13" s="18"/>
      <c r="AIY13" s="18"/>
      <c r="AIZ13" s="18"/>
      <c r="AJA13" s="18"/>
      <c r="AJB13" s="18"/>
      <c r="AJC13" s="18"/>
      <c r="AJD13" s="18"/>
      <c r="AJE13" s="18"/>
      <c r="AJF13" s="18"/>
      <c r="AJG13" s="18"/>
      <c r="AJH13" s="18"/>
      <c r="AJI13" s="18"/>
      <c r="AJJ13" s="18"/>
      <c r="AJK13" s="18"/>
      <c r="AJL13" s="18"/>
      <c r="AJM13" s="18"/>
      <c r="AJN13" s="18"/>
      <c r="AJO13" s="18"/>
      <c r="AJP13" s="18"/>
      <c r="AJQ13" s="18"/>
      <c r="AJR13" s="18"/>
      <c r="AJS13" s="18"/>
      <c r="AJT13" s="18"/>
      <c r="AJU13" s="18"/>
      <c r="AJV13" s="18"/>
      <c r="AJW13" s="18"/>
      <c r="AJX13" s="18"/>
      <c r="AJY13" s="18"/>
      <c r="AJZ13" s="18"/>
      <c r="AKA13" s="18"/>
      <c r="AKB13" s="18"/>
      <c r="AKC13" s="18"/>
      <c r="AKD13" s="18"/>
      <c r="AKE13" s="18"/>
      <c r="AKF13" s="18"/>
      <c r="AKG13" s="18"/>
      <c r="AKH13" s="18"/>
      <c r="AKI13" s="18"/>
      <c r="AKJ13" s="18"/>
      <c r="AKK13" s="18"/>
      <c r="AKL13" s="18"/>
      <c r="AKM13" s="18"/>
      <c r="AKN13" s="18"/>
      <c r="AKO13" s="18"/>
      <c r="AKP13" s="18"/>
      <c r="AKQ13" s="18"/>
      <c r="AKR13" s="18"/>
      <c r="AKS13" s="18"/>
      <c r="AKT13" s="18"/>
      <c r="AKU13" s="18"/>
      <c r="AKV13" s="18"/>
      <c r="AKW13" s="18"/>
      <c r="AKX13" s="18"/>
      <c r="AKY13" s="18"/>
      <c r="AKZ13" s="18"/>
      <c r="ALA13" s="18"/>
      <c r="ALB13" s="18"/>
      <c r="ALC13" s="18"/>
      <c r="ALD13" s="18"/>
      <c r="ALE13" s="18"/>
      <c r="ALF13" s="18"/>
      <c r="ALG13" s="18"/>
      <c r="ALH13" s="18"/>
      <c r="ALI13" s="18"/>
      <c r="ALJ13" s="18"/>
      <c r="ALK13" s="18"/>
      <c r="ALL13" s="18"/>
      <c r="ALM13" s="18"/>
      <c r="ALN13" s="18"/>
      <c r="ALO13" s="18"/>
      <c r="ALP13" s="18"/>
      <c r="ALQ13" s="18"/>
      <c r="ALR13" s="18"/>
      <c r="ALS13" s="18"/>
      <c r="ALT13" s="18"/>
      <c r="ALU13" s="18"/>
      <c r="ALV13" s="18"/>
      <c r="ALW13" s="18"/>
      <c r="ALX13" s="18"/>
      <c r="ALY13" s="18"/>
      <c r="ALZ13" s="18"/>
      <c r="AMA13" s="18"/>
      <c r="AMB13" s="18"/>
      <c r="AMC13" s="18"/>
      <c r="AMD13" s="18"/>
      <c r="AME13" s="18"/>
      <c r="AMF13" s="18"/>
      <c r="AMG13" s="18"/>
      <c r="AMH13" s="18"/>
      <c r="AMI13" s="18"/>
      <c r="AMJ13" s="18"/>
      <c r="AMK13" s="18"/>
      <c r="AML13" s="18"/>
    </row>
    <row r="14" spans="1:1026" s="18" customFormat="1" x14ac:dyDescent="0.2">
      <c r="A14" s="18" t="s">
        <v>504</v>
      </c>
      <c r="B14" s="18" t="s">
        <v>534</v>
      </c>
      <c r="D14" s="18">
        <v>8</v>
      </c>
      <c r="E14" s="19" t="s">
        <v>506</v>
      </c>
      <c r="F14" s="19" t="s">
        <v>507</v>
      </c>
      <c r="G14" s="20" t="s">
        <v>508</v>
      </c>
      <c r="H14" s="19" t="s">
        <v>507</v>
      </c>
      <c r="I14" s="19" t="s">
        <v>507</v>
      </c>
      <c r="J14" s="19" t="s">
        <v>507</v>
      </c>
      <c r="K14" s="21" t="s">
        <v>509</v>
      </c>
      <c r="M14" s="1" t="s">
        <v>510</v>
      </c>
      <c r="N14" s="1"/>
      <c r="S14" s="13"/>
      <c r="T14" s="18" t="s">
        <v>535</v>
      </c>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row>
    <row r="15" spans="1:1026" s="18" customFormat="1" x14ac:dyDescent="0.2">
      <c r="A15" s="1">
        <v>3</v>
      </c>
      <c r="B15" s="1" t="s">
        <v>536</v>
      </c>
      <c r="C15" s="1" t="s">
        <v>537</v>
      </c>
      <c r="D15" s="1">
        <v>317</v>
      </c>
      <c r="E15" s="10" t="s">
        <v>507</v>
      </c>
      <c r="F15" s="10" t="s">
        <v>508</v>
      </c>
      <c r="G15" s="11" t="s">
        <v>508</v>
      </c>
      <c r="H15" s="10"/>
      <c r="I15" s="10"/>
      <c r="J15" s="10" t="s">
        <v>507</v>
      </c>
      <c r="K15" s="12"/>
      <c r="L15" s="26"/>
      <c r="M15" s="1"/>
      <c r="N15" s="1"/>
      <c r="O15" s="1"/>
      <c r="P15" s="1"/>
      <c r="Q15" s="1" t="s">
        <v>527</v>
      </c>
      <c r="R15" s="1"/>
      <c r="S15" s="13"/>
      <c r="T15" s="18" t="s">
        <v>538</v>
      </c>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row>
    <row r="16" spans="1:1026" x14ac:dyDescent="0.2">
      <c r="A16" s="18" t="s">
        <v>504</v>
      </c>
      <c r="B16" s="18" t="s">
        <v>539</v>
      </c>
      <c r="C16" s="18"/>
      <c r="D16" s="18">
        <v>223</v>
      </c>
      <c r="E16" s="19" t="s">
        <v>506</v>
      </c>
      <c r="F16" s="19" t="s">
        <v>507</v>
      </c>
      <c r="G16" s="20" t="s">
        <v>540</v>
      </c>
      <c r="H16" s="19" t="s">
        <v>507</v>
      </c>
      <c r="I16" s="19" t="s">
        <v>507</v>
      </c>
      <c r="J16" s="19" t="s">
        <v>507</v>
      </c>
      <c r="K16" s="21" t="s">
        <v>509</v>
      </c>
      <c r="L16" s="18"/>
      <c r="M16" s="1" t="s">
        <v>510</v>
      </c>
      <c r="O16" s="18"/>
      <c r="P16" s="18"/>
      <c r="Q16" s="18"/>
      <c r="R16" s="18"/>
      <c r="T16" s="18" t="s">
        <v>272</v>
      </c>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c r="IJ16" s="18"/>
      <c r="IK16" s="18"/>
      <c r="IL16" s="18"/>
      <c r="IM16" s="18"/>
      <c r="IN16" s="18"/>
      <c r="IO16" s="18"/>
      <c r="IP16" s="18"/>
      <c r="IQ16" s="18"/>
      <c r="IR16" s="18"/>
      <c r="IS16" s="18"/>
      <c r="IT16" s="18"/>
      <c r="IU16" s="18"/>
      <c r="IV16" s="18"/>
      <c r="IW16" s="18"/>
      <c r="IX16" s="18"/>
      <c r="IY16" s="18"/>
      <c r="IZ16" s="18"/>
      <c r="JA16" s="18"/>
      <c r="JB16" s="18"/>
      <c r="JC16" s="18"/>
      <c r="JD16" s="18"/>
      <c r="JE16" s="18"/>
      <c r="JF16" s="18"/>
      <c r="JG16" s="18"/>
      <c r="JH16" s="18"/>
      <c r="JI16" s="18"/>
      <c r="JJ16" s="18"/>
      <c r="JK16" s="18"/>
      <c r="JL16" s="18"/>
      <c r="JM16" s="18"/>
      <c r="JN16" s="18"/>
      <c r="JO16" s="18"/>
      <c r="JP16" s="18"/>
      <c r="JQ16" s="18"/>
      <c r="JR16" s="18"/>
      <c r="JS16" s="18"/>
      <c r="JT16" s="18"/>
      <c r="JU16" s="18"/>
      <c r="JV16" s="18"/>
      <c r="JW16" s="18"/>
      <c r="JX16" s="18"/>
      <c r="JY16" s="18"/>
      <c r="JZ16" s="18"/>
      <c r="KA16" s="18"/>
      <c r="KB16" s="18"/>
      <c r="KC16" s="18"/>
      <c r="KD16" s="18"/>
      <c r="KE16" s="18"/>
      <c r="KF16" s="18"/>
      <c r="KG16" s="18"/>
      <c r="KH16" s="18"/>
      <c r="KI16" s="18"/>
      <c r="KJ16" s="18"/>
      <c r="KK16" s="18"/>
      <c r="KL16" s="18"/>
      <c r="KM16" s="18"/>
      <c r="KN16" s="18"/>
      <c r="KO16" s="18"/>
      <c r="KP16" s="18"/>
      <c r="KQ16" s="18"/>
      <c r="KR16" s="18"/>
      <c r="KS16" s="18"/>
      <c r="KT16" s="18"/>
      <c r="KU16" s="18"/>
      <c r="KV16" s="18"/>
      <c r="KW16" s="18"/>
      <c r="KX16" s="18"/>
      <c r="KY16" s="18"/>
      <c r="KZ16" s="18"/>
      <c r="LA16" s="18"/>
      <c r="LB16" s="18"/>
      <c r="LC16" s="18"/>
      <c r="LD16" s="18"/>
      <c r="LE16" s="18"/>
      <c r="LF16" s="18"/>
      <c r="LG16" s="18"/>
      <c r="LH16" s="18"/>
      <c r="LI16" s="18"/>
      <c r="LJ16" s="18"/>
      <c r="LK16" s="18"/>
      <c r="LL16" s="18"/>
      <c r="LM16" s="18"/>
      <c r="LN16" s="18"/>
      <c r="LO16" s="18"/>
      <c r="LP16" s="18"/>
      <c r="LQ16" s="18"/>
      <c r="LR16" s="18"/>
      <c r="LS16" s="18"/>
      <c r="LT16" s="18"/>
      <c r="LU16" s="18"/>
      <c r="LV16" s="18"/>
      <c r="LW16" s="18"/>
      <c r="LX16" s="18"/>
      <c r="LY16" s="18"/>
      <c r="LZ16" s="18"/>
      <c r="MA16" s="18"/>
      <c r="MB16" s="18"/>
      <c r="MC16" s="18"/>
      <c r="MD16" s="18"/>
      <c r="ME16" s="18"/>
      <c r="MF16" s="18"/>
      <c r="MG16" s="18"/>
      <c r="MH16" s="18"/>
      <c r="MI16" s="18"/>
      <c r="MJ16" s="18"/>
      <c r="MK16" s="18"/>
      <c r="ML16" s="18"/>
      <c r="MM16" s="18"/>
      <c r="MN16" s="18"/>
      <c r="MO16" s="18"/>
      <c r="MP16" s="18"/>
      <c r="MQ16" s="18"/>
      <c r="MR16" s="18"/>
      <c r="MS16" s="18"/>
      <c r="MT16" s="18"/>
      <c r="MU16" s="18"/>
      <c r="MV16" s="18"/>
      <c r="MW16" s="18"/>
      <c r="MX16" s="18"/>
      <c r="MY16" s="18"/>
      <c r="MZ16" s="18"/>
      <c r="NA16" s="18"/>
      <c r="NB16" s="18"/>
      <c r="NC16" s="18"/>
      <c r="ND16" s="18"/>
      <c r="NE16" s="18"/>
      <c r="NF16" s="18"/>
      <c r="NG16" s="18"/>
      <c r="NH16" s="18"/>
      <c r="NI16" s="18"/>
      <c r="NJ16" s="18"/>
      <c r="NK16" s="18"/>
      <c r="NL16" s="18"/>
      <c r="NM16" s="18"/>
      <c r="NN16" s="18"/>
      <c r="NO16" s="18"/>
      <c r="NP16" s="18"/>
      <c r="NQ16" s="18"/>
      <c r="NR16" s="18"/>
      <c r="NS16" s="18"/>
      <c r="NT16" s="18"/>
      <c r="NU16" s="18"/>
      <c r="NV16" s="18"/>
      <c r="NW16" s="18"/>
      <c r="NX16" s="18"/>
      <c r="NY16" s="18"/>
      <c r="NZ16" s="18"/>
      <c r="OA16" s="18"/>
      <c r="OB16" s="18"/>
      <c r="OC16" s="18"/>
      <c r="OD16" s="18"/>
      <c r="OE16" s="18"/>
      <c r="OF16" s="18"/>
      <c r="OG16" s="18"/>
      <c r="OH16" s="18"/>
      <c r="OI16" s="18"/>
      <c r="OJ16" s="18"/>
      <c r="OK16" s="18"/>
      <c r="OL16" s="18"/>
      <c r="OM16" s="18"/>
      <c r="ON16" s="18"/>
      <c r="OO16" s="18"/>
      <c r="OP16" s="18"/>
      <c r="OQ16" s="18"/>
      <c r="OR16" s="18"/>
      <c r="OS16" s="18"/>
      <c r="OT16" s="18"/>
      <c r="OU16" s="18"/>
      <c r="OV16" s="18"/>
      <c r="OW16" s="18"/>
      <c r="OX16" s="18"/>
      <c r="OY16" s="18"/>
      <c r="OZ16" s="18"/>
      <c r="PA16" s="18"/>
      <c r="PB16" s="18"/>
      <c r="PC16" s="18"/>
      <c r="PD16" s="18"/>
      <c r="PE16" s="18"/>
      <c r="PF16" s="18"/>
      <c r="PG16" s="18"/>
      <c r="PH16" s="18"/>
      <c r="PI16" s="18"/>
      <c r="PJ16" s="18"/>
      <c r="PK16" s="18"/>
      <c r="PL16" s="18"/>
      <c r="PM16" s="18"/>
      <c r="PN16" s="18"/>
      <c r="PO16" s="18"/>
      <c r="PP16" s="18"/>
      <c r="PQ16" s="18"/>
      <c r="PR16" s="18"/>
      <c r="PS16" s="18"/>
      <c r="PT16" s="18"/>
      <c r="PU16" s="18"/>
      <c r="PV16" s="18"/>
      <c r="PW16" s="18"/>
      <c r="PX16" s="18"/>
      <c r="PY16" s="18"/>
      <c r="PZ16" s="18"/>
      <c r="QA16" s="18"/>
      <c r="QB16" s="18"/>
      <c r="QC16" s="18"/>
      <c r="QD16" s="18"/>
      <c r="QE16" s="18"/>
      <c r="QF16" s="18"/>
      <c r="QG16" s="18"/>
      <c r="QH16" s="18"/>
      <c r="QI16" s="18"/>
      <c r="QJ16" s="18"/>
      <c r="QK16" s="18"/>
      <c r="QL16" s="18"/>
      <c r="QM16" s="18"/>
      <c r="QN16" s="18"/>
      <c r="QO16" s="18"/>
      <c r="QP16" s="18"/>
      <c r="QQ16" s="18"/>
      <c r="QR16" s="18"/>
      <c r="QS16" s="18"/>
      <c r="QT16" s="18"/>
      <c r="QU16" s="18"/>
      <c r="QV16" s="18"/>
      <c r="QW16" s="18"/>
      <c r="QX16" s="18"/>
      <c r="QY16" s="18"/>
      <c r="QZ16" s="18"/>
      <c r="RA16" s="18"/>
      <c r="RB16" s="18"/>
      <c r="RC16" s="18"/>
      <c r="RD16" s="18"/>
      <c r="RE16" s="18"/>
      <c r="RF16" s="18"/>
      <c r="RG16" s="18"/>
      <c r="RH16" s="18"/>
      <c r="RI16" s="18"/>
      <c r="RJ16" s="18"/>
      <c r="RK16" s="18"/>
      <c r="RL16" s="18"/>
      <c r="RM16" s="18"/>
      <c r="RN16" s="18"/>
      <c r="RO16" s="18"/>
      <c r="RP16" s="18"/>
      <c r="RQ16" s="18"/>
      <c r="RR16" s="18"/>
      <c r="RS16" s="18"/>
      <c r="RT16" s="18"/>
      <c r="RU16" s="18"/>
      <c r="RV16" s="18"/>
      <c r="RW16" s="18"/>
      <c r="RX16" s="18"/>
      <c r="RY16" s="18"/>
      <c r="RZ16" s="18"/>
      <c r="SA16" s="18"/>
      <c r="SB16" s="18"/>
      <c r="SC16" s="18"/>
      <c r="SD16" s="18"/>
      <c r="SE16" s="18"/>
      <c r="SF16" s="18"/>
      <c r="SG16" s="18"/>
      <c r="SH16" s="18"/>
      <c r="SI16" s="18"/>
      <c r="SJ16" s="18"/>
      <c r="SK16" s="18"/>
      <c r="SL16" s="18"/>
      <c r="SM16" s="18"/>
      <c r="SN16" s="18"/>
      <c r="SO16" s="18"/>
      <c r="SP16" s="18"/>
      <c r="SQ16" s="18"/>
      <c r="SR16" s="18"/>
      <c r="SS16" s="18"/>
      <c r="ST16" s="18"/>
      <c r="SU16" s="18"/>
      <c r="SV16" s="18"/>
      <c r="SW16" s="18"/>
      <c r="SX16" s="18"/>
      <c r="SY16" s="18"/>
      <c r="SZ16" s="18"/>
      <c r="TA16" s="18"/>
      <c r="TB16" s="18"/>
      <c r="TC16" s="18"/>
      <c r="TD16" s="18"/>
      <c r="TE16" s="18"/>
      <c r="TF16" s="18"/>
      <c r="TG16" s="18"/>
      <c r="TH16" s="18"/>
      <c r="TI16" s="18"/>
      <c r="TJ16" s="18"/>
      <c r="TK16" s="18"/>
      <c r="TL16" s="18"/>
      <c r="TM16" s="18"/>
      <c r="TN16" s="18"/>
      <c r="TO16" s="18"/>
      <c r="TP16" s="18"/>
      <c r="TQ16" s="18"/>
      <c r="TR16" s="18"/>
      <c r="TS16" s="18"/>
      <c r="TT16" s="18"/>
      <c r="TU16" s="18"/>
      <c r="TV16" s="18"/>
      <c r="TW16" s="18"/>
      <c r="TX16" s="18"/>
      <c r="TY16" s="18"/>
      <c r="TZ16" s="18"/>
      <c r="UA16" s="18"/>
      <c r="UB16" s="18"/>
      <c r="UC16" s="18"/>
      <c r="UD16" s="18"/>
      <c r="UE16" s="18"/>
      <c r="UF16" s="18"/>
      <c r="UG16" s="18"/>
      <c r="UH16" s="18"/>
      <c r="UI16" s="18"/>
      <c r="UJ16" s="18"/>
      <c r="UK16" s="18"/>
      <c r="UL16" s="18"/>
      <c r="UM16" s="18"/>
      <c r="UN16" s="18"/>
      <c r="UO16" s="18"/>
      <c r="UP16" s="18"/>
      <c r="UQ16" s="18"/>
      <c r="UR16" s="18"/>
      <c r="US16" s="18"/>
      <c r="UT16" s="18"/>
      <c r="UU16" s="18"/>
      <c r="UV16" s="18"/>
      <c r="UW16" s="18"/>
      <c r="UX16" s="18"/>
      <c r="UY16" s="18"/>
      <c r="UZ16" s="18"/>
      <c r="VA16" s="18"/>
      <c r="VB16" s="18"/>
      <c r="VC16" s="18"/>
      <c r="VD16" s="18"/>
      <c r="VE16" s="18"/>
      <c r="VF16" s="18"/>
      <c r="VG16" s="18"/>
      <c r="VH16" s="18"/>
      <c r="VI16" s="18"/>
      <c r="VJ16" s="18"/>
      <c r="VK16" s="18"/>
      <c r="VL16" s="18"/>
      <c r="VM16" s="18"/>
      <c r="VN16" s="18"/>
      <c r="VO16" s="18"/>
      <c r="VP16" s="18"/>
      <c r="VQ16" s="18"/>
      <c r="VR16" s="18"/>
      <c r="VS16" s="18"/>
      <c r="VT16" s="18"/>
      <c r="VU16" s="18"/>
      <c r="VV16" s="18"/>
      <c r="VW16" s="18"/>
      <c r="VX16" s="18"/>
      <c r="VY16" s="18"/>
      <c r="VZ16" s="18"/>
      <c r="WA16" s="18"/>
      <c r="WB16" s="18"/>
      <c r="WC16" s="18"/>
      <c r="WD16" s="18"/>
      <c r="WE16" s="18"/>
      <c r="WF16" s="18"/>
      <c r="WG16" s="18"/>
      <c r="WH16" s="18"/>
      <c r="WI16" s="18"/>
      <c r="WJ16" s="18"/>
      <c r="WK16" s="18"/>
      <c r="WL16" s="18"/>
      <c r="WM16" s="18"/>
      <c r="WN16" s="18"/>
      <c r="WO16" s="18"/>
      <c r="WP16" s="18"/>
      <c r="WQ16" s="18"/>
      <c r="WR16" s="18"/>
      <c r="WS16" s="18"/>
      <c r="WT16" s="18"/>
      <c r="WU16" s="18"/>
      <c r="WV16" s="18"/>
      <c r="WW16" s="18"/>
      <c r="WX16" s="18"/>
      <c r="WY16" s="18"/>
      <c r="WZ16" s="18"/>
      <c r="XA16" s="18"/>
      <c r="XB16" s="18"/>
      <c r="XC16" s="18"/>
      <c r="XD16" s="18"/>
      <c r="XE16" s="18"/>
      <c r="XF16" s="18"/>
      <c r="XG16" s="18"/>
      <c r="XH16" s="18"/>
      <c r="XI16" s="18"/>
      <c r="XJ16" s="18"/>
      <c r="XK16" s="18"/>
      <c r="XL16" s="18"/>
      <c r="XM16" s="18"/>
      <c r="XN16" s="18"/>
      <c r="XO16" s="18"/>
      <c r="XP16" s="18"/>
      <c r="XQ16" s="18"/>
      <c r="XR16" s="18"/>
      <c r="XS16" s="18"/>
      <c r="XT16" s="18"/>
      <c r="XU16" s="18"/>
      <c r="XV16" s="18"/>
      <c r="XW16" s="18"/>
      <c r="XX16" s="18"/>
      <c r="XY16" s="18"/>
      <c r="XZ16" s="18"/>
      <c r="YA16" s="18"/>
      <c r="YB16" s="18"/>
      <c r="YC16" s="18"/>
      <c r="YD16" s="18"/>
      <c r="YE16" s="18"/>
      <c r="YF16" s="18"/>
      <c r="YG16" s="18"/>
      <c r="YH16" s="18"/>
      <c r="YI16" s="18"/>
      <c r="YJ16" s="18"/>
      <c r="YK16" s="18"/>
      <c r="YL16" s="18"/>
      <c r="YM16" s="18"/>
      <c r="YN16" s="18"/>
      <c r="YO16" s="18"/>
      <c r="YP16" s="18"/>
      <c r="YQ16" s="18"/>
      <c r="YR16" s="18"/>
      <c r="YS16" s="18"/>
      <c r="YT16" s="18"/>
      <c r="YU16" s="18"/>
      <c r="YV16" s="18"/>
      <c r="YW16" s="18"/>
      <c r="YX16" s="18"/>
      <c r="YY16" s="18"/>
      <c r="YZ16" s="18"/>
      <c r="ZA16" s="18"/>
      <c r="ZB16" s="18"/>
      <c r="ZC16" s="18"/>
      <c r="ZD16" s="18"/>
      <c r="ZE16" s="18"/>
      <c r="ZF16" s="18"/>
      <c r="ZG16" s="18"/>
      <c r="ZH16" s="18"/>
      <c r="ZI16" s="18"/>
      <c r="ZJ16" s="18"/>
      <c r="ZK16" s="18"/>
      <c r="ZL16" s="18"/>
      <c r="ZM16" s="18"/>
      <c r="ZN16" s="18"/>
      <c r="ZO16" s="18"/>
      <c r="ZP16" s="18"/>
      <c r="ZQ16" s="18"/>
      <c r="ZR16" s="18"/>
      <c r="ZS16" s="18"/>
      <c r="ZT16" s="18"/>
      <c r="ZU16" s="18"/>
      <c r="ZV16" s="18"/>
      <c r="ZW16" s="18"/>
      <c r="ZX16" s="18"/>
      <c r="ZY16" s="18"/>
      <c r="ZZ16" s="18"/>
      <c r="AAA16" s="18"/>
      <c r="AAB16" s="18"/>
      <c r="AAC16" s="18"/>
      <c r="AAD16" s="18"/>
      <c r="AAE16" s="18"/>
      <c r="AAF16" s="18"/>
      <c r="AAG16" s="18"/>
      <c r="AAH16" s="18"/>
      <c r="AAI16" s="18"/>
      <c r="AAJ16" s="18"/>
      <c r="AAK16" s="18"/>
      <c r="AAL16" s="18"/>
      <c r="AAM16" s="18"/>
      <c r="AAN16" s="18"/>
      <c r="AAO16" s="18"/>
      <c r="AAP16" s="18"/>
      <c r="AAQ16" s="18"/>
      <c r="AAR16" s="18"/>
      <c r="AAS16" s="18"/>
      <c r="AAT16" s="18"/>
      <c r="AAU16" s="18"/>
      <c r="AAV16" s="18"/>
      <c r="AAW16" s="18"/>
      <c r="AAX16" s="18"/>
      <c r="AAY16" s="18"/>
      <c r="AAZ16" s="18"/>
      <c r="ABA16" s="18"/>
      <c r="ABB16" s="18"/>
      <c r="ABC16" s="18"/>
      <c r="ABD16" s="18"/>
      <c r="ABE16" s="18"/>
      <c r="ABF16" s="18"/>
      <c r="ABG16" s="18"/>
      <c r="ABH16" s="18"/>
      <c r="ABI16" s="18"/>
      <c r="ABJ16" s="18"/>
      <c r="ABK16" s="18"/>
      <c r="ABL16" s="18"/>
      <c r="ABM16" s="18"/>
      <c r="ABN16" s="18"/>
      <c r="ABO16" s="18"/>
      <c r="ABP16" s="18"/>
      <c r="ABQ16" s="18"/>
      <c r="ABR16" s="18"/>
      <c r="ABS16" s="18"/>
      <c r="ABT16" s="18"/>
      <c r="ABU16" s="18"/>
      <c r="ABV16" s="18"/>
      <c r="ABW16" s="18"/>
      <c r="ABX16" s="18"/>
      <c r="ABY16" s="18"/>
      <c r="ABZ16" s="18"/>
      <c r="ACA16" s="18"/>
      <c r="ACB16" s="18"/>
      <c r="ACC16" s="18"/>
      <c r="ACD16" s="18"/>
      <c r="ACE16" s="18"/>
      <c r="ACF16" s="18"/>
      <c r="ACG16" s="18"/>
      <c r="ACH16" s="18"/>
      <c r="ACI16" s="18"/>
      <c r="ACJ16" s="18"/>
      <c r="ACK16" s="18"/>
      <c r="ACL16" s="18"/>
      <c r="ACM16" s="18"/>
      <c r="ACN16" s="18"/>
      <c r="ACO16" s="18"/>
      <c r="ACP16" s="18"/>
      <c r="ACQ16" s="18"/>
      <c r="ACR16" s="18"/>
      <c r="ACS16" s="18"/>
      <c r="ACT16" s="18"/>
      <c r="ACU16" s="18"/>
      <c r="ACV16" s="18"/>
      <c r="ACW16" s="18"/>
      <c r="ACX16" s="18"/>
      <c r="ACY16" s="18"/>
      <c r="ACZ16" s="18"/>
      <c r="ADA16" s="18"/>
      <c r="ADB16" s="18"/>
      <c r="ADC16" s="18"/>
      <c r="ADD16" s="18"/>
      <c r="ADE16" s="18"/>
      <c r="ADF16" s="18"/>
      <c r="ADG16" s="18"/>
      <c r="ADH16" s="18"/>
      <c r="ADI16" s="18"/>
      <c r="ADJ16" s="18"/>
      <c r="ADK16" s="18"/>
      <c r="ADL16" s="18"/>
      <c r="ADM16" s="18"/>
      <c r="ADN16" s="18"/>
      <c r="ADO16" s="18"/>
      <c r="ADP16" s="18"/>
      <c r="ADQ16" s="18"/>
      <c r="ADR16" s="18"/>
      <c r="ADS16" s="18"/>
      <c r="ADT16" s="18"/>
      <c r="ADU16" s="18"/>
      <c r="ADV16" s="18"/>
      <c r="ADW16" s="18"/>
      <c r="ADX16" s="18"/>
      <c r="ADY16" s="18"/>
      <c r="ADZ16" s="18"/>
      <c r="AEA16" s="18"/>
      <c r="AEB16" s="18"/>
      <c r="AEC16" s="18"/>
      <c r="AED16" s="18"/>
      <c r="AEE16" s="18"/>
      <c r="AEF16" s="18"/>
      <c r="AEG16" s="18"/>
      <c r="AEH16" s="18"/>
      <c r="AEI16" s="18"/>
      <c r="AEJ16" s="18"/>
      <c r="AEK16" s="18"/>
      <c r="AEL16" s="18"/>
      <c r="AEM16" s="18"/>
      <c r="AEN16" s="18"/>
      <c r="AEO16" s="18"/>
      <c r="AEP16" s="18"/>
      <c r="AEQ16" s="18"/>
      <c r="AER16" s="18"/>
      <c r="AES16" s="18"/>
      <c r="AET16" s="18"/>
      <c r="AEU16" s="18"/>
      <c r="AEV16" s="18"/>
      <c r="AEW16" s="18"/>
      <c r="AEX16" s="18"/>
      <c r="AEY16" s="18"/>
      <c r="AEZ16" s="18"/>
      <c r="AFA16" s="18"/>
      <c r="AFB16" s="18"/>
      <c r="AFC16" s="18"/>
      <c r="AFD16" s="18"/>
      <c r="AFE16" s="18"/>
      <c r="AFF16" s="18"/>
      <c r="AFG16" s="18"/>
      <c r="AFH16" s="18"/>
      <c r="AFI16" s="18"/>
      <c r="AFJ16" s="18"/>
      <c r="AFK16" s="18"/>
      <c r="AFL16" s="18"/>
      <c r="AFM16" s="18"/>
      <c r="AFN16" s="18"/>
      <c r="AFO16" s="18"/>
      <c r="AFP16" s="18"/>
      <c r="AFQ16" s="18"/>
      <c r="AFR16" s="18"/>
      <c r="AFS16" s="18"/>
      <c r="AFT16" s="18"/>
      <c r="AFU16" s="18"/>
      <c r="AFV16" s="18"/>
      <c r="AFW16" s="18"/>
      <c r="AFX16" s="18"/>
      <c r="AFY16" s="18"/>
      <c r="AFZ16" s="18"/>
      <c r="AGA16" s="18"/>
      <c r="AGB16" s="18"/>
      <c r="AGC16" s="18"/>
      <c r="AGD16" s="18"/>
      <c r="AGE16" s="18"/>
      <c r="AGF16" s="18"/>
      <c r="AGG16" s="18"/>
      <c r="AGH16" s="18"/>
      <c r="AGI16" s="18"/>
      <c r="AGJ16" s="18"/>
      <c r="AGK16" s="18"/>
      <c r="AGL16" s="18"/>
      <c r="AGM16" s="18"/>
      <c r="AGN16" s="18"/>
      <c r="AGO16" s="18"/>
      <c r="AGP16" s="18"/>
      <c r="AGQ16" s="18"/>
      <c r="AGR16" s="18"/>
      <c r="AGS16" s="18"/>
      <c r="AGT16" s="18"/>
      <c r="AGU16" s="18"/>
      <c r="AGV16" s="18"/>
      <c r="AGW16" s="18"/>
      <c r="AGX16" s="18"/>
      <c r="AGY16" s="18"/>
      <c r="AGZ16" s="18"/>
      <c r="AHA16" s="18"/>
      <c r="AHB16" s="18"/>
      <c r="AHC16" s="18"/>
      <c r="AHD16" s="18"/>
      <c r="AHE16" s="18"/>
      <c r="AHF16" s="18"/>
      <c r="AHG16" s="18"/>
      <c r="AHH16" s="18"/>
      <c r="AHI16" s="18"/>
      <c r="AHJ16" s="18"/>
      <c r="AHK16" s="18"/>
      <c r="AHL16" s="18"/>
      <c r="AHM16" s="18"/>
      <c r="AHN16" s="18"/>
      <c r="AHO16" s="18"/>
      <c r="AHP16" s="18"/>
      <c r="AHQ16" s="18"/>
      <c r="AHR16" s="18"/>
      <c r="AHS16" s="18"/>
      <c r="AHT16" s="18"/>
      <c r="AHU16" s="18"/>
      <c r="AHV16" s="18"/>
      <c r="AHW16" s="18"/>
      <c r="AHX16" s="18"/>
      <c r="AHY16" s="18"/>
      <c r="AHZ16" s="18"/>
      <c r="AIA16" s="18"/>
      <c r="AIB16" s="18"/>
      <c r="AIC16" s="18"/>
      <c r="AID16" s="18"/>
      <c r="AIE16" s="18"/>
      <c r="AIF16" s="18"/>
      <c r="AIG16" s="18"/>
      <c r="AIH16" s="18"/>
      <c r="AII16" s="18"/>
      <c r="AIJ16" s="18"/>
      <c r="AIK16" s="18"/>
      <c r="AIL16" s="18"/>
      <c r="AIM16" s="18"/>
      <c r="AIN16" s="18"/>
      <c r="AIO16" s="18"/>
      <c r="AIP16" s="18"/>
      <c r="AIQ16" s="18"/>
      <c r="AIR16" s="18"/>
      <c r="AIS16" s="18"/>
      <c r="AIT16" s="18"/>
      <c r="AIU16" s="18"/>
      <c r="AIV16" s="18"/>
      <c r="AIW16" s="18"/>
      <c r="AIX16" s="18"/>
      <c r="AIY16" s="18"/>
      <c r="AIZ16" s="18"/>
      <c r="AJA16" s="18"/>
      <c r="AJB16" s="18"/>
      <c r="AJC16" s="18"/>
      <c r="AJD16" s="18"/>
      <c r="AJE16" s="18"/>
      <c r="AJF16" s="18"/>
      <c r="AJG16" s="18"/>
      <c r="AJH16" s="18"/>
      <c r="AJI16" s="18"/>
      <c r="AJJ16" s="18"/>
      <c r="AJK16" s="18"/>
      <c r="AJL16" s="18"/>
      <c r="AJM16" s="18"/>
      <c r="AJN16" s="18"/>
      <c r="AJO16" s="18"/>
      <c r="AJP16" s="18"/>
      <c r="AJQ16" s="18"/>
      <c r="AJR16" s="18"/>
      <c r="AJS16" s="18"/>
      <c r="AJT16" s="18"/>
      <c r="AJU16" s="18"/>
      <c r="AJV16" s="18"/>
      <c r="AJW16" s="18"/>
      <c r="AJX16" s="18"/>
      <c r="AJY16" s="18"/>
      <c r="AJZ16" s="18"/>
      <c r="AKA16" s="18"/>
      <c r="AKB16" s="18"/>
      <c r="AKC16" s="18"/>
      <c r="AKD16" s="18"/>
      <c r="AKE16" s="18"/>
      <c r="AKF16" s="18"/>
      <c r="AKG16" s="18"/>
      <c r="AKH16" s="18"/>
      <c r="AKI16" s="18"/>
      <c r="AKJ16" s="18"/>
      <c r="AKK16" s="18"/>
      <c r="AKL16" s="18"/>
      <c r="AKM16" s="18"/>
      <c r="AKN16" s="18"/>
      <c r="AKO16" s="18"/>
      <c r="AKP16" s="18"/>
      <c r="AKQ16" s="18"/>
      <c r="AKR16" s="18"/>
      <c r="AKS16" s="18"/>
      <c r="AKT16" s="18"/>
      <c r="AKU16" s="18"/>
      <c r="AKV16" s="18"/>
      <c r="AKW16" s="18"/>
      <c r="AKX16" s="18"/>
      <c r="AKY16" s="18"/>
      <c r="AKZ16" s="18"/>
      <c r="ALA16" s="18"/>
      <c r="ALB16" s="18"/>
      <c r="ALC16" s="18"/>
      <c r="ALD16" s="18"/>
      <c r="ALE16" s="18"/>
      <c r="ALF16" s="18"/>
      <c r="ALG16" s="18"/>
      <c r="ALH16" s="18"/>
      <c r="ALI16" s="18"/>
      <c r="ALJ16" s="18"/>
      <c r="ALK16" s="18"/>
      <c r="ALL16" s="18"/>
      <c r="ALM16" s="18"/>
      <c r="ALN16" s="18"/>
      <c r="ALO16" s="18"/>
      <c r="ALP16" s="18"/>
      <c r="ALQ16" s="18"/>
      <c r="ALR16" s="18"/>
      <c r="ALS16" s="18"/>
      <c r="ALT16" s="18"/>
      <c r="ALU16" s="18"/>
      <c r="ALV16" s="18"/>
      <c r="ALW16" s="18"/>
      <c r="ALX16" s="18"/>
      <c r="ALY16" s="18"/>
      <c r="ALZ16" s="18"/>
      <c r="AMA16" s="18"/>
      <c r="AMB16" s="18"/>
      <c r="AMC16" s="18"/>
      <c r="AMD16" s="18"/>
      <c r="AME16" s="18"/>
      <c r="AMF16" s="18"/>
      <c r="AMG16" s="18"/>
      <c r="AMH16" s="18"/>
      <c r="AMI16" s="18"/>
      <c r="AMJ16" s="18"/>
      <c r="AMK16" s="18"/>
      <c r="AML16" s="18"/>
    </row>
    <row r="17" spans="1:1027" s="18" customFormat="1" x14ac:dyDescent="0.2">
      <c r="A17" s="1" t="s">
        <v>504</v>
      </c>
      <c r="B17" s="1" t="s">
        <v>541</v>
      </c>
      <c r="C17" s="1"/>
      <c r="D17" s="1">
        <v>37</v>
      </c>
      <c r="E17" s="10" t="s">
        <v>506</v>
      </c>
      <c r="F17" s="10" t="s">
        <v>508</v>
      </c>
      <c r="G17" s="11" t="s">
        <v>508</v>
      </c>
      <c r="H17" s="10" t="s">
        <v>507</v>
      </c>
      <c r="I17" s="10"/>
      <c r="J17" s="10" t="s">
        <v>507</v>
      </c>
      <c r="K17" s="12"/>
      <c r="L17" s="18" t="s">
        <v>509</v>
      </c>
      <c r="M17" s="1"/>
      <c r="N17" s="1" t="s">
        <v>542</v>
      </c>
      <c r="O17" s="1"/>
      <c r="P17" s="1"/>
      <c r="Q17" s="1"/>
      <c r="R17" s="1"/>
      <c r="S17" s="13"/>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c r="MG17" s="31"/>
      <c r="MH17" s="31"/>
      <c r="MI17" s="31"/>
      <c r="MJ17" s="31"/>
      <c r="MK17" s="31"/>
      <c r="ML17" s="31"/>
      <c r="MM17" s="31"/>
      <c r="MN17" s="31"/>
      <c r="MO17" s="31"/>
      <c r="MP17" s="31"/>
      <c r="MQ17" s="31"/>
      <c r="MR17" s="31"/>
      <c r="MS17" s="31"/>
      <c r="MT17" s="31"/>
      <c r="MU17" s="31"/>
      <c r="MV17" s="31"/>
      <c r="MW17" s="31"/>
      <c r="MX17" s="31"/>
      <c r="MY17" s="31"/>
      <c r="MZ17" s="31"/>
      <c r="NA17" s="31"/>
      <c r="NB17" s="31"/>
      <c r="NC17" s="31"/>
      <c r="ND17" s="31"/>
      <c r="NE17" s="31"/>
      <c r="NF17" s="31"/>
      <c r="NG17" s="31"/>
      <c r="NH17" s="31"/>
      <c r="NI17" s="31"/>
      <c r="NJ17" s="31"/>
      <c r="NK17" s="31"/>
      <c r="NL17" s="31"/>
      <c r="NM17" s="31"/>
      <c r="NN17" s="31"/>
      <c r="NO17" s="31"/>
      <c r="NP17" s="31"/>
      <c r="NQ17" s="31"/>
      <c r="NR17" s="31"/>
      <c r="NS17" s="31"/>
      <c r="NT17" s="31"/>
      <c r="NU17" s="31"/>
      <c r="NV17" s="31"/>
      <c r="NW17" s="31"/>
      <c r="NX17" s="31"/>
      <c r="NY17" s="31"/>
      <c r="NZ17" s="31"/>
      <c r="OA17" s="31"/>
      <c r="OB17" s="31"/>
      <c r="OC17" s="31"/>
      <c r="OD17" s="31"/>
      <c r="OE17" s="31"/>
      <c r="OF17" s="31"/>
      <c r="OG17" s="31"/>
      <c r="OH17" s="31"/>
      <c r="OI17" s="31"/>
      <c r="OJ17" s="31"/>
      <c r="OK17" s="31"/>
      <c r="OL17" s="31"/>
      <c r="OM17" s="31"/>
      <c r="ON17" s="31"/>
      <c r="OO17" s="31"/>
      <c r="OP17" s="31"/>
      <c r="OQ17" s="31"/>
      <c r="OR17" s="31"/>
      <c r="OS17" s="31"/>
      <c r="OT17" s="31"/>
      <c r="OU17" s="31"/>
      <c r="OV17" s="31"/>
      <c r="OW17" s="31"/>
      <c r="OX17" s="31"/>
      <c r="OY17" s="31"/>
      <c r="OZ17" s="31"/>
      <c r="PA17" s="31"/>
      <c r="PB17" s="31"/>
      <c r="PC17" s="31"/>
      <c r="PD17" s="31"/>
      <c r="PE17" s="31"/>
      <c r="PF17" s="31"/>
      <c r="PG17" s="31"/>
      <c r="PH17" s="31"/>
      <c r="PI17" s="31"/>
      <c r="PJ17" s="31"/>
      <c r="PK17" s="31"/>
      <c r="PL17" s="31"/>
      <c r="PM17" s="31"/>
      <c r="PN17" s="31"/>
      <c r="PO17" s="31"/>
      <c r="PP17" s="31"/>
      <c r="PQ17" s="31"/>
      <c r="PR17" s="31"/>
      <c r="PS17" s="31"/>
      <c r="PT17" s="31"/>
      <c r="PU17" s="31"/>
      <c r="PV17" s="31"/>
      <c r="PW17" s="31"/>
      <c r="PX17" s="31"/>
      <c r="PY17" s="31"/>
      <c r="PZ17" s="31"/>
      <c r="QA17" s="31"/>
      <c r="QB17" s="31"/>
      <c r="QC17" s="31"/>
      <c r="QD17" s="31"/>
      <c r="QE17" s="31"/>
      <c r="QF17" s="31"/>
      <c r="QG17" s="31"/>
      <c r="QH17" s="31"/>
      <c r="QI17" s="31"/>
      <c r="QJ17" s="31"/>
      <c r="QK17" s="31"/>
      <c r="QL17" s="31"/>
      <c r="QM17" s="31"/>
      <c r="QN17" s="31"/>
      <c r="QO17" s="31"/>
      <c r="QP17" s="31"/>
      <c r="QQ17" s="31"/>
      <c r="QR17" s="31"/>
      <c r="QS17" s="31"/>
      <c r="QT17" s="31"/>
      <c r="QU17" s="31"/>
      <c r="QV17" s="31"/>
      <c r="QW17" s="31"/>
      <c r="QX17" s="31"/>
      <c r="QY17" s="31"/>
      <c r="QZ17" s="31"/>
      <c r="RA17" s="31"/>
      <c r="RB17" s="31"/>
      <c r="RC17" s="31"/>
      <c r="RD17" s="31"/>
      <c r="RE17" s="31"/>
      <c r="RF17" s="31"/>
      <c r="RG17" s="31"/>
      <c r="RH17" s="31"/>
      <c r="RI17" s="31"/>
      <c r="RJ17" s="31"/>
      <c r="RK17" s="31"/>
      <c r="RL17" s="31"/>
      <c r="RM17" s="31"/>
      <c r="RN17" s="31"/>
      <c r="RO17" s="31"/>
      <c r="RP17" s="31"/>
      <c r="RQ17" s="31"/>
      <c r="RR17" s="31"/>
      <c r="RS17" s="31"/>
      <c r="RT17" s="31"/>
      <c r="RU17" s="31"/>
      <c r="RV17" s="31"/>
      <c r="RW17" s="31"/>
      <c r="RX17" s="31"/>
      <c r="RY17" s="31"/>
      <c r="RZ17" s="31"/>
      <c r="SA17" s="31"/>
      <c r="SB17" s="31"/>
      <c r="SC17" s="31"/>
      <c r="SD17" s="31"/>
      <c r="SE17" s="31"/>
      <c r="SF17" s="31"/>
      <c r="SG17" s="31"/>
      <c r="SH17" s="31"/>
      <c r="SI17" s="31"/>
      <c r="SJ17" s="31"/>
      <c r="SK17" s="31"/>
      <c r="SL17" s="31"/>
      <c r="SM17" s="31"/>
      <c r="SN17" s="31"/>
      <c r="SO17" s="31"/>
      <c r="SP17" s="31"/>
      <c r="SQ17" s="31"/>
      <c r="SR17" s="31"/>
      <c r="SS17" s="31"/>
      <c r="ST17" s="31"/>
      <c r="SU17" s="31"/>
      <c r="SV17" s="31"/>
      <c r="SW17" s="31"/>
      <c r="SX17" s="31"/>
      <c r="SY17" s="31"/>
      <c r="SZ17" s="31"/>
      <c r="TA17" s="31"/>
      <c r="TB17" s="31"/>
      <c r="TC17" s="31"/>
      <c r="TD17" s="31"/>
      <c r="TE17" s="31"/>
      <c r="TF17" s="31"/>
      <c r="TG17" s="31"/>
      <c r="TH17" s="31"/>
      <c r="TI17" s="31"/>
      <c r="TJ17" s="31"/>
      <c r="TK17" s="31"/>
      <c r="TL17" s="31"/>
      <c r="TM17" s="31"/>
      <c r="TN17" s="31"/>
      <c r="TO17" s="31"/>
      <c r="TP17" s="31"/>
      <c r="TQ17" s="31"/>
      <c r="TR17" s="31"/>
      <c r="TS17" s="31"/>
      <c r="TT17" s="31"/>
      <c r="TU17" s="31"/>
      <c r="TV17" s="31"/>
      <c r="TW17" s="31"/>
      <c r="TX17" s="31"/>
      <c r="TY17" s="31"/>
      <c r="TZ17" s="31"/>
      <c r="UA17" s="31"/>
      <c r="UB17" s="31"/>
      <c r="UC17" s="31"/>
      <c r="UD17" s="31"/>
      <c r="UE17" s="31"/>
      <c r="UF17" s="31"/>
      <c r="UG17" s="31"/>
      <c r="UH17" s="31"/>
      <c r="UI17" s="31"/>
      <c r="UJ17" s="31"/>
      <c r="UK17" s="31"/>
      <c r="UL17" s="31"/>
      <c r="UM17" s="31"/>
      <c r="UN17" s="31"/>
      <c r="UO17" s="31"/>
      <c r="UP17" s="31"/>
      <c r="UQ17" s="31"/>
      <c r="UR17" s="31"/>
      <c r="US17" s="31"/>
      <c r="UT17" s="31"/>
      <c r="UU17" s="31"/>
      <c r="UV17" s="31"/>
      <c r="UW17" s="31"/>
      <c r="UX17" s="31"/>
      <c r="UY17" s="31"/>
      <c r="UZ17" s="31"/>
      <c r="VA17" s="31"/>
      <c r="VB17" s="31"/>
      <c r="VC17" s="31"/>
      <c r="VD17" s="31"/>
      <c r="VE17" s="31"/>
      <c r="VF17" s="31"/>
      <c r="VG17" s="31"/>
      <c r="VH17" s="31"/>
      <c r="VI17" s="31"/>
      <c r="VJ17" s="31"/>
      <c r="VK17" s="31"/>
      <c r="VL17" s="31"/>
      <c r="VM17" s="31"/>
      <c r="VN17" s="31"/>
      <c r="VO17" s="31"/>
      <c r="VP17" s="31"/>
      <c r="VQ17" s="31"/>
      <c r="VR17" s="31"/>
      <c r="VS17" s="31"/>
      <c r="VT17" s="31"/>
      <c r="VU17" s="31"/>
      <c r="VV17" s="31"/>
      <c r="VW17" s="31"/>
      <c r="VX17" s="31"/>
      <c r="VY17" s="31"/>
      <c r="VZ17" s="31"/>
      <c r="WA17" s="31"/>
      <c r="WB17" s="31"/>
      <c r="WC17" s="31"/>
      <c r="WD17" s="31"/>
      <c r="WE17" s="31"/>
      <c r="WF17" s="31"/>
      <c r="WG17" s="31"/>
      <c r="WH17" s="31"/>
      <c r="WI17" s="31"/>
      <c r="WJ17" s="31"/>
      <c r="WK17" s="31"/>
      <c r="WL17" s="31"/>
      <c r="WM17" s="31"/>
      <c r="WN17" s="31"/>
      <c r="WO17" s="31"/>
      <c r="WP17" s="31"/>
      <c r="WQ17" s="31"/>
      <c r="WR17" s="31"/>
      <c r="WS17" s="31"/>
      <c r="WT17" s="31"/>
      <c r="WU17" s="31"/>
      <c r="WV17" s="31"/>
      <c r="WW17" s="31"/>
      <c r="WX17" s="31"/>
      <c r="WY17" s="31"/>
      <c r="WZ17" s="31"/>
      <c r="XA17" s="31"/>
      <c r="XB17" s="31"/>
      <c r="XC17" s="31"/>
      <c r="XD17" s="31"/>
      <c r="XE17" s="31"/>
      <c r="XF17" s="31"/>
      <c r="XG17" s="31"/>
      <c r="XH17" s="31"/>
      <c r="XI17" s="31"/>
      <c r="XJ17" s="31"/>
      <c r="XK17" s="31"/>
      <c r="XL17" s="31"/>
      <c r="XM17" s="31"/>
      <c r="XN17" s="31"/>
      <c r="XO17" s="31"/>
      <c r="XP17" s="31"/>
      <c r="XQ17" s="31"/>
      <c r="XR17" s="31"/>
      <c r="XS17" s="31"/>
      <c r="XT17" s="31"/>
      <c r="XU17" s="31"/>
      <c r="XV17" s="31"/>
      <c r="XW17" s="31"/>
      <c r="XX17" s="31"/>
      <c r="XY17" s="31"/>
      <c r="XZ17" s="31"/>
      <c r="YA17" s="31"/>
      <c r="YB17" s="31"/>
      <c r="YC17" s="31"/>
      <c r="YD17" s="31"/>
      <c r="YE17" s="31"/>
      <c r="YF17" s="31"/>
      <c r="YG17" s="31"/>
      <c r="YH17" s="31"/>
      <c r="YI17" s="31"/>
      <c r="YJ17" s="31"/>
      <c r="YK17" s="31"/>
      <c r="YL17" s="31"/>
      <c r="YM17" s="31"/>
      <c r="YN17" s="31"/>
      <c r="YO17" s="31"/>
      <c r="YP17" s="31"/>
      <c r="YQ17" s="31"/>
      <c r="YR17" s="31"/>
      <c r="YS17" s="31"/>
      <c r="YT17" s="31"/>
      <c r="YU17" s="31"/>
      <c r="YV17" s="31"/>
      <c r="YW17" s="31"/>
      <c r="YX17" s="31"/>
      <c r="YY17" s="31"/>
      <c r="YZ17" s="31"/>
      <c r="ZA17" s="31"/>
      <c r="ZB17" s="31"/>
      <c r="ZC17" s="31"/>
      <c r="ZD17" s="31"/>
      <c r="ZE17" s="31"/>
      <c r="ZF17" s="31"/>
      <c r="ZG17" s="31"/>
      <c r="ZH17" s="31"/>
      <c r="ZI17" s="31"/>
      <c r="ZJ17" s="31"/>
      <c r="ZK17" s="31"/>
      <c r="ZL17" s="31"/>
      <c r="ZM17" s="31"/>
      <c r="ZN17" s="31"/>
      <c r="ZO17" s="31"/>
      <c r="ZP17" s="31"/>
      <c r="ZQ17" s="31"/>
      <c r="ZR17" s="31"/>
      <c r="ZS17" s="31"/>
      <c r="ZT17" s="31"/>
      <c r="ZU17" s="31"/>
      <c r="ZV17" s="31"/>
      <c r="ZW17" s="31"/>
      <c r="ZX17" s="31"/>
      <c r="ZY17" s="31"/>
      <c r="ZZ17" s="31"/>
      <c r="AAA17" s="31"/>
      <c r="AAB17" s="31"/>
      <c r="AAC17" s="31"/>
      <c r="AAD17" s="31"/>
      <c r="AAE17" s="31"/>
      <c r="AAF17" s="31"/>
      <c r="AAG17" s="31"/>
      <c r="AAH17" s="31"/>
      <c r="AAI17" s="31"/>
      <c r="AAJ17" s="31"/>
      <c r="AAK17" s="31"/>
      <c r="AAL17" s="31"/>
      <c r="AAM17" s="31"/>
      <c r="AAN17" s="31"/>
      <c r="AAO17" s="31"/>
      <c r="AAP17" s="31"/>
      <c r="AAQ17" s="31"/>
      <c r="AAR17" s="31"/>
      <c r="AAS17" s="31"/>
      <c r="AAT17" s="31"/>
      <c r="AAU17" s="31"/>
      <c r="AAV17" s="31"/>
      <c r="AAW17" s="31"/>
      <c r="AAX17" s="31"/>
      <c r="AAY17" s="31"/>
      <c r="AAZ17" s="31"/>
      <c r="ABA17" s="31"/>
      <c r="ABB17" s="31"/>
      <c r="ABC17" s="31"/>
      <c r="ABD17" s="31"/>
      <c r="ABE17" s="31"/>
      <c r="ABF17" s="31"/>
      <c r="ABG17" s="31"/>
      <c r="ABH17" s="31"/>
      <c r="ABI17" s="31"/>
      <c r="ABJ17" s="31"/>
      <c r="ABK17" s="31"/>
      <c r="ABL17" s="31"/>
      <c r="ABM17" s="31"/>
      <c r="ABN17" s="31"/>
      <c r="ABO17" s="31"/>
      <c r="ABP17" s="31"/>
      <c r="ABQ17" s="31"/>
      <c r="ABR17" s="31"/>
      <c r="ABS17" s="31"/>
      <c r="ABT17" s="31"/>
      <c r="ABU17" s="31"/>
      <c r="ABV17" s="31"/>
      <c r="ABW17" s="31"/>
      <c r="ABX17" s="31"/>
      <c r="ABY17" s="31"/>
      <c r="ABZ17" s="31"/>
      <c r="ACA17" s="31"/>
      <c r="ACB17" s="31"/>
      <c r="ACC17" s="31"/>
      <c r="ACD17" s="31"/>
      <c r="ACE17" s="31"/>
      <c r="ACF17" s="31"/>
      <c r="ACG17" s="31"/>
      <c r="ACH17" s="31"/>
      <c r="ACI17" s="31"/>
      <c r="ACJ17" s="31"/>
      <c r="ACK17" s="31"/>
      <c r="ACL17" s="31"/>
      <c r="ACM17" s="31"/>
      <c r="ACN17" s="31"/>
      <c r="ACO17" s="31"/>
      <c r="ACP17" s="31"/>
      <c r="ACQ17" s="31"/>
      <c r="ACR17" s="31"/>
      <c r="ACS17" s="31"/>
      <c r="ACT17" s="31"/>
      <c r="ACU17" s="31"/>
      <c r="ACV17" s="31"/>
      <c r="ACW17" s="31"/>
      <c r="ACX17" s="31"/>
      <c r="ACY17" s="31"/>
      <c r="ACZ17" s="31"/>
      <c r="ADA17" s="31"/>
      <c r="ADB17" s="31"/>
      <c r="ADC17" s="31"/>
      <c r="ADD17" s="31"/>
      <c r="ADE17" s="31"/>
      <c r="ADF17" s="31"/>
      <c r="ADG17" s="31"/>
      <c r="ADH17" s="31"/>
      <c r="ADI17" s="31"/>
      <c r="ADJ17" s="31"/>
      <c r="ADK17" s="31"/>
      <c r="ADL17" s="31"/>
      <c r="ADM17" s="31"/>
      <c r="ADN17" s="31"/>
      <c r="ADO17" s="31"/>
      <c r="ADP17" s="31"/>
      <c r="ADQ17" s="31"/>
      <c r="ADR17" s="31"/>
      <c r="ADS17" s="31"/>
      <c r="ADT17" s="31"/>
      <c r="ADU17" s="31"/>
      <c r="ADV17" s="31"/>
      <c r="ADW17" s="31"/>
      <c r="ADX17" s="31"/>
      <c r="ADY17" s="31"/>
      <c r="ADZ17" s="31"/>
      <c r="AEA17" s="31"/>
      <c r="AEB17" s="31"/>
      <c r="AEC17" s="31"/>
      <c r="AED17" s="31"/>
      <c r="AEE17" s="31"/>
      <c r="AEF17" s="31"/>
      <c r="AEG17" s="31"/>
      <c r="AEH17" s="31"/>
      <c r="AEI17" s="31"/>
      <c r="AEJ17" s="31"/>
      <c r="AEK17" s="31"/>
      <c r="AEL17" s="31"/>
      <c r="AEM17" s="31"/>
      <c r="AEN17" s="31"/>
      <c r="AEO17" s="31"/>
      <c r="AEP17" s="31"/>
      <c r="AEQ17" s="31"/>
      <c r="AER17" s="31"/>
      <c r="AES17" s="31"/>
      <c r="AET17" s="31"/>
      <c r="AEU17" s="31"/>
      <c r="AEV17" s="31"/>
      <c r="AEW17" s="31"/>
      <c r="AEX17" s="31"/>
      <c r="AEY17" s="31"/>
      <c r="AEZ17" s="31"/>
      <c r="AFA17" s="31"/>
      <c r="AFB17" s="31"/>
      <c r="AFC17" s="31"/>
      <c r="AFD17" s="31"/>
      <c r="AFE17" s="31"/>
      <c r="AFF17" s="31"/>
      <c r="AFG17" s="31"/>
      <c r="AFH17" s="31"/>
      <c r="AFI17" s="31"/>
      <c r="AFJ17" s="31"/>
      <c r="AFK17" s="31"/>
      <c r="AFL17" s="31"/>
      <c r="AFM17" s="31"/>
      <c r="AFN17" s="31"/>
      <c r="AFO17" s="31"/>
      <c r="AFP17" s="31"/>
      <c r="AFQ17" s="31"/>
      <c r="AFR17" s="31"/>
      <c r="AFS17" s="31"/>
      <c r="AFT17" s="31"/>
      <c r="AFU17" s="31"/>
      <c r="AFV17" s="31"/>
      <c r="AFW17" s="31"/>
      <c r="AFX17" s="31"/>
      <c r="AFY17" s="31"/>
      <c r="AFZ17" s="31"/>
      <c r="AGA17" s="31"/>
      <c r="AGB17" s="31"/>
      <c r="AGC17" s="31"/>
      <c r="AGD17" s="31"/>
      <c r="AGE17" s="31"/>
      <c r="AGF17" s="31"/>
      <c r="AGG17" s="31"/>
      <c r="AGH17" s="31"/>
      <c r="AGI17" s="31"/>
      <c r="AGJ17" s="31"/>
      <c r="AGK17" s="31"/>
      <c r="AGL17" s="31"/>
      <c r="AGM17" s="31"/>
      <c r="AGN17" s="31"/>
      <c r="AGO17" s="31"/>
      <c r="AGP17" s="31"/>
      <c r="AGQ17" s="31"/>
      <c r="AGR17" s="31"/>
      <c r="AGS17" s="31"/>
      <c r="AGT17" s="31"/>
      <c r="AGU17" s="31"/>
      <c r="AGV17" s="31"/>
      <c r="AGW17" s="31"/>
      <c r="AGX17" s="31"/>
      <c r="AGY17" s="31"/>
      <c r="AGZ17" s="31"/>
      <c r="AHA17" s="31"/>
      <c r="AHB17" s="31"/>
      <c r="AHC17" s="31"/>
      <c r="AHD17" s="31"/>
      <c r="AHE17" s="31"/>
      <c r="AHF17" s="31"/>
      <c r="AHG17" s="31"/>
      <c r="AHH17" s="31"/>
      <c r="AHI17" s="31"/>
      <c r="AHJ17" s="31"/>
      <c r="AHK17" s="31"/>
      <c r="AHL17" s="31"/>
      <c r="AHM17" s="31"/>
      <c r="AHN17" s="31"/>
      <c r="AHO17" s="31"/>
      <c r="AHP17" s="31"/>
      <c r="AHQ17" s="31"/>
      <c r="AHR17" s="31"/>
      <c r="AHS17" s="31"/>
      <c r="AHT17" s="31"/>
      <c r="AHU17" s="31"/>
      <c r="AHV17" s="31"/>
      <c r="AHW17" s="31"/>
      <c r="AHX17" s="31"/>
      <c r="AHY17" s="31"/>
      <c r="AHZ17" s="31"/>
      <c r="AIA17" s="31"/>
      <c r="AIB17" s="31"/>
      <c r="AIC17" s="31"/>
      <c r="AID17" s="31"/>
      <c r="AIE17" s="31"/>
      <c r="AIF17" s="31"/>
      <c r="AIG17" s="31"/>
      <c r="AIH17" s="31"/>
      <c r="AII17" s="31"/>
      <c r="AIJ17" s="31"/>
      <c r="AIK17" s="31"/>
      <c r="AIL17" s="31"/>
      <c r="AIM17" s="31"/>
      <c r="AIN17" s="31"/>
      <c r="AIO17" s="31"/>
      <c r="AIP17" s="31"/>
      <c r="AIQ17" s="31"/>
      <c r="AIR17" s="31"/>
      <c r="AIS17" s="31"/>
      <c r="AIT17" s="31"/>
      <c r="AIU17" s="31"/>
      <c r="AIV17" s="31"/>
      <c r="AIW17" s="31"/>
      <c r="AIX17" s="31"/>
      <c r="AIY17" s="31"/>
      <c r="AIZ17" s="31"/>
      <c r="AJA17" s="31"/>
      <c r="AJB17" s="31"/>
      <c r="AJC17" s="31"/>
      <c r="AJD17" s="31"/>
      <c r="AJE17" s="31"/>
      <c r="AJF17" s="31"/>
      <c r="AJG17" s="31"/>
      <c r="AJH17" s="31"/>
      <c r="AJI17" s="31"/>
      <c r="AJJ17" s="31"/>
      <c r="AJK17" s="31"/>
      <c r="AJL17" s="31"/>
      <c r="AJM17" s="31"/>
      <c r="AJN17" s="31"/>
      <c r="AJO17" s="31"/>
      <c r="AJP17" s="31"/>
      <c r="AJQ17" s="31"/>
      <c r="AJR17" s="31"/>
      <c r="AJS17" s="31"/>
      <c r="AJT17" s="31"/>
      <c r="AJU17" s="31"/>
      <c r="AJV17" s="31"/>
      <c r="AJW17" s="31"/>
      <c r="AJX17" s="31"/>
      <c r="AJY17" s="31"/>
      <c r="AJZ17" s="31"/>
      <c r="AKA17" s="31"/>
      <c r="AKB17" s="31"/>
      <c r="AKC17" s="31"/>
      <c r="AKD17" s="31"/>
      <c r="AKE17" s="31"/>
      <c r="AKF17" s="31"/>
      <c r="AKG17" s="31"/>
      <c r="AKH17" s="31"/>
      <c r="AKI17" s="31"/>
      <c r="AKJ17" s="31"/>
      <c r="AKK17" s="31"/>
      <c r="AKL17" s="31"/>
      <c r="AKM17" s="31"/>
      <c r="AKN17" s="31"/>
      <c r="AKO17" s="31"/>
      <c r="AKP17" s="31"/>
      <c r="AKQ17" s="31"/>
      <c r="AKR17" s="31"/>
      <c r="AKS17" s="31"/>
      <c r="AKT17" s="31"/>
      <c r="AKU17" s="31"/>
      <c r="AKV17" s="31"/>
      <c r="AKW17" s="31"/>
      <c r="AKX17" s="31"/>
      <c r="AKY17" s="31"/>
      <c r="AKZ17" s="31"/>
      <c r="ALA17" s="31"/>
      <c r="ALB17" s="31"/>
      <c r="ALC17" s="31"/>
      <c r="ALD17" s="31"/>
      <c r="ALE17" s="31"/>
      <c r="ALF17" s="31"/>
      <c r="ALG17" s="31"/>
      <c r="ALH17" s="31"/>
      <c r="ALI17" s="31"/>
      <c r="ALJ17" s="31"/>
      <c r="ALK17" s="31"/>
      <c r="ALL17" s="31"/>
      <c r="ALM17" s="31"/>
      <c r="ALN17" s="31"/>
      <c r="ALO17" s="31"/>
      <c r="ALP17" s="31"/>
      <c r="ALQ17" s="31"/>
      <c r="ALR17" s="31"/>
      <c r="ALS17" s="31"/>
      <c r="ALT17" s="31"/>
      <c r="ALU17" s="31"/>
      <c r="ALV17" s="31"/>
      <c r="ALW17" s="31"/>
      <c r="ALX17" s="31"/>
      <c r="ALY17" s="31"/>
      <c r="ALZ17" s="31"/>
      <c r="AMA17" s="31"/>
      <c r="AMB17" s="31"/>
      <c r="AMC17" s="31"/>
      <c r="AMD17" s="31"/>
      <c r="AME17" s="31"/>
      <c r="AMF17" s="31"/>
      <c r="AMG17" s="31"/>
      <c r="AMH17" s="31"/>
      <c r="AMI17" s="31"/>
      <c r="AMJ17" s="31"/>
      <c r="AMK17" s="31"/>
      <c r="AML17" s="31"/>
    </row>
    <row r="18" spans="1:1027" s="18" customFormat="1" x14ac:dyDescent="0.2">
      <c r="A18" s="18" t="s">
        <v>504</v>
      </c>
      <c r="B18" s="18" t="s">
        <v>543</v>
      </c>
      <c r="D18" s="18">
        <v>106</v>
      </c>
      <c r="E18" s="19" t="s">
        <v>506</v>
      </c>
      <c r="F18" s="19" t="s">
        <v>507</v>
      </c>
      <c r="G18" s="20" t="s">
        <v>508</v>
      </c>
      <c r="H18" s="19" t="s">
        <v>507</v>
      </c>
      <c r="I18" s="19" t="s">
        <v>507</v>
      </c>
      <c r="J18" s="19" t="s">
        <v>507</v>
      </c>
      <c r="K18" s="21" t="s">
        <v>509</v>
      </c>
      <c r="M18" s="1" t="s">
        <v>510</v>
      </c>
      <c r="N18" s="1"/>
      <c r="Q18" s="18" t="s">
        <v>527</v>
      </c>
      <c r="S18" s="13"/>
      <c r="T18" s="18" t="s">
        <v>278</v>
      </c>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spans="1:1027" s="18" customFormat="1" x14ac:dyDescent="0.2">
      <c r="A19" s="18" t="s">
        <v>504</v>
      </c>
      <c r="B19" s="18" t="s">
        <v>544</v>
      </c>
      <c r="D19" s="18">
        <v>131</v>
      </c>
      <c r="E19" s="19" t="s">
        <v>506</v>
      </c>
      <c r="F19" s="19" t="s">
        <v>507</v>
      </c>
      <c r="G19" s="20" t="s">
        <v>507</v>
      </c>
      <c r="H19" s="19" t="s">
        <v>507</v>
      </c>
      <c r="I19" s="19" t="s">
        <v>507</v>
      </c>
      <c r="J19" s="19" t="s">
        <v>507</v>
      </c>
      <c r="K19" s="21" t="s">
        <v>509</v>
      </c>
      <c r="M19" s="1" t="s">
        <v>510</v>
      </c>
      <c r="N19" s="1"/>
      <c r="S19" s="13"/>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spans="1:1027" s="31" customFormat="1" x14ac:dyDescent="0.2">
      <c r="A20" s="18" t="s">
        <v>504</v>
      </c>
      <c r="B20" s="18" t="s">
        <v>545</v>
      </c>
      <c r="C20" s="18"/>
      <c r="D20" s="18">
        <v>125</v>
      </c>
      <c r="E20" s="19" t="s">
        <v>506</v>
      </c>
      <c r="F20" s="19" t="s">
        <v>507</v>
      </c>
      <c r="G20" s="20" t="s">
        <v>507</v>
      </c>
      <c r="H20" s="19" t="s">
        <v>507</v>
      </c>
      <c r="I20" s="19" t="s">
        <v>507</v>
      </c>
      <c r="J20" s="19" t="s">
        <v>507</v>
      </c>
      <c r="K20" s="21" t="s">
        <v>509</v>
      </c>
      <c r="L20" s="18"/>
      <c r="M20" s="1" t="s">
        <v>510</v>
      </c>
      <c r="N20" s="1"/>
      <c r="O20" s="18"/>
      <c r="P20" s="18"/>
      <c r="Q20" s="18"/>
      <c r="R20" s="18"/>
      <c r="S20" s="13"/>
      <c r="T20" s="18" t="s">
        <v>280</v>
      </c>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AMM20" s="18"/>
    </row>
    <row r="21" spans="1:1027" s="18" customFormat="1" x14ac:dyDescent="0.2">
      <c r="A21" s="18" t="s">
        <v>504</v>
      </c>
      <c r="B21" s="18" t="s">
        <v>546</v>
      </c>
      <c r="D21" s="18">
        <v>357</v>
      </c>
      <c r="E21" s="19" t="s">
        <v>506</v>
      </c>
      <c r="F21" s="19" t="s">
        <v>507</v>
      </c>
      <c r="G21" s="20" t="s">
        <v>540</v>
      </c>
      <c r="H21" s="19" t="s">
        <v>507</v>
      </c>
      <c r="I21" s="19" t="s">
        <v>507</v>
      </c>
      <c r="J21" s="19" t="s">
        <v>507</v>
      </c>
      <c r="K21" s="21" t="s">
        <v>509</v>
      </c>
      <c r="M21" s="1" t="s">
        <v>510</v>
      </c>
      <c r="N21" s="1"/>
      <c r="S21" s="13"/>
      <c r="T21" s="18" t="s">
        <v>282</v>
      </c>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AMM21" s="31"/>
    </row>
    <row r="22" spans="1:1027" s="1" customFormat="1" x14ac:dyDescent="0.2">
      <c r="A22" s="1" t="s">
        <v>504</v>
      </c>
      <c r="B22" s="1" t="s">
        <v>547</v>
      </c>
      <c r="D22" s="1">
        <v>72</v>
      </c>
      <c r="E22" s="10" t="s">
        <v>506</v>
      </c>
      <c r="F22" s="10" t="s">
        <v>508</v>
      </c>
      <c r="G22" s="11" t="s">
        <v>508</v>
      </c>
      <c r="H22" s="10" t="s">
        <v>507</v>
      </c>
      <c r="I22" s="10"/>
      <c r="J22" s="10" t="s">
        <v>507</v>
      </c>
      <c r="K22" s="12"/>
      <c r="L22" s="26"/>
      <c r="S22" s="13"/>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c r="IX22" s="18"/>
      <c r="IY22" s="18"/>
      <c r="IZ22" s="18"/>
      <c r="JA22" s="18"/>
      <c r="JB22" s="18"/>
      <c r="JC22" s="18"/>
      <c r="JD22" s="18"/>
      <c r="JE22" s="18"/>
      <c r="JF22" s="18"/>
      <c r="JG22" s="18"/>
      <c r="JH22" s="18"/>
      <c r="JI22" s="18"/>
      <c r="JJ22" s="18"/>
      <c r="JK22" s="18"/>
      <c r="JL22" s="18"/>
      <c r="JM22" s="18"/>
      <c r="JN22" s="18"/>
      <c r="JO22" s="18"/>
      <c r="JP22" s="18"/>
      <c r="JQ22" s="18"/>
      <c r="JR22" s="18"/>
      <c r="JS22" s="18"/>
      <c r="JT22" s="18"/>
      <c r="JU22" s="18"/>
      <c r="JV22" s="18"/>
      <c r="JW22" s="18"/>
      <c r="JX22" s="18"/>
      <c r="JY22" s="18"/>
      <c r="JZ22" s="18"/>
      <c r="KA22" s="18"/>
      <c r="KB22" s="18"/>
      <c r="KC22" s="18"/>
      <c r="KD22" s="18"/>
      <c r="KE22" s="18"/>
      <c r="KF22" s="18"/>
      <c r="KG22" s="18"/>
      <c r="KH22" s="18"/>
      <c r="KI22" s="18"/>
      <c r="KJ22" s="18"/>
      <c r="KK22" s="18"/>
      <c r="KL22" s="18"/>
      <c r="KM22" s="18"/>
      <c r="KN22" s="18"/>
      <c r="KO22" s="18"/>
      <c r="KP22" s="18"/>
      <c r="KQ22" s="18"/>
      <c r="KR22" s="18"/>
      <c r="KS22" s="18"/>
      <c r="KT22" s="18"/>
      <c r="KU22" s="18"/>
      <c r="KV22" s="18"/>
      <c r="KW22" s="18"/>
      <c r="KX22" s="18"/>
      <c r="KY22" s="18"/>
      <c r="KZ22" s="18"/>
      <c r="LA22" s="18"/>
      <c r="LB22" s="18"/>
      <c r="LC22" s="18"/>
      <c r="LD22" s="18"/>
      <c r="LE22" s="18"/>
      <c r="LF22" s="18"/>
      <c r="LG22" s="18"/>
      <c r="LH22" s="18"/>
      <c r="LI22" s="18"/>
      <c r="LJ22" s="18"/>
      <c r="LK22" s="18"/>
      <c r="LL22" s="18"/>
      <c r="LM22" s="18"/>
      <c r="LN22" s="18"/>
      <c r="LO22" s="18"/>
      <c r="LP22" s="18"/>
      <c r="LQ22" s="18"/>
      <c r="LR22" s="18"/>
      <c r="LS22" s="18"/>
      <c r="LT22" s="18"/>
      <c r="LU22" s="18"/>
      <c r="LV22" s="18"/>
      <c r="LW22" s="18"/>
      <c r="LX22" s="18"/>
      <c r="LY22" s="18"/>
      <c r="LZ22" s="18"/>
      <c r="MA22" s="18"/>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c r="NL22" s="18"/>
      <c r="NM22" s="18"/>
      <c r="NN22" s="18"/>
      <c r="NO22" s="18"/>
      <c r="NP22" s="18"/>
      <c r="NQ22" s="18"/>
      <c r="NR22" s="18"/>
      <c r="NS22" s="18"/>
      <c r="NT22" s="18"/>
      <c r="NU22" s="18"/>
      <c r="NV22" s="18"/>
      <c r="NW22" s="18"/>
      <c r="NX22" s="18"/>
      <c r="NY22" s="18"/>
      <c r="NZ22" s="18"/>
      <c r="OA22" s="18"/>
      <c r="OB22" s="18"/>
      <c r="OC22" s="18"/>
      <c r="OD22" s="18"/>
      <c r="OE22" s="18"/>
      <c r="OF22" s="18"/>
      <c r="OG22" s="18"/>
      <c r="OH22" s="18"/>
      <c r="OI22" s="18"/>
      <c r="OJ22" s="18"/>
      <c r="OK22" s="18"/>
      <c r="OL22" s="18"/>
      <c r="OM22" s="18"/>
      <c r="ON22" s="18"/>
      <c r="OO22" s="18"/>
      <c r="OP22" s="18"/>
      <c r="OQ22" s="18"/>
      <c r="OR22" s="18"/>
      <c r="OS22" s="18"/>
      <c r="OT22" s="18"/>
      <c r="OU22" s="18"/>
      <c r="OV22" s="18"/>
      <c r="OW22" s="18"/>
      <c r="OX22" s="18"/>
      <c r="OY22" s="18"/>
      <c r="OZ22" s="18"/>
      <c r="PA22" s="18"/>
      <c r="PB22" s="18"/>
      <c r="PC22" s="18"/>
      <c r="PD22" s="18"/>
      <c r="PE22" s="18"/>
      <c r="PF22" s="18"/>
      <c r="PG22" s="18"/>
      <c r="PH22" s="18"/>
      <c r="PI22" s="18"/>
      <c r="PJ22" s="18"/>
      <c r="PK22" s="18"/>
      <c r="PL22" s="18"/>
      <c r="PM22" s="18"/>
      <c r="PN22" s="18"/>
      <c r="PO22" s="18"/>
      <c r="PP22" s="18"/>
      <c r="PQ22" s="18"/>
      <c r="PR22" s="18"/>
      <c r="PS22" s="18"/>
      <c r="PT22" s="18"/>
      <c r="PU22" s="18"/>
      <c r="PV22" s="18"/>
      <c r="PW22" s="18"/>
      <c r="PX22" s="18"/>
      <c r="PY22" s="18"/>
      <c r="PZ22" s="18"/>
      <c r="QA22" s="18"/>
      <c r="QB22" s="18"/>
      <c r="QC22" s="18"/>
      <c r="QD22" s="18"/>
      <c r="QE22" s="18"/>
      <c r="QF22" s="18"/>
      <c r="QG22" s="18"/>
      <c r="QH22" s="18"/>
      <c r="QI22" s="18"/>
      <c r="QJ22" s="18"/>
      <c r="QK22" s="18"/>
      <c r="QL22" s="18"/>
      <c r="QM22" s="18"/>
      <c r="QN22" s="18"/>
      <c r="QO22" s="18"/>
      <c r="QP22" s="18"/>
      <c r="QQ22" s="18"/>
      <c r="QR22" s="18"/>
      <c r="QS22" s="18"/>
      <c r="QT22" s="18"/>
      <c r="QU22" s="18"/>
      <c r="QV22" s="18"/>
      <c r="QW22" s="18"/>
      <c r="QX22" s="18"/>
      <c r="QY22" s="18"/>
      <c r="QZ22" s="18"/>
      <c r="RA22" s="18"/>
      <c r="RB22" s="18"/>
      <c r="RC22" s="18"/>
      <c r="RD22" s="18"/>
      <c r="RE22" s="18"/>
      <c r="RF22" s="18"/>
      <c r="RG22" s="18"/>
      <c r="RH22" s="18"/>
      <c r="RI22" s="18"/>
      <c r="RJ22" s="18"/>
      <c r="RK22" s="18"/>
      <c r="RL22" s="18"/>
      <c r="RM22" s="18"/>
      <c r="RN22" s="18"/>
      <c r="RO22" s="18"/>
      <c r="RP22" s="18"/>
      <c r="RQ22" s="18"/>
      <c r="RR22" s="18"/>
      <c r="RS22" s="18"/>
      <c r="RT22" s="18"/>
      <c r="RU22" s="18"/>
      <c r="RV22" s="18"/>
      <c r="RW22" s="18"/>
      <c r="RX22" s="18"/>
      <c r="RY22" s="18"/>
      <c r="RZ22" s="18"/>
      <c r="SA22" s="18"/>
      <c r="SB22" s="18"/>
      <c r="SC22" s="18"/>
      <c r="SD22" s="18"/>
      <c r="SE22" s="18"/>
      <c r="SF22" s="18"/>
      <c r="SG22" s="18"/>
      <c r="SH22" s="18"/>
      <c r="SI22" s="18"/>
      <c r="SJ22" s="18"/>
      <c r="SK22" s="18"/>
      <c r="SL22" s="18"/>
      <c r="SM22" s="18"/>
      <c r="SN22" s="18"/>
      <c r="SO22" s="18"/>
      <c r="SP22" s="18"/>
      <c r="SQ22" s="18"/>
      <c r="SR22" s="18"/>
      <c r="SS22" s="18"/>
      <c r="ST22" s="18"/>
      <c r="SU22" s="18"/>
      <c r="SV22" s="18"/>
      <c r="SW22" s="18"/>
      <c r="SX22" s="18"/>
      <c r="SY22" s="18"/>
      <c r="SZ22" s="18"/>
      <c r="TA22" s="18"/>
      <c r="TB22" s="18"/>
      <c r="TC22" s="18"/>
      <c r="TD22" s="18"/>
      <c r="TE22" s="18"/>
      <c r="TF22" s="18"/>
      <c r="TG22" s="18"/>
      <c r="TH22" s="18"/>
      <c r="TI22" s="18"/>
      <c r="TJ22" s="18"/>
      <c r="TK22" s="18"/>
      <c r="TL22" s="18"/>
      <c r="TM22" s="18"/>
      <c r="TN22" s="18"/>
      <c r="TO22" s="18"/>
      <c r="TP22" s="18"/>
      <c r="TQ22" s="18"/>
      <c r="TR22" s="18"/>
      <c r="TS22" s="18"/>
      <c r="TT22" s="18"/>
      <c r="TU22" s="18"/>
      <c r="TV22" s="18"/>
      <c r="TW22" s="18"/>
      <c r="TX22" s="18"/>
      <c r="TY22" s="18"/>
      <c r="TZ22" s="18"/>
      <c r="UA22" s="18"/>
      <c r="UB22" s="18"/>
      <c r="UC22" s="18"/>
      <c r="UD22" s="18"/>
      <c r="UE22" s="18"/>
      <c r="UF22" s="18"/>
      <c r="UG22" s="18"/>
      <c r="UH22" s="18"/>
      <c r="UI22" s="18"/>
      <c r="UJ22" s="18"/>
      <c r="UK22" s="18"/>
      <c r="UL22" s="18"/>
      <c r="UM22" s="18"/>
      <c r="UN22" s="18"/>
      <c r="UO22" s="18"/>
      <c r="UP22" s="18"/>
      <c r="UQ22" s="18"/>
      <c r="UR22" s="18"/>
      <c r="US22" s="18"/>
      <c r="UT22" s="18"/>
      <c r="UU22" s="18"/>
      <c r="UV22" s="18"/>
      <c r="UW22" s="18"/>
      <c r="UX22" s="18"/>
      <c r="UY22" s="18"/>
      <c r="UZ22" s="18"/>
      <c r="VA22" s="18"/>
      <c r="VB22" s="18"/>
      <c r="VC22" s="18"/>
      <c r="VD22" s="18"/>
      <c r="VE22" s="18"/>
      <c r="VF22" s="18"/>
      <c r="VG22" s="18"/>
      <c r="VH22" s="18"/>
      <c r="VI22" s="18"/>
      <c r="VJ22" s="18"/>
      <c r="VK22" s="18"/>
      <c r="VL22" s="18"/>
      <c r="VM22" s="18"/>
      <c r="VN22" s="18"/>
      <c r="VO22" s="18"/>
      <c r="VP22" s="18"/>
      <c r="VQ22" s="18"/>
      <c r="VR22" s="18"/>
      <c r="VS22" s="18"/>
      <c r="VT22" s="18"/>
      <c r="VU22" s="18"/>
      <c r="VV22" s="18"/>
      <c r="VW22" s="18"/>
      <c r="VX22" s="18"/>
      <c r="VY22" s="18"/>
      <c r="VZ22" s="18"/>
      <c r="WA22" s="18"/>
      <c r="WB22" s="18"/>
      <c r="WC22" s="18"/>
      <c r="WD22" s="18"/>
      <c r="WE22" s="18"/>
      <c r="WF22" s="18"/>
      <c r="WG22" s="18"/>
      <c r="WH22" s="18"/>
      <c r="WI22" s="18"/>
      <c r="WJ22" s="18"/>
      <c r="WK22" s="18"/>
      <c r="WL22" s="18"/>
      <c r="WM22" s="18"/>
      <c r="WN22" s="18"/>
      <c r="WO22" s="18"/>
      <c r="WP22" s="18"/>
      <c r="WQ22" s="18"/>
      <c r="WR22" s="18"/>
      <c r="WS22" s="18"/>
      <c r="WT22" s="18"/>
      <c r="WU22" s="18"/>
      <c r="WV22" s="18"/>
      <c r="WW22" s="18"/>
      <c r="WX22" s="18"/>
      <c r="WY22" s="18"/>
      <c r="WZ22" s="18"/>
      <c r="XA22" s="18"/>
      <c r="XB22" s="18"/>
      <c r="XC22" s="18"/>
      <c r="XD22" s="18"/>
      <c r="XE22" s="18"/>
      <c r="XF22" s="18"/>
      <c r="XG22" s="18"/>
      <c r="XH22" s="18"/>
      <c r="XI22" s="18"/>
      <c r="XJ22" s="18"/>
      <c r="XK22" s="18"/>
      <c r="XL22" s="18"/>
      <c r="XM22" s="18"/>
      <c r="XN22" s="18"/>
      <c r="XO22" s="18"/>
      <c r="XP22" s="18"/>
      <c r="XQ22" s="18"/>
      <c r="XR22" s="18"/>
      <c r="XS22" s="18"/>
      <c r="XT22" s="18"/>
      <c r="XU22" s="18"/>
      <c r="XV22" s="18"/>
      <c r="XW22" s="18"/>
      <c r="XX22" s="18"/>
      <c r="XY22" s="18"/>
      <c r="XZ22" s="18"/>
      <c r="YA22" s="18"/>
      <c r="YB22" s="18"/>
      <c r="YC22" s="18"/>
      <c r="YD22" s="18"/>
      <c r="YE22" s="18"/>
      <c r="YF22" s="18"/>
      <c r="YG22" s="18"/>
      <c r="YH22" s="18"/>
      <c r="YI22" s="18"/>
      <c r="YJ22" s="18"/>
      <c r="YK22" s="18"/>
      <c r="YL22" s="18"/>
      <c r="YM22" s="18"/>
      <c r="YN22" s="18"/>
      <c r="YO22" s="18"/>
      <c r="YP22" s="18"/>
      <c r="YQ22" s="18"/>
      <c r="YR22" s="18"/>
      <c r="YS22" s="18"/>
      <c r="YT22" s="18"/>
      <c r="YU22" s="18"/>
      <c r="YV22" s="18"/>
      <c r="YW22" s="18"/>
      <c r="YX22" s="18"/>
      <c r="YY22" s="18"/>
      <c r="YZ22" s="18"/>
      <c r="ZA22" s="18"/>
      <c r="ZB22" s="18"/>
      <c r="ZC22" s="18"/>
      <c r="ZD22" s="18"/>
      <c r="ZE22" s="18"/>
      <c r="ZF22" s="18"/>
      <c r="ZG22" s="18"/>
      <c r="ZH22" s="18"/>
      <c r="ZI22" s="18"/>
      <c r="ZJ22" s="18"/>
      <c r="ZK22" s="18"/>
      <c r="ZL22" s="18"/>
      <c r="ZM22" s="18"/>
      <c r="ZN22" s="18"/>
      <c r="ZO22" s="18"/>
      <c r="ZP22" s="18"/>
      <c r="ZQ22" s="18"/>
      <c r="ZR22" s="18"/>
      <c r="ZS22" s="18"/>
      <c r="ZT22" s="18"/>
      <c r="ZU22" s="18"/>
      <c r="ZV22" s="18"/>
      <c r="ZW22" s="18"/>
      <c r="ZX22" s="18"/>
      <c r="ZY22" s="18"/>
      <c r="ZZ22" s="18"/>
      <c r="AAA22" s="18"/>
      <c r="AAB22" s="18"/>
      <c r="AAC22" s="18"/>
      <c r="AAD22" s="18"/>
      <c r="AAE22" s="18"/>
      <c r="AAF22" s="18"/>
      <c r="AAG22" s="18"/>
      <c r="AAH22" s="18"/>
      <c r="AAI22" s="18"/>
      <c r="AAJ22" s="18"/>
      <c r="AAK22" s="18"/>
      <c r="AAL22" s="18"/>
      <c r="AAM22" s="18"/>
      <c r="AAN22" s="18"/>
      <c r="AAO22" s="18"/>
      <c r="AAP22" s="18"/>
      <c r="AAQ22" s="18"/>
      <c r="AAR22" s="18"/>
      <c r="AAS22" s="18"/>
      <c r="AAT22" s="18"/>
      <c r="AAU22" s="18"/>
      <c r="AAV22" s="18"/>
      <c r="AAW22" s="18"/>
      <c r="AAX22" s="18"/>
      <c r="AAY22" s="18"/>
      <c r="AAZ22" s="18"/>
      <c r="ABA22" s="18"/>
      <c r="ABB22" s="18"/>
      <c r="ABC22" s="18"/>
      <c r="ABD22" s="18"/>
      <c r="ABE22" s="18"/>
      <c r="ABF22" s="18"/>
      <c r="ABG22" s="18"/>
      <c r="ABH22" s="18"/>
      <c r="ABI22" s="18"/>
      <c r="ABJ22" s="18"/>
      <c r="ABK22" s="18"/>
      <c r="ABL22" s="18"/>
      <c r="ABM22" s="18"/>
      <c r="ABN22" s="18"/>
      <c r="ABO22" s="18"/>
      <c r="ABP22" s="18"/>
      <c r="ABQ22" s="18"/>
      <c r="ABR22" s="18"/>
      <c r="ABS22" s="18"/>
      <c r="ABT22" s="18"/>
      <c r="ABU22" s="18"/>
      <c r="ABV22" s="18"/>
      <c r="ABW22" s="18"/>
      <c r="ABX22" s="18"/>
      <c r="ABY22" s="18"/>
      <c r="ABZ22" s="18"/>
      <c r="ACA22" s="18"/>
      <c r="ACB22" s="18"/>
      <c r="ACC22" s="18"/>
      <c r="ACD22" s="18"/>
      <c r="ACE22" s="18"/>
      <c r="ACF22" s="18"/>
      <c r="ACG22" s="18"/>
      <c r="ACH22" s="18"/>
      <c r="ACI22" s="18"/>
      <c r="ACJ22" s="18"/>
      <c r="ACK22" s="18"/>
      <c r="ACL22" s="18"/>
      <c r="ACM22" s="18"/>
      <c r="ACN22" s="18"/>
      <c r="ACO22" s="18"/>
      <c r="ACP22" s="18"/>
      <c r="ACQ22" s="18"/>
      <c r="ACR22" s="18"/>
      <c r="ACS22" s="18"/>
      <c r="ACT22" s="18"/>
      <c r="ACU22" s="18"/>
      <c r="ACV22" s="18"/>
      <c r="ACW22" s="18"/>
      <c r="ACX22" s="18"/>
      <c r="ACY22" s="18"/>
      <c r="ACZ22" s="18"/>
      <c r="ADA22" s="18"/>
      <c r="ADB22" s="18"/>
      <c r="ADC22" s="18"/>
      <c r="ADD22" s="18"/>
      <c r="ADE22" s="18"/>
      <c r="ADF22" s="18"/>
      <c r="ADG22" s="18"/>
      <c r="ADH22" s="18"/>
      <c r="ADI22" s="18"/>
      <c r="ADJ22" s="18"/>
      <c r="ADK22" s="18"/>
      <c r="ADL22" s="18"/>
      <c r="ADM22" s="18"/>
      <c r="ADN22" s="18"/>
      <c r="ADO22" s="18"/>
      <c r="ADP22" s="18"/>
      <c r="ADQ22" s="18"/>
      <c r="ADR22" s="18"/>
      <c r="ADS22" s="18"/>
      <c r="ADT22" s="18"/>
      <c r="ADU22" s="18"/>
      <c r="ADV22" s="18"/>
      <c r="ADW22" s="18"/>
      <c r="ADX22" s="18"/>
      <c r="ADY22" s="18"/>
      <c r="ADZ22" s="18"/>
      <c r="AEA22" s="18"/>
      <c r="AEB22" s="18"/>
      <c r="AEC22" s="18"/>
      <c r="AED22" s="18"/>
      <c r="AEE22" s="18"/>
      <c r="AEF22" s="18"/>
      <c r="AEG22" s="18"/>
      <c r="AEH22" s="18"/>
      <c r="AEI22" s="18"/>
      <c r="AEJ22" s="18"/>
      <c r="AEK22" s="18"/>
      <c r="AEL22" s="18"/>
      <c r="AEM22" s="18"/>
      <c r="AEN22" s="18"/>
      <c r="AEO22" s="18"/>
      <c r="AEP22" s="18"/>
      <c r="AEQ22" s="18"/>
      <c r="AER22" s="18"/>
      <c r="AES22" s="18"/>
      <c r="AET22" s="18"/>
      <c r="AEU22" s="18"/>
      <c r="AEV22" s="18"/>
      <c r="AEW22" s="18"/>
      <c r="AEX22" s="18"/>
      <c r="AEY22" s="18"/>
      <c r="AEZ22" s="18"/>
      <c r="AFA22" s="18"/>
      <c r="AFB22" s="18"/>
      <c r="AFC22" s="18"/>
      <c r="AFD22" s="18"/>
      <c r="AFE22" s="18"/>
      <c r="AFF22" s="18"/>
      <c r="AFG22" s="18"/>
      <c r="AFH22" s="18"/>
      <c r="AFI22" s="18"/>
      <c r="AFJ22" s="18"/>
      <c r="AFK22" s="18"/>
      <c r="AFL22" s="18"/>
      <c r="AFM22" s="18"/>
      <c r="AFN22" s="18"/>
      <c r="AFO22" s="18"/>
      <c r="AFP22" s="18"/>
      <c r="AFQ22" s="18"/>
      <c r="AFR22" s="18"/>
      <c r="AFS22" s="18"/>
      <c r="AFT22" s="18"/>
      <c r="AFU22" s="18"/>
      <c r="AFV22" s="18"/>
      <c r="AFW22" s="18"/>
      <c r="AFX22" s="18"/>
      <c r="AFY22" s="18"/>
      <c r="AFZ22" s="18"/>
      <c r="AGA22" s="18"/>
      <c r="AGB22" s="18"/>
      <c r="AGC22" s="18"/>
      <c r="AGD22" s="18"/>
      <c r="AGE22" s="18"/>
      <c r="AGF22" s="18"/>
      <c r="AGG22" s="18"/>
      <c r="AGH22" s="18"/>
      <c r="AGI22" s="18"/>
      <c r="AGJ22" s="18"/>
      <c r="AGK22" s="18"/>
      <c r="AGL22" s="18"/>
      <c r="AGM22" s="18"/>
      <c r="AGN22" s="18"/>
      <c r="AGO22" s="18"/>
      <c r="AGP22" s="18"/>
      <c r="AGQ22" s="18"/>
      <c r="AGR22" s="18"/>
      <c r="AGS22" s="18"/>
      <c r="AGT22" s="18"/>
      <c r="AGU22" s="18"/>
      <c r="AGV22" s="18"/>
      <c r="AGW22" s="18"/>
      <c r="AGX22" s="18"/>
      <c r="AGY22" s="18"/>
      <c r="AGZ22" s="18"/>
      <c r="AHA22" s="18"/>
      <c r="AHB22" s="18"/>
      <c r="AHC22" s="18"/>
      <c r="AHD22" s="18"/>
      <c r="AHE22" s="18"/>
      <c r="AHF22" s="18"/>
      <c r="AHG22" s="18"/>
      <c r="AHH22" s="18"/>
      <c r="AHI22" s="18"/>
      <c r="AHJ22" s="18"/>
      <c r="AHK22" s="18"/>
      <c r="AHL22" s="18"/>
      <c r="AHM22" s="18"/>
      <c r="AHN22" s="18"/>
      <c r="AHO22" s="18"/>
      <c r="AHP22" s="18"/>
      <c r="AHQ22" s="18"/>
      <c r="AHR22" s="18"/>
      <c r="AHS22" s="18"/>
      <c r="AHT22" s="18"/>
      <c r="AHU22" s="18"/>
      <c r="AHV22" s="18"/>
      <c r="AHW22" s="18"/>
      <c r="AHX22" s="18"/>
      <c r="AHY22" s="18"/>
      <c r="AHZ22" s="18"/>
      <c r="AIA22" s="18"/>
      <c r="AIB22" s="18"/>
      <c r="AIC22" s="18"/>
      <c r="AID22" s="18"/>
      <c r="AIE22" s="18"/>
      <c r="AIF22" s="18"/>
      <c r="AIG22" s="18"/>
      <c r="AIH22" s="18"/>
      <c r="AII22" s="18"/>
      <c r="AIJ22" s="18"/>
      <c r="AIK22" s="18"/>
      <c r="AIL22" s="18"/>
      <c r="AIM22" s="18"/>
      <c r="AIN22" s="18"/>
      <c r="AIO22" s="18"/>
      <c r="AIP22" s="18"/>
      <c r="AIQ22" s="18"/>
      <c r="AIR22" s="18"/>
      <c r="AIS22" s="18"/>
      <c r="AIT22" s="18"/>
      <c r="AIU22" s="18"/>
      <c r="AIV22" s="18"/>
      <c r="AIW22" s="18"/>
      <c r="AIX22" s="18"/>
      <c r="AIY22" s="18"/>
      <c r="AIZ22" s="18"/>
      <c r="AJA22" s="18"/>
      <c r="AJB22" s="18"/>
      <c r="AJC22" s="18"/>
      <c r="AJD22" s="18"/>
      <c r="AJE22" s="18"/>
      <c r="AJF22" s="18"/>
      <c r="AJG22" s="18"/>
      <c r="AJH22" s="18"/>
      <c r="AJI22" s="18"/>
      <c r="AJJ22" s="18"/>
      <c r="AJK22" s="18"/>
      <c r="AJL22" s="18"/>
      <c r="AJM22" s="18"/>
      <c r="AJN22" s="18"/>
      <c r="AJO22" s="18"/>
      <c r="AJP22" s="18"/>
      <c r="AJQ22" s="18"/>
      <c r="AJR22" s="18"/>
      <c r="AJS22" s="18"/>
      <c r="AJT22" s="18"/>
      <c r="AJU22" s="18"/>
      <c r="AJV22" s="18"/>
      <c r="AJW22" s="18"/>
      <c r="AJX22" s="18"/>
      <c r="AJY22" s="18"/>
      <c r="AJZ22" s="18"/>
      <c r="AKA22" s="18"/>
      <c r="AKB22" s="18"/>
      <c r="AKC22" s="18"/>
      <c r="AKD22" s="18"/>
      <c r="AKE22" s="18"/>
      <c r="AKF22" s="18"/>
      <c r="AKG22" s="18"/>
      <c r="AKH22" s="18"/>
      <c r="AKI22" s="18"/>
      <c r="AKJ22" s="18"/>
      <c r="AKK22" s="18"/>
      <c r="AKL22" s="18"/>
      <c r="AKM22" s="18"/>
      <c r="AKN22" s="18"/>
      <c r="AKO22" s="18"/>
      <c r="AKP22" s="18"/>
      <c r="AKQ22" s="18"/>
      <c r="AKR22" s="18"/>
      <c r="AKS22" s="18"/>
      <c r="AKT22" s="18"/>
      <c r="AKU22" s="18"/>
      <c r="AKV22" s="18"/>
      <c r="AKW22" s="18"/>
      <c r="AKX22" s="18"/>
      <c r="AKY22" s="18"/>
      <c r="AKZ22" s="18"/>
      <c r="ALA22" s="18"/>
      <c r="ALB22" s="18"/>
      <c r="ALC22" s="18"/>
      <c r="ALD22" s="18"/>
      <c r="ALE22" s="18"/>
      <c r="ALF22" s="18"/>
      <c r="ALG22" s="18"/>
      <c r="ALH22" s="18"/>
      <c r="ALI22" s="18"/>
      <c r="ALJ22" s="18"/>
      <c r="ALK22" s="18"/>
      <c r="ALL22" s="18"/>
      <c r="ALM22" s="18"/>
      <c r="ALN22" s="18"/>
      <c r="ALO22" s="18"/>
      <c r="ALP22" s="18"/>
      <c r="ALQ22" s="18"/>
      <c r="ALR22" s="18"/>
      <c r="ALS22" s="18"/>
      <c r="ALT22" s="18"/>
      <c r="ALU22" s="18"/>
      <c r="ALV22" s="18"/>
      <c r="ALW22" s="18"/>
      <c r="ALX22" s="18"/>
      <c r="ALY22" s="18"/>
      <c r="ALZ22" s="18"/>
      <c r="AMA22" s="18"/>
      <c r="AMB22" s="18"/>
      <c r="AMC22" s="18"/>
      <c r="AMD22" s="18"/>
      <c r="AME22" s="18"/>
      <c r="AMF22" s="18"/>
      <c r="AMG22" s="18"/>
      <c r="AMH22" s="18"/>
      <c r="AMI22" s="18"/>
      <c r="AMJ22" s="18"/>
      <c r="AMK22" s="18"/>
      <c r="AML22" s="18"/>
      <c r="AMM22" s="18"/>
    </row>
    <row r="23" spans="1:1027" s="1" customFormat="1" x14ac:dyDescent="0.2">
      <c r="A23" s="1">
        <v>1</v>
      </c>
      <c r="B23" s="1" t="s">
        <v>548</v>
      </c>
      <c r="D23" s="1">
        <v>99</v>
      </c>
      <c r="E23" s="10" t="s">
        <v>507</v>
      </c>
      <c r="F23" s="10" t="s">
        <v>508</v>
      </c>
      <c r="G23" s="11" t="s">
        <v>508</v>
      </c>
      <c r="H23" s="10"/>
      <c r="I23" s="10"/>
      <c r="J23" s="10" t="s">
        <v>549</v>
      </c>
      <c r="K23" s="12"/>
      <c r="S23" s="1" t="s">
        <v>550</v>
      </c>
    </row>
    <row r="24" spans="1:1027" s="31" customFormat="1" x14ac:dyDescent="0.2">
      <c r="A24" s="18" t="s">
        <v>504</v>
      </c>
      <c r="B24" s="18" t="s">
        <v>551</v>
      </c>
      <c r="C24" s="18"/>
      <c r="D24" s="18">
        <v>50</v>
      </c>
      <c r="E24" s="19" t="s">
        <v>506</v>
      </c>
      <c r="F24" s="19" t="s">
        <v>507</v>
      </c>
      <c r="G24" s="20" t="s">
        <v>508</v>
      </c>
      <c r="H24" s="19" t="s">
        <v>507</v>
      </c>
      <c r="I24" s="19" t="s">
        <v>507</v>
      </c>
      <c r="J24" s="19" t="s">
        <v>507</v>
      </c>
      <c r="K24" s="21" t="s">
        <v>509</v>
      </c>
      <c r="L24" s="18"/>
      <c r="M24" s="1" t="s">
        <v>510</v>
      </c>
      <c r="N24" s="1"/>
      <c r="O24" s="18"/>
      <c r="P24" s="18"/>
      <c r="Q24" s="18"/>
      <c r="R24" s="18"/>
      <c r="S24" s="13"/>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AMM24" s="29"/>
    </row>
    <row r="25" spans="1:1027" x14ac:dyDescent="0.2">
      <c r="A25" s="18" t="s">
        <v>504</v>
      </c>
      <c r="B25" s="18" t="s">
        <v>552</v>
      </c>
      <c r="C25" s="18"/>
      <c r="D25" s="18">
        <v>7</v>
      </c>
      <c r="E25" s="19" t="s">
        <v>506</v>
      </c>
      <c r="F25" s="19" t="s">
        <v>507</v>
      </c>
      <c r="G25" s="20" t="s">
        <v>508</v>
      </c>
      <c r="H25" s="19" t="s">
        <v>507</v>
      </c>
      <c r="I25" s="19" t="s">
        <v>507</v>
      </c>
      <c r="J25" s="19" t="s">
        <v>507</v>
      </c>
      <c r="K25" s="21" t="s">
        <v>509</v>
      </c>
      <c r="L25" s="18"/>
      <c r="M25" s="1" t="s">
        <v>510</v>
      </c>
      <c r="O25" s="18"/>
      <c r="P25" s="18"/>
      <c r="Q25" s="18"/>
      <c r="R25" s="18"/>
      <c r="AML25" s="31"/>
      <c r="AMM25" s="31"/>
    </row>
    <row r="26" spans="1:1027" s="18" customFormat="1" x14ac:dyDescent="0.2">
      <c r="A26" s="18" t="s">
        <v>504</v>
      </c>
      <c r="B26" s="18" t="s">
        <v>553</v>
      </c>
      <c r="D26" s="18">
        <v>8</v>
      </c>
      <c r="E26" s="19" t="s">
        <v>506</v>
      </c>
      <c r="F26" s="19" t="s">
        <v>507</v>
      </c>
      <c r="G26" s="20" t="s">
        <v>508</v>
      </c>
      <c r="H26" s="19" t="s">
        <v>507</v>
      </c>
      <c r="I26" s="19" t="s">
        <v>507</v>
      </c>
      <c r="J26" s="19" t="s">
        <v>507</v>
      </c>
      <c r="K26" s="21" t="s">
        <v>509</v>
      </c>
      <c r="M26" s="1" t="s">
        <v>510</v>
      </c>
      <c r="N26" s="1"/>
      <c r="S26" s="13"/>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spans="1:1027" s="18" customFormat="1" x14ac:dyDescent="0.2">
      <c r="A27" s="18" t="s">
        <v>521</v>
      </c>
      <c r="B27" s="18" t="s">
        <v>554</v>
      </c>
      <c r="D27" s="18">
        <v>169</v>
      </c>
      <c r="E27" s="19" t="s">
        <v>506</v>
      </c>
      <c r="F27" s="19" t="s">
        <v>507</v>
      </c>
      <c r="G27" s="20" t="s">
        <v>508</v>
      </c>
      <c r="H27" s="19" t="s">
        <v>507</v>
      </c>
      <c r="I27" s="19"/>
      <c r="J27" s="19" t="s">
        <v>507</v>
      </c>
      <c r="K27" s="23"/>
      <c r="M27" s="1"/>
      <c r="N27" s="1"/>
      <c r="S27" s="13" t="s">
        <v>555</v>
      </c>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spans="1:1027" s="18" customFormat="1" x14ac:dyDescent="0.2">
      <c r="A28" s="1" t="s">
        <v>521</v>
      </c>
      <c r="B28" s="1" t="s">
        <v>556</v>
      </c>
      <c r="C28" s="1"/>
      <c r="D28" s="1">
        <v>187</v>
      </c>
      <c r="E28" s="10" t="s">
        <v>506</v>
      </c>
      <c r="F28" s="10" t="s">
        <v>508</v>
      </c>
      <c r="G28" s="11" t="s">
        <v>508</v>
      </c>
      <c r="H28" s="10" t="s">
        <v>507</v>
      </c>
      <c r="I28" s="10"/>
      <c r="J28" s="10" t="s">
        <v>507</v>
      </c>
      <c r="K28" s="12"/>
      <c r="L28" s="26"/>
      <c r="M28" s="1"/>
      <c r="N28" s="1"/>
      <c r="O28" s="1"/>
      <c r="P28" s="1"/>
      <c r="Q28" s="1"/>
      <c r="R28" s="1"/>
      <c r="S28" s="13"/>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spans="1:1027" s="31" customFormat="1" x14ac:dyDescent="0.2">
      <c r="A29" s="1">
        <v>3</v>
      </c>
      <c r="B29" s="1" t="s">
        <v>557</v>
      </c>
      <c r="C29" s="1" t="s">
        <v>558</v>
      </c>
      <c r="D29" s="1">
        <v>51</v>
      </c>
      <c r="E29" s="24" t="s">
        <v>507</v>
      </c>
      <c r="F29" s="24" t="s">
        <v>508</v>
      </c>
      <c r="G29" s="25" t="s">
        <v>508</v>
      </c>
      <c r="H29" s="24"/>
      <c r="I29" s="24"/>
      <c r="J29" s="24" t="s">
        <v>507</v>
      </c>
      <c r="K29" s="12"/>
      <c r="L29" s="26"/>
      <c r="M29" s="1"/>
      <c r="N29" s="1"/>
      <c r="O29" s="1"/>
      <c r="P29" s="1"/>
      <c r="Q29" s="1"/>
      <c r="R29" s="1"/>
      <c r="S29" s="13"/>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AMM29" s="18"/>
    </row>
    <row r="30" spans="1:1027" s="31" customFormat="1" x14ac:dyDescent="0.2">
      <c r="A30" s="18">
        <v>4</v>
      </c>
      <c r="B30" s="18" t="s">
        <v>559</v>
      </c>
      <c r="C30" s="18" t="s">
        <v>560</v>
      </c>
      <c r="D30" s="18">
        <v>196</v>
      </c>
      <c r="E30" s="19" t="s">
        <v>507</v>
      </c>
      <c r="F30" s="19" t="s">
        <v>507</v>
      </c>
      <c r="G30" s="20" t="s">
        <v>508</v>
      </c>
      <c r="H30" s="19" t="s">
        <v>507</v>
      </c>
      <c r="I30" s="19"/>
      <c r="J30" s="32" t="s">
        <v>507</v>
      </c>
      <c r="K30" s="21" t="s">
        <v>509</v>
      </c>
      <c r="L30" s="18"/>
      <c r="M30" s="1" t="s">
        <v>514</v>
      </c>
      <c r="N30" s="1"/>
      <c r="O30" s="18"/>
      <c r="P30" s="18"/>
      <c r="Q30" s="18"/>
      <c r="R30" s="18"/>
      <c r="S30" s="13"/>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spans="1:1027" x14ac:dyDescent="0.2">
      <c r="A31" s="18" t="s">
        <v>504</v>
      </c>
      <c r="B31" s="18" t="s">
        <v>561</v>
      </c>
      <c r="C31" s="18"/>
      <c r="D31" s="18">
        <v>246</v>
      </c>
      <c r="E31" s="19" t="s">
        <v>506</v>
      </c>
      <c r="F31" s="19" t="s">
        <v>507</v>
      </c>
      <c r="G31" s="20" t="s">
        <v>540</v>
      </c>
      <c r="H31" s="19" t="s">
        <v>507</v>
      </c>
      <c r="I31" s="19" t="s">
        <v>507</v>
      </c>
      <c r="J31" s="19" t="s">
        <v>507</v>
      </c>
      <c r="K31" s="21" t="s">
        <v>509</v>
      </c>
      <c r="L31" s="18"/>
      <c r="M31" s="1" t="s">
        <v>510</v>
      </c>
      <c r="O31" s="18"/>
      <c r="P31" s="18"/>
      <c r="Q31" s="18"/>
      <c r="R31" s="18"/>
      <c r="AML31" s="31"/>
      <c r="AMM31" s="31"/>
    </row>
    <row r="32" spans="1:1027" x14ac:dyDescent="0.2">
      <c r="A32" s="18">
        <v>1</v>
      </c>
      <c r="B32" s="18" t="s">
        <v>17</v>
      </c>
      <c r="C32" s="18"/>
      <c r="D32" s="18">
        <v>15</v>
      </c>
      <c r="E32" s="19" t="s">
        <v>507</v>
      </c>
      <c r="F32" s="19" t="s">
        <v>507</v>
      </c>
      <c r="G32" s="20" t="s">
        <v>507</v>
      </c>
      <c r="H32" s="19" t="s">
        <v>507</v>
      </c>
      <c r="I32" s="19" t="s">
        <v>507</v>
      </c>
      <c r="J32" s="19" t="s">
        <v>507</v>
      </c>
      <c r="K32" s="21" t="s">
        <v>509</v>
      </c>
      <c r="L32" s="18"/>
      <c r="M32" s="1" t="s">
        <v>510</v>
      </c>
      <c r="O32" s="18"/>
      <c r="P32" s="18"/>
      <c r="Q32" s="18"/>
      <c r="R32" s="18"/>
      <c r="T32" s="6"/>
      <c r="AA32" s="30"/>
      <c r="AB32" s="30"/>
      <c r="AD32" s="33"/>
      <c r="AE32" s="33"/>
    </row>
    <row r="33" spans="1:1027" s="18" customFormat="1" x14ac:dyDescent="0.2">
      <c r="A33" s="18" t="s">
        <v>504</v>
      </c>
      <c r="B33" s="18" t="s">
        <v>562</v>
      </c>
      <c r="D33" s="18">
        <v>41</v>
      </c>
      <c r="E33" s="19" t="s">
        <v>506</v>
      </c>
      <c r="F33" s="19" t="s">
        <v>507</v>
      </c>
      <c r="G33" s="20" t="s">
        <v>508</v>
      </c>
      <c r="H33" s="19" t="s">
        <v>507</v>
      </c>
      <c r="I33" s="19" t="s">
        <v>507</v>
      </c>
      <c r="J33" s="19" t="s">
        <v>507</v>
      </c>
      <c r="K33" s="21" t="s">
        <v>509</v>
      </c>
      <c r="M33" s="1" t="s">
        <v>510</v>
      </c>
      <c r="N33" s="1"/>
      <c r="S33" s="13"/>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spans="1:1027" s="18" customFormat="1" x14ac:dyDescent="0.2">
      <c r="A34" s="18" t="s">
        <v>504</v>
      </c>
      <c r="B34" s="18" t="s">
        <v>563</v>
      </c>
      <c r="D34" s="18">
        <v>365</v>
      </c>
      <c r="E34" s="19" t="s">
        <v>506</v>
      </c>
      <c r="F34" s="19" t="s">
        <v>507</v>
      </c>
      <c r="G34" s="20" t="s">
        <v>540</v>
      </c>
      <c r="H34" s="19" t="s">
        <v>507</v>
      </c>
      <c r="I34" s="19" t="s">
        <v>507</v>
      </c>
      <c r="J34" s="19" t="s">
        <v>507</v>
      </c>
      <c r="K34" s="21" t="s">
        <v>509</v>
      </c>
      <c r="M34" s="1" t="s">
        <v>510</v>
      </c>
      <c r="N34" s="1"/>
      <c r="S34" s="13"/>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spans="1:1027" s="34" customFormat="1" x14ac:dyDescent="0.2">
      <c r="A35" s="18">
        <v>4</v>
      </c>
      <c r="B35" s="18" t="s">
        <v>564</v>
      </c>
      <c r="C35" s="18" t="s">
        <v>565</v>
      </c>
      <c r="D35" s="18">
        <v>47</v>
      </c>
      <c r="E35" s="19" t="s">
        <v>507</v>
      </c>
      <c r="F35" s="19" t="s">
        <v>507</v>
      </c>
      <c r="G35" s="20" t="s">
        <v>508</v>
      </c>
      <c r="H35" s="19" t="s">
        <v>507</v>
      </c>
      <c r="I35" s="19" t="s">
        <v>507</v>
      </c>
      <c r="J35" s="19" t="s">
        <v>507</v>
      </c>
      <c r="K35" s="21" t="s">
        <v>509</v>
      </c>
      <c r="L35" s="18"/>
      <c r="M35" s="1" t="s">
        <v>510</v>
      </c>
      <c r="N35" s="1"/>
      <c r="O35" s="18"/>
      <c r="P35" s="18"/>
      <c r="Q35" s="18"/>
      <c r="R35" s="18"/>
      <c r="S35" s="13"/>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c r="SG35" s="18"/>
      <c r="SH35" s="18"/>
      <c r="SI35" s="18"/>
      <c r="SJ35" s="18"/>
      <c r="SK35" s="18"/>
      <c r="SL35" s="18"/>
      <c r="SM35" s="18"/>
      <c r="SN35" s="18"/>
      <c r="SO35" s="18"/>
      <c r="SP35" s="18"/>
      <c r="SQ35" s="18"/>
      <c r="SR35" s="18"/>
      <c r="SS35" s="18"/>
      <c r="ST35" s="18"/>
      <c r="SU35" s="18"/>
      <c r="SV35" s="18"/>
      <c r="SW35" s="18"/>
      <c r="SX35" s="18"/>
      <c r="SY35" s="18"/>
      <c r="SZ35" s="18"/>
      <c r="TA35" s="18"/>
      <c r="TB35" s="18"/>
      <c r="TC35" s="18"/>
      <c r="TD35" s="18"/>
      <c r="TE35" s="18"/>
      <c r="TF35" s="18"/>
      <c r="TG35" s="18"/>
      <c r="TH35" s="18"/>
      <c r="TI35" s="18"/>
      <c r="TJ35" s="18"/>
      <c r="TK35" s="18"/>
      <c r="TL35" s="18"/>
      <c r="TM35" s="18"/>
      <c r="TN35" s="18"/>
      <c r="TO35" s="18"/>
      <c r="TP35" s="18"/>
      <c r="TQ35" s="18"/>
      <c r="TR35" s="18"/>
      <c r="TS35" s="18"/>
      <c r="TT35" s="18"/>
      <c r="TU35" s="18"/>
      <c r="TV35" s="18"/>
      <c r="TW35" s="18"/>
      <c r="TX35" s="18"/>
      <c r="TY35" s="18"/>
      <c r="TZ35" s="18"/>
      <c r="UA35" s="18"/>
      <c r="UB35" s="18"/>
      <c r="UC35" s="18"/>
      <c r="UD35" s="18"/>
      <c r="UE35" s="18"/>
      <c r="UF35" s="18"/>
      <c r="UG35" s="18"/>
      <c r="UH35" s="18"/>
      <c r="UI35" s="18"/>
      <c r="UJ35" s="18"/>
      <c r="UK35" s="18"/>
      <c r="UL35" s="18"/>
      <c r="UM35" s="18"/>
      <c r="UN35" s="18"/>
      <c r="UO35" s="18"/>
      <c r="UP35" s="18"/>
      <c r="UQ35" s="18"/>
      <c r="UR35" s="18"/>
      <c r="US35" s="18"/>
      <c r="UT35" s="18"/>
      <c r="UU35" s="18"/>
      <c r="UV35" s="18"/>
      <c r="UW35" s="18"/>
      <c r="UX35" s="18"/>
      <c r="UY35" s="18"/>
      <c r="UZ35" s="18"/>
      <c r="VA35" s="18"/>
      <c r="VB35" s="18"/>
      <c r="VC35" s="18"/>
      <c r="VD35" s="18"/>
      <c r="VE35" s="18"/>
      <c r="VF35" s="18"/>
      <c r="VG35" s="18"/>
      <c r="VH35" s="18"/>
      <c r="VI35" s="18"/>
      <c r="VJ35" s="18"/>
      <c r="VK35" s="18"/>
      <c r="VL35" s="18"/>
      <c r="VM35" s="18"/>
      <c r="VN35" s="18"/>
      <c r="VO35" s="18"/>
      <c r="VP35" s="18"/>
      <c r="VQ35" s="18"/>
      <c r="VR35" s="18"/>
      <c r="VS35" s="18"/>
      <c r="VT35" s="18"/>
      <c r="VU35" s="18"/>
      <c r="VV35" s="18"/>
      <c r="VW35" s="18"/>
      <c r="VX35" s="18"/>
      <c r="VY35" s="18"/>
      <c r="VZ35" s="18"/>
      <c r="WA35" s="18"/>
      <c r="WB35" s="18"/>
      <c r="WC35" s="18"/>
      <c r="WD35" s="18"/>
      <c r="WE35" s="18"/>
      <c r="WF35" s="18"/>
      <c r="WG35" s="18"/>
      <c r="WH35" s="18"/>
      <c r="WI35" s="18"/>
      <c r="WJ35" s="18"/>
      <c r="WK35" s="18"/>
      <c r="WL35" s="18"/>
      <c r="WM35" s="18"/>
      <c r="WN35" s="18"/>
      <c r="WO35" s="18"/>
      <c r="WP35" s="18"/>
      <c r="WQ35" s="18"/>
      <c r="WR35" s="18"/>
      <c r="WS35" s="18"/>
      <c r="WT35" s="18"/>
      <c r="WU35" s="18"/>
      <c r="WV35" s="18"/>
      <c r="WW35" s="18"/>
      <c r="WX35" s="18"/>
      <c r="WY35" s="18"/>
      <c r="WZ35" s="18"/>
      <c r="XA35" s="18"/>
      <c r="XB35" s="18"/>
      <c r="XC35" s="18"/>
      <c r="XD35" s="18"/>
      <c r="XE35" s="18"/>
      <c r="XF35" s="18"/>
      <c r="XG35" s="18"/>
      <c r="XH35" s="18"/>
      <c r="XI35" s="18"/>
      <c r="XJ35" s="18"/>
      <c r="XK35" s="18"/>
      <c r="XL35" s="18"/>
      <c r="XM35" s="18"/>
      <c r="XN35" s="18"/>
      <c r="XO35" s="18"/>
      <c r="XP35" s="18"/>
      <c r="XQ35" s="18"/>
      <c r="XR35" s="18"/>
      <c r="XS35" s="18"/>
      <c r="XT35" s="18"/>
      <c r="XU35" s="18"/>
      <c r="XV35" s="18"/>
      <c r="XW35" s="18"/>
      <c r="XX35" s="18"/>
      <c r="XY35" s="18"/>
      <c r="XZ35" s="18"/>
      <c r="YA35" s="18"/>
      <c r="YB35" s="18"/>
      <c r="YC35" s="18"/>
      <c r="YD35" s="18"/>
      <c r="YE35" s="18"/>
      <c r="YF35" s="18"/>
      <c r="YG35" s="18"/>
      <c r="YH35" s="18"/>
      <c r="YI35" s="18"/>
      <c r="YJ35" s="18"/>
      <c r="YK35" s="18"/>
      <c r="YL35" s="18"/>
      <c r="YM35" s="18"/>
      <c r="YN35" s="18"/>
      <c r="YO35" s="18"/>
      <c r="YP35" s="18"/>
      <c r="YQ35" s="18"/>
      <c r="YR35" s="18"/>
      <c r="YS35" s="18"/>
      <c r="YT35" s="18"/>
      <c r="YU35" s="18"/>
      <c r="YV35" s="18"/>
      <c r="YW35" s="18"/>
      <c r="YX35" s="18"/>
      <c r="YY35" s="18"/>
      <c r="YZ35" s="18"/>
      <c r="ZA35" s="18"/>
      <c r="ZB35" s="18"/>
      <c r="ZC35" s="18"/>
      <c r="ZD35" s="18"/>
      <c r="ZE35" s="18"/>
      <c r="ZF35" s="18"/>
      <c r="ZG35" s="18"/>
      <c r="ZH35" s="18"/>
      <c r="ZI35" s="18"/>
      <c r="ZJ35" s="18"/>
      <c r="ZK35" s="18"/>
      <c r="ZL35" s="18"/>
      <c r="ZM35" s="18"/>
      <c r="ZN35" s="18"/>
      <c r="ZO35" s="18"/>
      <c r="ZP35" s="18"/>
      <c r="ZQ35" s="18"/>
      <c r="ZR35" s="18"/>
      <c r="ZS35" s="18"/>
      <c r="ZT35" s="18"/>
      <c r="ZU35" s="18"/>
      <c r="ZV35" s="18"/>
      <c r="ZW35" s="18"/>
      <c r="ZX35" s="18"/>
      <c r="ZY35" s="18"/>
      <c r="ZZ35" s="18"/>
      <c r="AAA35" s="18"/>
      <c r="AAB35" s="18"/>
      <c r="AAC35" s="18"/>
      <c r="AAD35" s="18"/>
      <c r="AAE35" s="18"/>
      <c r="AAF35" s="18"/>
      <c r="AAG35" s="18"/>
      <c r="AAH35" s="18"/>
      <c r="AAI35" s="18"/>
      <c r="AAJ35" s="18"/>
      <c r="AAK35" s="18"/>
      <c r="AAL35" s="18"/>
      <c r="AAM35" s="18"/>
      <c r="AAN35" s="18"/>
      <c r="AAO35" s="18"/>
      <c r="AAP35" s="18"/>
      <c r="AAQ35" s="18"/>
      <c r="AAR35" s="18"/>
      <c r="AAS35" s="18"/>
      <c r="AAT35" s="18"/>
      <c r="AAU35" s="18"/>
      <c r="AAV35" s="18"/>
      <c r="AAW35" s="18"/>
      <c r="AAX35" s="18"/>
      <c r="AAY35" s="18"/>
      <c r="AAZ35" s="18"/>
      <c r="ABA35" s="18"/>
      <c r="ABB35" s="18"/>
      <c r="ABC35" s="18"/>
      <c r="ABD35" s="18"/>
      <c r="ABE35" s="18"/>
      <c r="ABF35" s="18"/>
      <c r="ABG35" s="18"/>
      <c r="ABH35" s="18"/>
      <c r="ABI35" s="18"/>
      <c r="ABJ35" s="18"/>
      <c r="ABK35" s="18"/>
      <c r="ABL35" s="18"/>
      <c r="ABM35" s="18"/>
      <c r="ABN35" s="18"/>
      <c r="ABO35" s="18"/>
      <c r="ABP35" s="18"/>
      <c r="ABQ35" s="18"/>
      <c r="ABR35" s="18"/>
      <c r="ABS35" s="18"/>
      <c r="ABT35" s="18"/>
      <c r="ABU35" s="18"/>
      <c r="ABV35" s="18"/>
      <c r="ABW35" s="18"/>
      <c r="ABX35" s="18"/>
      <c r="ABY35" s="18"/>
      <c r="ABZ35" s="18"/>
      <c r="ACA35" s="18"/>
      <c r="ACB35" s="18"/>
      <c r="ACC35" s="18"/>
      <c r="ACD35" s="18"/>
      <c r="ACE35" s="18"/>
      <c r="ACF35" s="18"/>
      <c r="ACG35" s="18"/>
      <c r="ACH35" s="18"/>
      <c r="ACI35" s="18"/>
      <c r="ACJ35" s="18"/>
      <c r="ACK35" s="18"/>
      <c r="ACL35" s="18"/>
      <c r="ACM35" s="18"/>
      <c r="ACN35" s="18"/>
      <c r="ACO35" s="18"/>
      <c r="ACP35" s="18"/>
      <c r="ACQ35" s="18"/>
      <c r="ACR35" s="18"/>
      <c r="ACS35" s="18"/>
      <c r="ACT35" s="18"/>
      <c r="ACU35" s="18"/>
      <c r="ACV35" s="18"/>
      <c r="ACW35" s="18"/>
      <c r="ACX35" s="18"/>
      <c r="ACY35" s="18"/>
      <c r="ACZ35" s="18"/>
      <c r="ADA35" s="18"/>
      <c r="ADB35" s="18"/>
      <c r="ADC35" s="18"/>
      <c r="ADD35" s="18"/>
      <c r="ADE35" s="18"/>
      <c r="ADF35" s="18"/>
      <c r="ADG35" s="18"/>
      <c r="ADH35" s="18"/>
      <c r="ADI35" s="18"/>
      <c r="ADJ35" s="18"/>
      <c r="ADK35" s="18"/>
      <c r="ADL35" s="18"/>
      <c r="ADM35" s="18"/>
      <c r="ADN35" s="18"/>
      <c r="ADO35" s="18"/>
      <c r="ADP35" s="18"/>
      <c r="ADQ35" s="18"/>
      <c r="ADR35" s="18"/>
      <c r="ADS35" s="18"/>
      <c r="ADT35" s="18"/>
      <c r="ADU35" s="18"/>
      <c r="ADV35" s="18"/>
      <c r="ADW35" s="18"/>
      <c r="ADX35" s="18"/>
      <c r="ADY35" s="18"/>
      <c r="ADZ35" s="18"/>
      <c r="AEA35" s="18"/>
      <c r="AEB35" s="18"/>
      <c r="AEC35" s="18"/>
      <c r="AED35" s="18"/>
      <c r="AEE35" s="18"/>
      <c r="AEF35" s="18"/>
      <c r="AEG35" s="18"/>
      <c r="AEH35" s="18"/>
      <c r="AEI35" s="18"/>
      <c r="AEJ35" s="18"/>
      <c r="AEK35" s="18"/>
      <c r="AEL35" s="18"/>
      <c r="AEM35" s="18"/>
      <c r="AEN35" s="18"/>
      <c r="AEO35" s="18"/>
      <c r="AEP35" s="18"/>
      <c r="AEQ35" s="18"/>
      <c r="AER35" s="18"/>
      <c r="AES35" s="18"/>
      <c r="AET35" s="18"/>
      <c r="AEU35" s="18"/>
      <c r="AEV35" s="18"/>
      <c r="AEW35" s="18"/>
      <c r="AEX35" s="18"/>
      <c r="AEY35" s="18"/>
      <c r="AEZ35" s="18"/>
      <c r="AFA35" s="18"/>
      <c r="AFB35" s="18"/>
      <c r="AFC35" s="18"/>
      <c r="AFD35" s="18"/>
      <c r="AFE35" s="18"/>
      <c r="AFF35" s="18"/>
      <c r="AFG35" s="18"/>
      <c r="AFH35" s="18"/>
      <c r="AFI35" s="18"/>
      <c r="AFJ35" s="18"/>
      <c r="AFK35" s="18"/>
      <c r="AFL35" s="18"/>
      <c r="AFM35" s="18"/>
      <c r="AFN35" s="18"/>
      <c r="AFO35" s="18"/>
      <c r="AFP35" s="18"/>
      <c r="AFQ35" s="18"/>
      <c r="AFR35" s="18"/>
      <c r="AFS35" s="18"/>
      <c r="AFT35" s="18"/>
      <c r="AFU35" s="18"/>
      <c r="AFV35" s="18"/>
      <c r="AFW35" s="18"/>
      <c r="AFX35" s="18"/>
      <c r="AFY35" s="18"/>
      <c r="AFZ35" s="18"/>
      <c r="AGA35" s="18"/>
      <c r="AGB35" s="18"/>
      <c r="AGC35" s="18"/>
      <c r="AGD35" s="18"/>
      <c r="AGE35" s="18"/>
      <c r="AGF35" s="18"/>
      <c r="AGG35" s="18"/>
      <c r="AGH35" s="18"/>
      <c r="AGI35" s="18"/>
      <c r="AGJ35" s="18"/>
      <c r="AGK35" s="18"/>
      <c r="AGL35" s="18"/>
      <c r="AGM35" s="18"/>
      <c r="AGN35" s="18"/>
      <c r="AGO35" s="18"/>
      <c r="AGP35" s="18"/>
      <c r="AGQ35" s="18"/>
      <c r="AGR35" s="18"/>
      <c r="AGS35" s="18"/>
      <c r="AGT35" s="18"/>
      <c r="AGU35" s="18"/>
      <c r="AGV35" s="18"/>
      <c r="AGW35" s="18"/>
      <c r="AGX35" s="18"/>
      <c r="AGY35" s="18"/>
      <c r="AGZ35" s="18"/>
      <c r="AHA35" s="18"/>
      <c r="AHB35" s="18"/>
      <c r="AHC35" s="18"/>
      <c r="AHD35" s="18"/>
      <c r="AHE35" s="18"/>
      <c r="AHF35" s="18"/>
      <c r="AHG35" s="18"/>
      <c r="AHH35" s="18"/>
      <c r="AHI35" s="18"/>
      <c r="AHJ35" s="18"/>
      <c r="AHK35" s="18"/>
      <c r="AHL35" s="18"/>
      <c r="AHM35" s="18"/>
      <c r="AHN35" s="18"/>
      <c r="AHO35" s="18"/>
      <c r="AHP35" s="18"/>
      <c r="AHQ35" s="18"/>
      <c r="AHR35" s="18"/>
      <c r="AHS35" s="18"/>
      <c r="AHT35" s="18"/>
      <c r="AHU35" s="18"/>
      <c r="AHV35" s="18"/>
      <c r="AHW35" s="18"/>
      <c r="AHX35" s="18"/>
      <c r="AHY35" s="18"/>
      <c r="AHZ35" s="18"/>
      <c r="AIA35" s="18"/>
      <c r="AIB35" s="18"/>
      <c r="AIC35" s="18"/>
      <c r="AID35" s="18"/>
      <c r="AIE35" s="18"/>
      <c r="AIF35" s="18"/>
      <c r="AIG35" s="18"/>
      <c r="AIH35" s="18"/>
      <c r="AII35" s="18"/>
      <c r="AIJ35" s="18"/>
      <c r="AIK35" s="18"/>
      <c r="AIL35" s="18"/>
      <c r="AIM35" s="18"/>
      <c r="AIN35" s="18"/>
      <c r="AIO35" s="18"/>
      <c r="AIP35" s="18"/>
      <c r="AIQ35" s="18"/>
      <c r="AIR35" s="18"/>
      <c r="AIS35" s="18"/>
      <c r="AIT35" s="18"/>
      <c r="AIU35" s="18"/>
      <c r="AIV35" s="18"/>
      <c r="AIW35" s="18"/>
      <c r="AIX35" s="18"/>
      <c r="AIY35" s="18"/>
      <c r="AIZ35" s="18"/>
      <c r="AJA35" s="18"/>
      <c r="AJB35" s="18"/>
      <c r="AJC35" s="18"/>
      <c r="AJD35" s="18"/>
      <c r="AJE35" s="18"/>
      <c r="AJF35" s="18"/>
      <c r="AJG35" s="18"/>
      <c r="AJH35" s="18"/>
      <c r="AJI35" s="18"/>
      <c r="AJJ35" s="18"/>
      <c r="AJK35" s="18"/>
      <c r="AJL35" s="18"/>
      <c r="AJM35" s="18"/>
      <c r="AJN35" s="18"/>
      <c r="AJO35" s="18"/>
      <c r="AJP35" s="18"/>
      <c r="AJQ35" s="18"/>
      <c r="AJR35" s="18"/>
      <c r="AJS35" s="18"/>
      <c r="AJT35" s="18"/>
      <c r="AJU35" s="18"/>
      <c r="AJV35" s="18"/>
      <c r="AJW35" s="18"/>
      <c r="AJX35" s="18"/>
      <c r="AJY35" s="18"/>
      <c r="AJZ35" s="18"/>
      <c r="AKA35" s="18"/>
      <c r="AKB35" s="18"/>
      <c r="AKC35" s="18"/>
      <c r="AKD35" s="18"/>
      <c r="AKE35" s="18"/>
      <c r="AKF35" s="18"/>
      <c r="AKG35" s="18"/>
      <c r="AKH35" s="18"/>
      <c r="AKI35" s="18"/>
      <c r="AKJ35" s="18"/>
      <c r="AKK35" s="18"/>
      <c r="AKL35" s="18"/>
      <c r="AKM35" s="18"/>
      <c r="AKN35" s="18"/>
      <c r="AKO35" s="18"/>
      <c r="AKP35" s="18"/>
      <c r="AKQ35" s="18"/>
      <c r="AKR35" s="18"/>
      <c r="AKS35" s="18"/>
      <c r="AKT35" s="18"/>
      <c r="AKU35" s="18"/>
      <c r="AKV35" s="18"/>
      <c r="AKW35" s="18"/>
      <c r="AKX35" s="18"/>
      <c r="AKY35" s="18"/>
      <c r="AKZ35" s="18"/>
      <c r="ALA35" s="18"/>
      <c r="ALB35" s="18"/>
      <c r="ALC35" s="18"/>
      <c r="ALD35" s="18"/>
      <c r="ALE35" s="18"/>
      <c r="ALF35" s="18"/>
      <c r="ALG35" s="18"/>
      <c r="ALH35" s="18"/>
      <c r="ALI35" s="18"/>
      <c r="ALJ35" s="18"/>
      <c r="ALK35" s="18"/>
      <c r="ALL35" s="18"/>
      <c r="ALM35" s="18"/>
      <c r="ALN35" s="18"/>
      <c r="ALO35" s="18"/>
      <c r="ALP35" s="18"/>
      <c r="ALQ35" s="18"/>
      <c r="ALR35" s="18"/>
      <c r="ALS35" s="18"/>
      <c r="ALT35" s="18"/>
      <c r="ALU35" s="18"/>
      <c r="ALV35" s="18"/>
      <c r="ALW35" s="18"/>
      <c r="ALX35" s="18"/>
      <c r="ALY35" s="18"/>
      <c r="ALZ35" s="18"/>
      <c r="AMA35" s="18"/>
      <c r="AMB35" s="18"/>
      <c r="AMC35" s="18"/>
      <c r="AMD35" s="18"/>
      <c r="AME35" s="18"/>
      <c r="AMF35" s="18"/>
      <c r="AMG35" s="18"/>
      <c r="AMH35" s="18"/>
      <c r="AMI35" s="18"/>
      <c r="AMJ35" s="18"/>
      <c r="AMK35" s="18"/>
      <c r="AML35" s="18"/>
      <c r="AMM35" s="18"/>
    </row>
    <row r="36" spans="1:1027" s="29" customFormat="1" ht="16" x14ac:dyDescent="0.2">
      <c r="A36" s="34">
        <v>4</v>
      </c>
      <c r="B36" s="34" t="s">
        <v>566</v>
      </c>
      <c r="C36" s="34" t="s">
        <v>567</v>
      </c>
      <c r="D36" s="35">
        <v>250</v>
      </c>
      <c r="E36" s="36" t="s">
        <v>508</v>
      </c>
      <c r="F36" s="36" t="s">
        <v>508</v>
      </c>
      <c r="G36" s="37" t="s">
        <v>508</v>
      </c>
      <c r="H36" s="36"/>
      <c r="I36" s="36"/>
      <c r="J36" s="36" t="s">
        <v>508</v>
      </c>
      <c r="K36" s="38"/>
      <c r="L36" s="34"/>
      <c r="M36" s="1"/>
      <c r="N36" s="1"/>
      <c r="O36" s="34"/>
      <c r="P36" s="34"/>
      <c r="Q36" s="34"/>
      <c r="R36" s="34"/>
      <c r="S36" s="39" t="s">
        <v>568</v>
      </c>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c r="JD36" s="34"/>
      <c r="JE36" s="34"/>
      <c r="JF36" s="34"/>
      <c r="JG36" s="34"/>
      <c r="JH36" s="34"/>
      <c r="JI36" s="34"/>
      <c r="JJ36" s="34"/>
      <c r="JK36" s="34"/>
      <c r="JL36" s="34"/>
      <c r="JM36" s="34"/>
      <c r="JN36" s="34"/>
      <c r="JO36" s="34"/>
      <c r="JP36" s="34"/>
      <c r="JQ36" s="34"/>
      <c r="JR36" s="34"/>
      <c r="JS36" s="34"/>
      <c r="JT36" s="34"/>
      <c r="JU36" s="34"/>
      <c r="JV36" s="34"/>
      <c r="JW36" s="34"/>
      <c r="JX36" s="34"/>
      <c r="JY36" s="34"/>
      <c r="JZ36" s="34"/>
      <c r="KA36" s="34"/>
      <c r="KB36" s="34"/>
      <c r="KC36" s="34"/>
      <c r="KD36" s="34"/>
      <c r="KE36" s="34"/>
      <c r="KF36" s="34"/>
      <c r="KG36" s="34"/>
      <c r="KH36" s="34"/>
      <c r="KI36" s="34"/>
      <c r="KJ36" s="34"/>
      <c r="KK36" s="34"/>
      <c r="KL36" s="34"/>
      <c r="KM36" s="34"/>
      <c r="KN36" s="34"/>
      <c r="KO36" s="34"/>
      <c r="KP36" s="34"/>
      <c r="KQ36" s="34"/>
      <c r="KR36" s="34"/>
      <c r="KS36" s="34"/>
      <c r="KT36" s="34"/>
      <c r="KU36" s="34"/>
      <c r="KV36" s="34"/>
      <c r="KW36" s="34"/>
      <c r="KX36" s="34"/>
      <c r="KY36" s="34"/>
      <c r="KZ36" s="34"/>
      <c r="LA36" s="34"/>
      <c r="LB36" s="34"/>
      <c r="LC36" s="34"/>
      <c r="LD36" s="34"/>
      <c r="LE36" s="34"/>
      <c r="LF36" s="34"/>
      <c r="LG36" s="34"/>
      <c r="LH36" s="34"/>
      <c r="LI36" s="34"/>
      <c r="LJ36" s="34"/>
      <c r="LK36" s="34"/>
      <c r="LL36" s="34"/>
      <c r="LM36" s="34"/>
      <c r="LN36" s="34"/>
      <c r="LO36" s="34"/>
      <c r="LP36" s="34"/>
      <c r="LQ36" s="34"/>
      <c r="LR36" s="34"/>
      <c r="LS36" s="34"/>
      <c r="LT36" s="34"/>
      <c r="LU36" s="34"/>
      <c r="LV36" s="34"/>
      <c r="LW36" s="34"/>
      <c r="LX36" s="34"/>
      <c r="LY36" s="34"/>
      <c r="LZ36" s="34"/>
      <c r="MA36" s="34"/>
      <c r="MB36" s="34"/>
      <c r="MC36" s="34"/>
      <c r="MD36" s="34"/>
      <c r="ME36" s="34"/>
      <c r="MF36" s="34"/>
      <c r="MG36" s="34"/>
      <c r="MH36" s="34"/>
      <c r="MI36" s="34"/>
      <c r="MJ36" s="34"/>
      <c r="MK36" s="34"/>
      <c r="ML36" s="34"/>
      <c r="MM36" s="34"/>
      <c r="MN36" s="34"/>
      <c r="MO36" s="34"/>
      <c r="MP36" s="34"/>
      <c r="MQ36" s="34"/>
      <c r="MR36" s="34"/>
      <c r="MS36" s="34"/>
      <c r="MT36" s="34"/>
      <c r="MU36" s="34"/>
      <c r="MV36" s="34"/>
      <c r="MW36" s="34"/>
      <c r="MX36" s="34"/>
      <c r="MY36" s="34"/>
      <c r="MZ36" s="34"/>
      <c r="NA36" s="34"/>
      <c r="NB36" s="34"/>
      <c r="NC36" s="34"/>
      <c r="ND36" s="34"/>
      <c r="NE36" s="34"/>
      <c r="NF36" s="34"/>
      <c r="NG36" s="34"/>
      <c r="NH36" s="34"/>
      <c r="NI36" s="34"/>
      <c r="NJ36" s="34"/>
      <c r="NK36" s="34"/>
      <c r="NL36" s="34"/>
      <c r="NM36" s="34"/>
      <c r="NN36" s="34"/>
      <c r="NO36" s="34"/>
      <c r="NP36" s="34"/>
      <c r="NQ36" s="34"/>
      <c r="NR36" s="34"/>
      <c r="NS36" s="34"/>
      <c r="NT36" s="34"/>
      <c r="NU36" s="34"/>
      <c r="NV36" s="34"/>
      <c r="NW36" s="34"/>
      <c r="NX36" s="34"/>
      <c r="NY36" s="34"/>
      <c r="NZ36" s="34"/>
      <c r="OA36" s="34"/>
      <c r="OB36" s="34"/>
      <c r="OC36" s="34"/>
      <c r="OD36" s="34"/>
      <c r="OE36" s="34"/>
      <c r="OF36" s="34"/>
      <c r="OG36" s="34"/>
      <c r="OH36" s="34"/>
      <c r="OI36" s="34"/>
      <c r="OJ36" s="34"/>
      <c r="OK36" s="34"/>
      <c r="OL36" s="34"/>
      <c r="OM36" s="34"/>
      <c r="ON36" s="34"/>
      <c r="OO36" s="34"/>
      <c r="OP36" s="34"/>
      <c r="OQ36" s="34"/>
      <c r="OR36" s="34"/>
      <c r="OS36" s="34"/>
      <c r="OT36" s="34"/>
      <c r="OU36" s="34"/>
      <c r="OV36" s="34"/>
      <c r="OW36" s="34"/>
      <c r="OX36" s="34"/>
      <c r="OY36" s="34"/>
      <c r="OZ36" s="34"/>
      <c r="PA36" s="34"/>
      <c r="PB36" s="34"/>
      <c r="PC36" s="34"/>
      <c r="PD36" s="34"/>
      <c r="PE36" s="34"/>
      <c r="PF36" s="34"/>
      <c r="PG36" s="34"/>
      <c r="PH36" s="34"/>
      <c r="PI36" s="34"/>
      <c r="PJ36" s="34"/>
      <c r="PK36" s="34"/>
      <c r="PL36" s="34"/>
      <c r="PM36" s="34"/>
      <c r="PN36" s="34"/>
      <c r="PO36" s="34"/>
      <c r="PP36" s="34"/>
      <c r="PQ36" s="34"/>
      <c r="PR36" s="34"/>
      <c r="PS36" s="34"/>
      <c r="PT36" s="34"/>
      <c r="PU36" s="34"/>
      <c r="PV36" s="34"/>
      <c r="PW36" s="34"/>
      <c r="PX36" s="34"/>
      <c r="PY36" s="34"/>
      <c r="PZ36" s="34"/>
      <c r="QA36" s="34"/>
      <c r="QB36" s="34"/>
      <c r="QC36" s="34"/>
      <c r="QD36" s="34"/>
      <c r="QE36" s="34"/>
      <c r="QF36" s="34"/>
      <c r="QG36" s="34"/>
      <c r="QH36" s="34"/>
      <c r="QI36" s="34"/>
      <c r="QJ36" s="34"/>
      <c r="QK36" s="34"/>
      <c r="QL36" s="34"/>
      <c r="QM36" s="34"/>
      <c r="QN36" s="34"/>
      <c r="QO36" s="34"/>
      <c r="QP36" s="34"/>
      <c r="QQ36" s="34"/>
      <c r="QR36" s="34"/>
      <c r="QS36" s="34"/>
      <c r="QT36" s="34"/>
      <c r="QU36" s="34"/>
      <c r="QV36" s="34"/>
      <c r="QW36" s="34"/>
      <c r="QX36" s="34"/>
      <c r="QY36" s="34"/>
      <c r="QZ36" s="34"/>
      <c r="RA36" s="34"/>
      <c r="RB36" s="34"/>
      <c r="RC36" s="34"/>
      <c r="RD36" s="34"/>
      <c r="RE36" s="34"/>
      <c r="RF36" s="34"/>
      <c r="RG36" s="34"/>
      <c r="RH36" s="34"/>
      <c r="RI36" s="34"/>
      <c r="RJ36" s="34"/>
      <c r="RK36" s="34"/>
      <c r="RL36" s="34"/>
      <c r="RM36" s="34"/>
      <c r="RN36" s="34"/>
      <c r="RO36" s="34"/>
      <c r="RP36" s="34"/>
      <c r="RQ36" s="34"/>
      <c r="RR36" s="34"/>
      <c r="RS36" s="34"/>
      <c r="RT36" s="34"/>
      <c r="RU36" s="34"/>
      <c r="RV36" s="34"/>
      <c r="RW36" s="34"/>
      <c r="RX36" s="34"/>
      <c r="RY36" s="34"/>
      <c r="RZ36" s="34"/>
      <c r="SA36" s="34"/>
      <c r="SB36" s="34"/>
      <c r="SC36" s="34"/>
      <c r="SD36" s="34"/>
      <c r="SE36" s="34"/>
      <c r="SF36" s="34"/>
      <c r="SG36" s="34"/>
      <c r="SH36" s="34"/>
      <c r="SI36" s="34"/>
      <c r="SJ36" s="34"/>
      <c r="SK36" s="34"/>
      <c r="SL36" s="34"/>
      <c r="SM36" s="34"/>
      <c r="SN36" s="34"/>
      <c r="SO36" s="34"/>
      <c r="SP36" s="34"/>
      <c r="SQ36" s="34"/>
      <c r="SR36" s="34"/>
      <c r="SS36" s="34"/>
      <c r="ST36" s="34"/>
      <c r="SU36" s="34"/>
      <c r="SV36" s="34"/>
      <c r="SW36" s="34"/>
      <c r="SX36" s="34"/>
      <c r="SY36" s="34"/>
      <c r="SZ36" s="34"/>
      <c r="TA36" s="34"/>
      <c r="TB36" s="34"/>
      <c r="TC36" s="34"/>
      <c r="TD36" s="34"/>
      <c r="TE36" s="34"/>
      <c r="TF36" s="34"/>
      <c r="TG36" s="34"/>
      <c r="TH36" s="34"/>
      <c r="TI36" s="34"/>
      <c r="TJ36" s="34"/>
      <c r="TK36" s="34"/>
      <c r="TL36" s="34"/>
      <c r="TM36" s="34"/>
      <c r="TN36" s="34"/>
      <c r="TO36" s="34"/>
      <c r="TP36" s="34"/>
      <c r="TQ36" s="34"/>
      <c r="TR36" s="34"/>
      <c r="TS36" s="34"/>
      <c r="TT36" s="34"/>
      <c r="TU36" s="34"/>
      <c r="TV36" s="34"/>
      <c r="TW36" s="34"/>
      <c r="TX36" s="34"/>
      <c r="TY36" s="34"/>
      <c r="TZ36" s="34"/>
      <c r="UA36" s="34"/>
      <c r="UB36" s="34"/>
      <c r="UC36" s="34"/>
      <c r="UD36" s="34"/>
      <c r="UE36" s="34"/>
      <c r="UF36" s="34"/>
      <c r="UG36" s="34"/>
      <c r="UH36" s="34"/>
      <c r="UI36" s="34"/>
      <c r="UJ36" s="34"/>
      <c r="UK36" s="34"/>
      <c r="UL36" s="34"/>
      <c r="UM36" s="34"/>
      <c r="UN36" s="34"/>
      <c r="UO36" s="34"/>
      <c r="UP36" s="34"/>
      <c r="UQ36" s="34"/>
      <c r="UR36" s="34"/>
      <c r="US36" s="34"/>
      <c r="UT36" s="34"/>
      <c r="UU36" s="34"/>
      <c r="UV36" s="34"/>
      <c r="UW36" s="34"/>
      <c r="UX36" s="34"/>
      <c r="UY36" s="34"/>
      <c r="UZ36" s="34"/>
      <c r="VA36" s="34"/>
      <c r="VB36" s="34"/>
      <c r="VC36" s="34"/>
      <c r="VD36" s="34"/>
      <c r="VE36" s="34"/>
      <c r="VF36" s="34"/>
      <c r="VG36" s="34"/>
      <c r="VH36" s="34"/>
      <c r="VI36" s="34"/>
      <c r="VJ36" s="34"/>
      <c r="VK36" s="34"/>
      <c r="VL36" s="34"/>
      <c r="VM36" s="34"/>
      <c r="VN36" s="34"/>
      <c r="VO36" s="34"/>
      <c r="VP36" s="34"/>
      <c r="VQ36" s="34"/>
      <c r="VR36" s="34"/>
      <c r="VS36" s="34"/>
      <c r="VT36" s="34"/>
      <c r="VU36" s="34"/>
      <c r="VV36" s="34"/>
      <c r="VW36" s="34"/>
      <c r="VX36" s="34"/>
      <c r="VY36" s="34"/>
      <c r="VZ36" s="34"/>
      <c r="WA36" s="34"/>
      <c r="WB36" s="34"/>
      <c r="WC36" s="34"/>
      <c r="WD36" s="34"/>
      <c r="WE36" s="34"/>
      <c r="WF36" s="34"/>
      <c r="WG36" s="34"/>
      <c r="WH36" s="34"/>
      <c r="WI36" s="34"/>
      <c r="WJ36" s="34"/>
      <c r="WK36" s="34"/>
      <c r="WL36" s="34"/>
      <c r="WM36" s="34"/>
      <c r="WN36" s="34"/>
      <c r="WO36" s="34"/>
      <c r="WP36" s="34"/>
      <c r="WQ36" s="34"/>
      <c r="WR36" s="34"/>
      <c r="WS36" s="34"/>
      <c r="WT36" s="34"/>
      <c r="WU36" s="34"/>
      <c r="WV36" s="34"/>
      <c r="WW36" s="34"/>
      <c r="WX36" s="34"/>
      <c r="WY36" s="34"/>
      <c r="WZ36" s="34"/>
      <c r="XA36" s="34"/>
      <c r="XB36" s="34"/>
      <c r="XC36" s="34"/>
      <c r="XD36" s="34"/>
      <c r="XE36" s="34"/>
      <c r="XF36" s="34"/>
      <c r="XG36" s="34"/>
      <c r="XH36" s="34"/>
      <c r="XI36" s="34"/>
      <c r="XJ36" s="34"/>
      <c r="XK36" s="34"/>
      <c r="XL36" s="34"/>
      <c r="XM36" s="34"/>
      <c r="XN36" s="34"/>
      <c r="XO36" s="34"/>
      <c r="XP36" s="34"/>
      <c r="XQ36" s="34"/>
      <c r="XR36" s="34"/>
      <c r="XS36" s="34"/>
      <c r="XT36" s="34"/>
      <c r="XU36" s="34"/>
      <c r="XV36" s="34"/>
      <c r="XW36" s="34"/>
      <c r="XX36" s="34"/>
      <c r="XY36" s="34"/>
      <c r="XZ36" s="34"/>
      <c r="YA36" s="34"/>
      <c r="YB36" s="34"/>
      <c r="YC36" s="34"/>
      <c r="YD36" s="34"/>
      <c r="YE36" s="34"/>
      <c r="YF36" s="34"/>
      <c r="YG36" s="34"/>
      <c r="YH36" s="34"/>
      <c r="YI36" s="34"/>
      <c r="YJ36" s="34"/>
      <c r="YK36" s="34"/>
      <c r="YL36" s="34"/>
      <c r="YM36" s="34"/>
      <c r="YN36" s="34"/>
      <c r="YO36" s="34"/>
      <c r="YP36" s="34"/>
      <c r="YQ36" s="34"/>
      <c r="YR36" s="34"/>
      <c r="YS36" s="34"/>
      <c r="YT36" s="34"/>
      <c r="YU36" s="34"/>
      <c r="YV36" s="34"/>
      <c r="YW36" s="34"/>
      <c r="YX36" s="34"/>
      <c r="YY36" s="34"/>
      <c r="YZ36" s="34"/>
      <c r="ZA36" s="34"/>
      <c r="ZB36" s="34"/>
      <c r="ZC36" s="34"/>
      <c r="ZD36" s="34"/>
      <c r="ZE36" s="34"/>
      <c r="ZF36" s="34"/>
      <c r="ZG36" s="34"/>
      <c r="ZH36" s="34"/>
      <c r="ZI36" s="34"/>
      <c r="ZJ36" s="34"/>
      <c r="ZK36" s="34"/>
      <c r="ZL36" s="34"/>
      <c r="ZM36" s="34"/>
      <c r="ZN36" s="34"/>
      <c r="ZO36" s="34"/>
      <c r="ZP36" s="34"/>
      <c r="ZQ36" s="34"/>
      <c r="ZR36" s="34"/>
      <c r="ZS36" s="34"/>
      <c r="ZT36" s="34"/>
      <c r="ZU36" s="34"/>
      <c r="ZV36" s="34"/>
      <c r="ZW36" s="34"/>
      <c r="ZX36" s="34"/>
      <c r="ZY36" s="34"/>
      <c r="ZZ36" s="34"/>
      <c r="AAA36" s="34"/>
      <c r="AAB36" s="34"/>
      <c r="AAC36" s="34"/>
      <c r="AAD36" s="34"/>
      <c r="AAE36" s="34"/>
      <c r="AAF36" s="34"/>
      <c r="AAG36" s="34"/>
      <c r="AAH36" s="34"/>
      <c r="AAI36" s="34"/>
      <c r="AAJ36" s="34"/>
      <c r="AAK36" s="34"/>
      <c r="AAL36" s="34"/>
      <c r="AAM36" s="34"/>
      <c r="AAN36" s="34"/>
      <c r="AAO36" s="34"/>
      <c r="AAP36" s="34"/>
      <c r="AAQ36" s="34"/>
      <c r="AAR36" s="34"/>
      <c r="AAS36" s="34"/>
      <c r="AAT36" s="34"/>
      <c r="AAU36" s="34"/>
      <c r="AAV36" s="34"/>
      <c r="AAW36" s="34"/>
      <c r="AAX36" s="34"/>
      <c r="AAY36" s="34"/>
      <c r="AAZ36" s="34"/>
      <c r="ABA36" s="34"/>
      <c r="ABB36" s="34"/>
      <c r="ABC36" s="34"/>
      <c r="ABD36" s="34"/>
      <c r="ABE36" s="34"/>
      <c r="ABF36" s="34"/>
      <c r="ABG36" s="34"/>
      <c r="ABH36" s="34"/>
      <c r="ABI36" s="34"/>
      <c r="ABJ36" s="34"/>
      <c r="ABK36" s="34"/>
      <c r="ABL36" s="34"/>
      <c r="ABM36" s="34"/>
      <c r="ABN36" s="34"/>
      <c r="ABO36" s="34"/>
      <c r="ABP36" s="34"/>
      <c r="ABQ36" s="34"/>
      <c r="ABR36" s="34"/>
      <c r="ABS36" s="34"/>
      <c r="ABT36" s="34"/>
      <c r="ABU36" s="34"/>
      <c r="ABV36" s="34"/>
      <c r="ABW36" s="34"/>
      <c r="ABX36" s="34"/>
      <c r="ABY36" s="34"/>
      <c r="ABZ36" s="34"/>
      <c r="ACA36" s="34"/>
      <c r="ACB36" s="34"/>
      <c r="ACC36" s="34"/>
      <c r="ACD36" s="34"/>
      <c r="ACE36" s="34"/>
      <c r="ACF36" s="34"/>
      <c r="ACG36" s="34"/>
      <c r="ACH36" s="34"/>
      <c r="ACI36" s="34"/>
      <c r="ACJ36" s="34"/>
      <c r="ACK36" s="34"/>
      <c r="ACL36" s="34"/>
      <c r="ACM36" s="34"/>
      <c r="ACN36" s="34"/>
      <c r="ACO36" s="34"/>
      <c r="ACP36" s="34"/>
      <c r="ACQ36" s="34"/>
      <c r="ACR36" s="34"/>
      <c r="ACS36" s="34"/>
      <c r="ACT36" s="34"/>
      <c r="ACU36" s="34"/>
      <c r="ACV36" s="34"/>
      <c r="ACW36" s="34"/>
      <c r="ACX36" s="34"/>
      <c r="ACY36" s="34"/>
      <c r="ACZ36" s="34"/>
      <c r="ADA36" s="34"/>
      <c r="ADB36" s="34"/>
      <c r="ADC36" s="34"/>
      <c r="ADD36" s="34"/>
      <c r="ADE36" s="34"/>
      <c r="ADF36" s="34"/>
      <c r="ADG36" s="34"/>
      <c r="ADH36" s="34"/>
      <c r="ADI36" s="34"/>
      <c r="ADJ36" s="34"/>
      <c r="ADK36" s="34"/>
      <c r="ADL36" s="34"/>
      <c r="ADM36" s="34"/>
      <c r="ADN36" s="34"/>
      <c r="ADO36" s="34"/>
      <c r="ADP36" s="34"/>
      <c r="ADQ36" s="34"/>
      <c r="ADR36" s="34"/>
      <c r="ADS36" s="34"/>
      <c r="ADT36" s="34"/>
      <c r="ADU36" s="34"/>
      <c r="ADV36" s="34"/>
      <c r="ADW36" s="34"/>
      <c r="ADX36" s="34"/>
      <c r="ADY36" s="34"/>
      <c r="ADZ36" s="34"/>
      <c r="AEA36" s="34"/>
      <c r="AEB36" s="34"/>
      <c r="AEC36" s="34"/>
      <c r="AED36" s="34"/>
      <c r="AEE36" s="34"/>
      <c r="AEF36" s="34"/>
      <c r="AEG36" s="34"/>
      <c r="AEH36" s="34"/>
      <c r="AEI36" s="34"/>
      <c r="AEJ36" s="34"/>
      <c r="AEK36" s="34"/>
      <c r="AEL36" s="34"/>
      <c r="AEM36" s="34"/>
      <c r="AEN36" s="34"/>
      <c r="AEO36" s="34"/>
      <c r="AEP36" s="34"/>
      <c r="AEQ36" s="34"/>
      <c r="AER36" s="34"/>
      <c r="AES36" s="34"/>
      <c r="AET36" s="34"/>
      <c r="AEU36" s="34"/>
      <c r="AEV36" s="34"/>
      <c r="AEW36" s="34"/>
      <c r="AEX36" s="34"/>
      <c r="AEY36" s="34"/>
      <c r="AEZ36" s="34"/>
      <c r="AFA36" s="34"/>
      <c r="AFB36" s="34"/>
      <c r="AFC36" s="34"/>
      <c r="AFD36" s="34"/>
      <c r="AFE36" s="34"/>
      <c r="AFF36" s="34"/>
      <c r="AFG36" s="34"/>
      <c r="AFH36" s="34"/>
      <c r="AFI36" s="34"/>
      <c r="AFJ36" s="34"/>
      <c r="AFK36" s="34"/>
      <c r="AFL36" s="34"/>
      <c r="AFM36" s="34"/>
      <c r="AFN36" s="34"/>
      <c r="AFO36" s="34"/>
      <c r="AFP36" s="34"/>
      <c r="AFQ36" s="34"/>
      <c r="AFR36" s="34"/>
      <c r="AFS36" s="34"/>
      <c r="AFT36" s="34"/>
      <c r="AFU36" s="34"/>
      <c r="AFV36" s="34"/>
      <c r="AFW36" s="34"/>
      <c r="AFX36" s="34"/>
      <c r="AFY36" s="34"/>
      <c r="AFZ36" s="34"/>
      <c r="AGA36" s="34"/>
      <c r="AGB36" s="34"/>
      <c r="AGC36" s="34"/>
      <c r="AGD36" s="34"/>
      <c r="AGE36" s="34"/>
      <c r="AGF36" s="34"/>
      <c r="AGG36" s="34"/>
      <c r="AGH36" s="34"/>
      <c r="AGI36" s="34"/>
      <c r="AGJ36" s="34"/>
      <c r="AGK36" s="34"/>
      <c r="AGL36" s="34"/>
      <c r="AGM36" s="34"/>
      <c r="AGN36" s="34"/>
      <c r="AGO36" s="34"/>
      <c r="AGP36" s="34"/>
      <c r="AGQ36" s="34"/>
      <c r="AGR36" s="34"/>
      <c r="AGS36" s="34"/>
      <c r="AGT36" s="34"/>
      <c r="AGU36" s="34"/>
      <c r="AGV36" s="34"/>
      <c r="AGW36" s="34"/>
      <c r="AGX36" s="34"/>
      <c r="AGY36" s="34"/>
      <c r="AGZ36" s="34"/>
      <c r="AHA36" s="34"/>
      <c r="AHB36" s="34"/>
      <c r="AHC36" s="34"/>
      <c r="AHD36" s="34"/>
      <c r="AHE36" s="34"/>
      <c r="AHF36" s="34"/>
      <c r="AHG36" s="34"/>
      <c r="AHH36" s="34"/>
      <c r="AHI36" s="34"/>
      <c r="AHJ36" s="34"/>
      <c r="AHK36" s="34"/>
      <c r="AHL36" s="34"/>
      <c r="AHM36" s="34"/>
      <c r="AHN36" s="34"/>
      <c r="AHO36" s="34"/>
      <c r="AHP36" s="34"/>
      <c r="AHQ36" s="34"/>
      <c r="AHR36" s="34"/>
      <c r="AHS36" s="34"/>
      <c r="AHT36" s="34"/>
      <c r="AHU36" s="34"/>
      <c r="AHV36" s="34"/>
      <c r="AHW36" s="34"/>
      <c r="AHX36" s="34"/>
      <c r="AHY36" s="34"/>
      <c r="AHZ36" s="34"/>
      <c r="AIA36" s="34"/>
      <c r="AIB36" s="34"/>
      <c r="AIC36" s="34"/>
      <c r="AID36" s="34"/>
      <c r="AIE36" s="34"/>
      <c r="AIF36" s="34"/>
      <c r="AIG36" s="34"/>
      <c r="AIH36" s="34"/>
      <c r="AII36" s="34"/>
      <c r="AIJ36" s="34"/>
      <c r="AIK36" s="34"/>
      <c r="AIL36" s="34"/>
      <c r="AIM36" s="34"/>
      <c r="AIN36" s="34"/>
      <c r="AIO36" s="34"/>
      <c r="AIP36" s="34"/>
      <c r="AIQ36" s="34"/>
      <c r="AIR36" s="34"/>
      <c r="AIS36" s="34"/>
      <c r="AIT36" s="34"/>
      <c r="AIU36" s="34"/>
      <c r="AIV36" s="34"/>
      <c r="AIW36" s="34"/>
      <c r="AIX36" s="34"/>
      <c r="AIY36" s="34"/>
      <c r="AIZ36" s="34"/>
      <c r="AJA36" s="34"/>
      <c r="AJB36" s="34"/>
      <c r="AJC36" s="34"/>
      <c r="AJD36" s="34"/>
      <c r="AJE36" s="34"/>
      <c r="AJF36" s="34"/>
      <c r="AJG36" s="34"/>
      <c r="AJH36" s="34"/>
      <c r="AJI36" s="34"/>
      <c r="AJJ36" s="34"/>
      <c r="AJK36" s="34"/>
      <c r="AJL36" s="34"/>
      <c r="AJM36" s="34"/>
      <c r="AJN36" s="34"/>
      <c r="AJO36" s="34"/>
      <c r="AJP36" s="34"/>
      <c r="AJQ36" s="34"/>
      <c r="AJR36" s="34"/>
      <c r="AJS36" s="34"/>
      <c r="AJT36" s="34"/>
      <c r="AJU36" s="34"/>
      <c r="AJV36" s="34"/>
      <c r="AJW36" s="34"/>
      <c r="AJX36" s="34"/>
      <c r="AJY36" s="34"/>
      <c r="AJZ36" s="34"/>
      <c r="AKA36" s="34"/>
      <c r="AKB36" s="34"/>
      <c r="AKC36" s="34"/>
      <c r="AKD36" s="34"/>
      <c r="AKE36" s="34"/>
      <c r="AKF36" s="34"/>
      <c r="AKG36" s="34"/>
      <c r="AKH36" s="34"/>
      <c r="AKI36" s="34"/>
      <c r="AKJ36" s="34"/>
      <c r="AKK36" s="34"/>
      <c r="AKL36" s="34"/>
      <c r="AKM36" s="34"/>
      <c r="AKN36" s="34"/>
      <c r="AKO36" s="34"/>
      <c r="AKP36" s="34"/>
      <c r="AKQ36" s="34"/>
      <c r="AKR36" s="34"/>
      <c r="AKS36" s="34"/>
      <c r="AKT36" s="34"/>
      <c r="AKU36" s="34"/>
      <c r="AKV36" s="34"/>
      <c r="AKW36" s="34"/>
      <c r="AKX36" s="34"/>
      <c r="AKY36" s="34"/>
      <c r="AKZ36" s="34"/>
      <c r="ALA36" s="34"/>
      <c r="ALB36" s="34"/>
      <c r="ALC36" s="34"/>
      <c r="ALD36" s="34"/>
      <c r="ALE36" s="34"/>
      <c r="ALF36" s="34"/>
      <c r="ALG36" s="34"/>
      <c r="ALH36" s="34"/>
      <c r="ALI36" s="34"/>
      <c r="ALJ36" s="34"/>
      <c r="ALK36" s="34"/>
      <c r="ALL36" s="34"/>
      <c r="ALM36" s="34"/>
      <c r="ALN36" s="34"/>
      <c r="ALO36" s="34"/>
      <c r="ALP36" s="34"/>
      <c r="ALQ36" s="34"/>
      <c r="ALR36" s="34"/>
      <c r="ALS36" s="34"/>
      <c r="ALT36" s="34"/>
      <c r="ALU36" s="34"/>
      <c r="ALV36" s="34"/>
      <c r="ALW36" s="34"/>
      <c r="ALX36" s="34"/>
      <c r="ALY36" s="34"/>
      <c r="ALZ36" s="34"/>
      <c r="AMA36" s="34"/>
      <c r="AMB36" s="34"/>
      <c r="AMC36" s="34"/>
      <c r="AMD36" s="34"/>
      <c r="AME36" s="34"/>
      <c r="AMF36" s="34"/>
      <c r="AMG36" s="34"/>
      <c r="AMH36" s="34"/>
      <c r="AMI36" s="34"/>
      <c r="AMJ36" s="34"/>
      <c r="AMK36" s="34"/>
      <c r="AML36" s="34"/>
      <c r="AMM36" s="34"/>
    </row>
    <row r="37" spans="1:1027" s="18" customFormat="1" x14ac:dyDescent="0.2">
      <c r="A37" s="18" t="s">
        <v>504</v>
      </c>
      <c r="B37" s="18" t="s">
        <v>569</v>
      </c>
      <c r="D37" s="18">
        <v>20</v>
      </c>
      <c r="E37" s="19" t="s">
        <v>506</v>
      </c>
      <c r="F37" s="19" t="s">
        <v>507</v>
      </c>
      <c r="G37" s="20" t="s">
        <v>508</v>
      </c>
      <c r="H37" s="19" t="s">
        <v>507</v>
      </c>
      <c r="I37" s="19" t="s">
        <v>507</v>
      </c>
      <c r="J37" s="19" t="s">
        <v>507</v>
      </c>
      <c r="K37" s="21" t="s">
        <v>509</v>
      </c>
      <c r="M37" s="1" t="s">
        <v>510</v>
      </c>
      <c r="N37" s="1"/>
      <c r="S37" s="13"/>
      <c r="T37" s="1"/>
      <c r="U37" s="1"/>
      <c r="V37" s="1"/>
      <c r="W37" s="1"/>
      <c r="X37" s="1"/>
      <c r="Y37" s="1"/>
      <c r="Z37" s="1"/>
      <c r="AA37" s="30"/>
      <c r="AB37" s="1"/>
      <c r="AC37" s="1"/>
      <c r="AD37" s="33"/>
      <c r="AE37" s="33"/>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AMM37" s="29"/>
    </row>
    <row r="38" spans="1:1027" s="18" customFormat="1" ht="15.75" customHeight="1" x14ac:dyDescent="0.2">
      <c r="A38" s="1" t="s">
        <v>504</v>
      </c>
      <c r="B38" s="1" t="s">
        <v>570</v>
      </c>
      <c r="C38" s="1"/>
      <c r="D38" s="1">
        <v>166</v>
      </c>
      <c r="E38" s="10" t="s">
        <v>506</v>
      </c>
      <c r="F38" s="10" t="s">
        <v>508</v>
      </c>
      <c r="G38" s="11" t="s">
        <v>508</v>
      </c>
      <c r="H38" s="10" t="s">
        <v>507</v>
      </c>
      <c r="I38" s="10"/>
      <c r="J38" s="10" t="s">
        <v>507</v>
      </c>
      <c r="K38" s="12"/>
      <c r="L38" s="26"/>
      <c r="M38" s="1"/>
      <c r="N38" s="1"/>
      <c r="O38" s="1"/>
      <c r="P38" s="1"/>
      <c r="Q38" s="1"/>
      <c r="R38" s="1"/>
      <c r="S38" s="13"/>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spans="1:1027" s="41" customFormat="1" x14ac:dyDescent="0.2">
      <c r="A39" s="18" t="s">
        <v>504</v>
      </c>
      <c r="B39" s="18" t="s">
        <v>571</v>
      </c>
      <c r="C39" s="18"/>
      <c r="D39" s="18">
        <v>13</v>
      </c>
      <c r="E39" s="19" t="s">
        <v>506</v>
      </c>
      <c r="F39" s="19" t="s">
        <v>507</v>
      </c>
      <c r="G39" s="20" t="s">
        <v>508</v>
      </c>
      <c r="H39" s="19" t="s">
        <v>507</v>
      </c>
      <c r="I39" s="19" t="s">
        <v>507</v>
      </c>
      <c r="J39" s="19" t="s">
        <v>507</v>
      </c>
      <c r="K39" s="21" t="s">
        <v>509</v>
      </c>
      <c r="L39" s="18"/>
      <c r="M39" s="1" t="s">
        <v>510</v>
      </c>
      <c r="N39" s="1"/>
      <c r="O39" s="18"/>
      <c r="P39" s="18"/>
      <c r="Q39" s="18"/>
      <c r="R39" s="18"/>
      <c r="S39" s="13"/>
      <c r="T39" s="1"/>
      <c r="U39" s="1"/>
      <c r="V39" s="1"/>
      <c r="W39" s="1"/>
      <c r="X39" s="1"/>
      <c r="Y39" s="1"/>
      <c r="Z39" s="40"/>
      <c r="AA39" s="30"/>
      <c r="AB39" s="30"/>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8"/>
      <c r="AMM39" s="18"/>
    </row>
    <row r="40" spans="1:1027" s="34" customFormat="1" x14ac:dyDescent="0.2">
      <c r="A40" s="1">
        <v>3</v>
      </c>
      <c r="B40" s="1" t="s">
        <v>572</v>
      </c>
      <c r="C40" s="1" t="s">
        <v>573</v>
      </c>
      <c r="D40" s="1">
        <v>278</v>
      </c>
      <c r="E40" s="10" t="s">
        <v>507</v>
      </c>
      <c r="F40" s="10" t="s">
        <v>508</v>
      </c>
      <c r="G40" s="11" t="s">
        <v>508</v>
      </c>
      <c r="H40" s="10"/>
      <c r="I40" s="10"/>
      <c r="J40" s="10" t="s">
        <v>508</v>
      </c>
      <c r="K40" s="12"/>
      <c r="L40" s="1"/>
      <c r="M40" s="1"/>
      <c r="N40" s="1"/>
      <c r="S40" s="39" t="s">
        <v>574</v>
      </c>
      <c r="AMM40" s="41"/>
    </row>
    <row r="41" spans="1:1027" s="34" customFormat="1" x14ac:dyDescent="0.2">
      <c r="A41" s="1">
        <v>3</v>
      </c>
      <c r="B41" s="1" t="s">
        <v>575</v>
      </c>
      <c r="C41" s="1" t="s">
        <v>573</v>
      </c>
      <c r="D41" s="1">
        <v>268</v>
      </c>
      <c r="E41" s="10" t="s">
        <v>507</v>
      </c>
      <c r="F41" s="10" t="s">
        <v>508</v>
      </c>
      <c r="G41" s="11" t="s">
        <v>508</v>
      </c>
      <c r="H41" s="10"/>
      <c r="I41" s="10"/>
      <c r="J41" s="10" t="s">
        <v>508</v>
      </c>
      <c r="K41" s="12"/>
      <c r="L41" s="1"/>
      <c r="M41" s="1"/>
      <c r="N41" s="1"/>
      <c r="S41" s="39" t="s">
        <v>576</v>
      </c>
    </row>
    <row r="42" spans="1:1027" s="29" customFormat="1" x14ac:dyDescent="0.2">
      <c r="A42" s="1">
        <v>3</v>
      </c>
      <c r="B42" s="1" t="s">
        <v>577</v>
      </c>
      <c r="C42" s="1" t="s">
        <v>573</v>
      </c>
      <c r="D42" s="1">
        <v>344</v>
      </c>
      <c r="E42" s="10" t="s">
        <v>507</v>
      </c>
      <c r="F42" s="10" t="s">
        <v>508</v>
      </c>
      <c r="G42" s="11" t="s">
        <v>508</v>
      </c>
      <c r="H42" s="10"/>
      <c r="I42" s="10"/>
      <c r="J42" s="10" t="s">
        <v>549</v>
      </c>
      <c r="K42" s="12"/>
      <c r="L42" s="1"/>
      <c r="M42" s="1"/>
      <c r="N42" s="1"/>
      <c r="O42" s="34"/>
      <c r="P42" s="34"/>
      <c r="Q42" s="34"/>
      <c r="R42" s="34"/>
      <c r="S42" s="39" t="s">
        <v>578</v>
      </c>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c r="JD42" s="34"/>
      <c r="JE42" s="34"/>
      <c r="JF42" s="34"/>
      <c r="JG42" s="34"/>
      <c r="JH42" s="34"/>
      <c r="JI42" s="34"/>
      <c r="JJ42" s="34"/>
      <c r="JK42" s="34"/>
      <c r="JL42" s="34"/>
      <c r="JM42" s="34"/>
      <c r="JN42" s="34"/>
      <c r="JO42" s="34"/>
      <c r="JP42" s="34"/>
      <c r="JQ42" s="34"/>
      <c r="JR42" s="34"/>
      <c r="JS42" s="34"/>
      <c r="JT42" s="34"/>
      <c r="JU42" s="34"/>
      <c r="JV42" s="34"/>
      <c r="JW42" s="34"/>
      <c r="JX42" s="34"/>
      <c r="JY42" s="34"/>
      <c r="JZ42" s="34"/>
      <c r="KA42" s="34"/>
      <c r="KB42" s="34"/>
      <c r="KC42" s="34"/>
      <c r="KD42" s="34"/>
      <c r="KE42" s="34"/>
      <c r="KF42" s="34"/>
      <c r="KG42" s="34"/>
      <c r="KH42" s="34"/>
      <c r="KI42" s="34"/>
      <c r="KJ42" s="34"/>
      <c r="KK42" s="34"/>
      <c r="KL42" s="34"/>
      <c r="KM42" s="34"/>
      <c r="KN42" s="34"/>
      <c r="KO42" s="34"/>
      <c r="KP42" s="34"/>
      <c r="KQ42" s="34"/>
      <c r="KR42" s="34"/>
      <c r="KS42" s="34"/>
      <c r="KT42" s="34"/>
      <c r="KU42" s="34"/>
      <c r="KV42" s="34"/>
      <c r="KW42" s="34"/>
      <c r="KX42" s="34"/>
      <c r="KY42" s="34"/>
      <c r="KZ42" s="34"/>
      <c r="LA42" s="34"/>
      <c r="LB42" s="34"/>
      <c r="LC42" s="34"/>
      <c r="LD42" s="34"/>
      <c r="LE42" s="34"/>
      <c r="LF42" s="34"/>
      <c r="LG42" s="34"/>
      <c r="LH42" s="34"/>
      <c r="LI42" s="34"/>
      <c r="LJ42" s="34"/>
      <c r="LK42" s="34"/>
      <c r="LL42" s="34"/>
      <c r="LM42" s="34"/>
      <c r="LN42" s="34"/>
      <c r="LO42" s="34"/>
      <c r="LP42" s="34"/>
      <c r="LQ42" s="34"/>
      <c r="LR42" s="34"/>
      <c r="LS42" s="34"/>
      <c r="LT42" s="34"/>
      <c r="LU42" s="34"/>
      <c r="LV42" s="34"/>
      <c r="LW42" s="34"/>
      <c r="LX42" s="34"/>
      <c r="LY42" s="34"/>
      <c r="LZ42" s="34"/>
      <c r="MA42" s="34"/>
      <c r="MB42" s="34"/>
      <c r="MC42" s="34"/>
      <c r="MD42" s="34"/>
      <c r="ME42" s="34"/>
      <c r="MF42" s="34"/>
      <c r="MG42" s="34"/>
      <c r="MH42" s="34"/>
      <c r="MI42" s="34"/>
      <c r="MJ42" s="34"/>
      <c r="MK42" s="34"/>
      <c r="ML42" s="34"/>
      <c r="MM42" s="34"/>
      <c r="MN42" s="34"/>
      <c r="MO42" s="34"/>
      <c r="MP42" s="34"/>
      <c r="MQ42" s="34"/>
      <c r="MR42" s="34"/>
      <c r="MS42" s="34"/>
      <c r="MT42" s="34"/>
      <c r="MU42" s="34"/>
      <c r="MV42" s="34"/>
      <c r="MW42" s="34"/>
      <c r="MX42" s="34"/>
      <c r="MY42" s="34"/>
      <c r="MZ42" s="34"/>
      <c r="NA42" s="34"/>
      <c r="NB42" s="34"/>
      <c r="NC42" s="34"/>
      <c r="ND42" s="34"/>
      <c r="NE42" s="34"/>
      <c r="NF42" s="34"/>
      <c r="NG42" s="34"/>
      <c r="NH42" s="34"/>
      <c r="NI42" s="34"/>
      <c r="NJ42" s="34"/>
      <c r="NK42" s="34"/>
      <c r="NL42" s="34"/>
      <c r="NM42" s="34"/>
      <c r="NN42" s="34"/>
      <c r="NO42" s="34"/>
      <c r="NP42" s="34"/>
      <c r="NQ42" s="34"/>
      <c r="NR42" s="34"/>
      <c r="NS42" s="34"/>
      <c r="NT42" s="34"/>
      <c r="NU42" s="34"/>
      <c r="NV42" s="34"/>
      <c r="NW42" s="34"/>
      <c r="NX42" s="34"/>
      <c r="NY42" s="34"/>
      <c r="NZ42" s="34"/>
      <c r="OA42" s="34"/>
      <c r="OB42" s="34"/>
      <c r="OC42" s="34"/>
      <c r="OD42" s="34"/>
      <c r="OE42" s="34"/>
      <c r="OF42" s="34"/>
      <c r="OG42" s="34"/>
      <c r="OH42" s="34"/>
      <c r="OI42" s="34"/>
      <c r="OJ42" s="34"/>
      <c r="OK42" s="34"/>
      <c r="OL42" s="34"/>
      <c r="OM42" s="34"/>
      <c r="ON42" s="34"/>
      <c r="OO42" s="34"/>
      <c r="OP42" s="34"/>
      <c r="OQ42" s="34"/>
      <c r="OR42" s="34"/>
      <c r="OS42" s="34"/>
      <c r="OT42" s="34"/>
      <c r="OU42" s="34"/>
      <c r="OV42" s="34"/>
      <c r="OW42" s="34"/>
      <c r="OX42" s="34"/>
      <c r="OY42" s="34"/>
      <c r="OZ42" s="34"/>
      <c r="PA42" s="34"/>
      <c r="PB42" s="34"/>
      <c r="PC42" s="34"/>
      <c r="PD42" s="34"/>
      <c r="PE42" s="34"/>
      <c r="PF42" s="34"/>
      <c r="PG42" s="34"/>
      <c r="PH42" s="34"/>
      <c r="PI42" s="34"/>
      <c r="PJ42" s="34"/>
      <c r="PK42" s="34"/>
      <c r="PL42" s="34"/>
      <c r="PM42" s="34"/>
      <c r="PN42" s="34"/>
      <c r="PO42" s="34"/>
      <c r="PP42" s="34"/>
      <c r="PQ42" s="34"/>
      <c r="PR42" s="34"/>
      <c r="PS42" s="34"/>
      <c r="PT42" s="34"/>
      <c r="PU42" s="34"/>
      <c r="PV42" s="34"/>
      <c r="PW42" s="34"/>
      <c r="PX42" s="34"/>
      <c r="PY42" s="34"/>
      <c r="PZ42" s="34"/>
      <c r="QA42" s="34"/>
      <c r="QB42" s="34"/>
      <c r="QC42" s="34"/>
      <c r="QD42" s="34"/>
      <c r="QE42" s="34"/>
      <c r="QF42" s="34"/>
      <c r="QG42" s="34"/>
      <c r="QH42" s="34"/>
      <c r="QI42" s="34"/>
      <c r="QJ42" s="34"/>
      <c r="QK42" s="34"/>
      <c r="QL42" s="34"/>
      <c r="QM42" s="34"/>
      <c r="QN42" s="34"/>
      <c r="QO42" s="34"/>
      <c r="QP42" s="34"/>
      <c r="QQ42" s="34"/>
      <c r="QR42" s="34"/>
      <c r="QS42" s="34"/>
      <c r="QT42" s="34"/>
      <c r="QU42" s="34"/>
      <c r="QV42" s="34"/>
      <c r="QW42" s="34"/>
      <c r="QX42" s="34"/>
      <c r="QY42" s="34"/>
      <c r="QZ42" s="34"/>
      <c r="RA42" s="34"/>
      <c r="RB42" s="34"/>
      <c r="RC42" s="34"/>
      <c r="RD42" s="34"/>
      <c r="RE42" s="34"/>
      <c r="RF42" s="34"/>
      <c r="RG42" s="34"/>
      <c r="RH42" s="34"/>
      <c r="RI42" s="34"/>
      <c r="RJ42" s="34"/>
      <c r="RK42" s="34"/>
      <c r="RL42" s="34"/>
      <c r="RM42" s="34"/>
      <c r="RN42" s="34"/>
      <c r="RO42" s="34"/>
      <c r="RP42" s="34"/>
      <c r="RQ42" s="34"/>
      <c r="RR42" s="34"/>
      <c r="RS42" s="34"/>
      <c r="RT42" s="34"/>
      <c r="RU42" s="34"/>
      <c r="RV42" s="34"/>
      <c r="RW42" s="34"/>
      <c r="RX42" s="34"/>
      <c r="RY42" s="34"/>
      <c r="RZ42" s="34"/>
      <c r="SA42" s="34"/>
      <c r="SB42" s="34"/>
      <c r="SC42" s="34"/>
      <c r="SD42" s="34"/>
      <c r="SE42" s="34"/>
      <c r="SF42" s="34"/>
      <c r="SG42" s="34"/>
      <c r="SH42" s="34"/>
      <c r="SI42" s="34"/>
      <c r="SJ42" s="34"/>
      <c r="SK42" s="34"/>
      <c r="SL42" s="34"/>
      <c r="SM42" s="34"/>
      <c r="SN42" s="34"/>
      <c r="SO42" s="34"/>
      <c r="SP42" s="34"/>
      <c r="SQ42" s="34"/>
      <c r="SR42" s="34"/>
      <c r="SS42" s="34"/>
      <c r="ST42" s="34"/>
      <c r="SU42" s="34"/>
      <c r="SV42" s="34"/>
      <c r="SW42" s="34"/>
      <c r="SX42" s="34"/>
      <c r="SY42" s="34"/>
      <c r="SZ42" s="34"/>
      <c r="TA42" s="34"/>
      <c r="TB42" s="34"/>
      <c r="TC42" s="34"/>
      <c r="TD42" s="34"/>
      <c r="TE42" s="34"/>
      <c r="TF42" s="34"/>
      <c r="TG42" s="34"/>
      <c r="TH42" s="34"/>
      <c r="TI42" s="34"/>
      <c r="TJ42" s="34"/>
      <c r="TK42" s="34"/>
      <c r="TL42" s="34"/>
      <c r="TM42" s="34"/>
      <c r="TN42" s="34"/>
      <c r="TO42" s="34"/>
      <c r="TP42" s="34"/>
      <c r="TQ42" s="34"/>
      <c r="TR42" s="34"/>
      <c r="TS42" s="34"/>
      <c r="TT42" s="34"/>
      <c r="TU42" s="34"/>
      <c r="TV42" s="34"/>
      <c r="TW42" s="34"/>
      <c r="TX42" s="34"/>
      <c r="TY42" s="34"/>
      <c r="TZ42" s="34"/>
      <c r="UA42" s="34"/>
      <c r="UB42" s="34"/>
      <c r="UC42" s="34"/>
      <c r="UD42" s="34"/>
      <c r="UE42" s="34"/>
      <c r="UF42" s="34"/>
      <c r="UG42" s="34"/>
      <c r="UH42" s="34"/>
      <c r="UI42" s="34"/>
      <c r="UJ42" s="34"/>
      <c r="UK42" s="34"/>
      <c r="UL42" s="34"/>
      <c r="UM42" s="34"/>
      <c r="UN42" s="34"/>
      <c r="UO42" s="34"/>
      <c r="UP42" s="34"/>
      <c r="UQ42" s="34"/>
      <c r="UR42" s="34"/>
      <c r="US42" s="34"/>
      <c r="UT42" s="34"/>
      <c r="UU42" s="34"/>
      <c r="UV42" s="34"/>
      <c r="UW42" s="34"/>
      <c r="UX42" s="34"/>
      <c r="UY42" s="34"/>
      <c r="UZ42" s="34"/>
      <c r="VA42" s="34"/>
      <c r="VB42" s="34"/>
      <c r="VC42" s="34"/>
      <c r="VD42" s="34"/>
      <c r="VE42" s="34"/>
      <c r="VF42" s="34"/>
      <c r="VG42" s="34"/>
      <c r="VH42" s="34"/>
      <c r="VI42" s="34"/>
      <c r="VJ42" s="34"/>
      <c r="VK42" s="34"/>
      <c r="VL42" s="34"/>
      <c r="VM42" s="34"/>
      <c r="VN42" s="34"/>
      <c r="VO42" s="34"/>
      <c r="VP42" s="34"/>
      <c r="VQ42" s="34"/>
      <c r="VR42" s="34"/>
      <c r="VS42" s="34"/>
      <c r="VT42" s="34"/>
      <c r="VU42" s="34"/>
      <c r="VV42" s="34"/>
      <c r="VW42" s="34"/>
      <c r="VX42" s="34"/>
      <c r="VY42" s="34"/>
      <c r="VZ42" s="34"/>
      <c r="WA42" s="34"/>
      <c r="WB42" s="34"/>
      <c r="WC42" s="34"/>
      <c r="WD42" s="34"/>
      <c r="WE42" s="34"/>
      <c r="WF42" s="34"/>
      <c r="WG42" s="34"/>
      <c r="WH42" s="34"/>
      <c r="WI42" s="34"/>
      <c r="WJ42" s="34"/>
      <c r="WK42" s="34"/>
      <c r="WL42" s="34"/>
      <c r="WM42" s="34"/>
      <c r="WN42" s="34"/>
      <c r="WO42" s="34"/>
      <c r="WP42" s="34"/>
      <c r="WQ42" s="34"/>
      <c r="WR42" s="34"/>
      <c r="WS42" s="34"/>
      <c r="WT42" s="34"/>
      <c r="WU42" s="34"/>
      <c r="WV42" s="34"/>
      <c r="WW42" s="34"/>
      <c r="WX42" s="34"/>
      <c r="WY42" s="34"/>
      <c r="WZ42" s="34"/>
      <c r="XA42" s="34"/>
      <c r="XB42" s="34"/>
      <c r="XC42" s="34"/>
      <c r="XD42" s="34"/>
      <c r="XE42" s="34"/>
      <c r="XF42" s="34"/>
      <c r="XG42" s="34"/>
      <c r="XH42" s="34"/>
      <c r="XI42" s="34"/>
      <c r="XJ42" s="34"/>
      <c r="XK42" s="34"/>
      <c r="XL42" s="34"/>
      <c r="XM42" s="34"/>
      <c r="XN42" s="34"/>
      <c r="XO42" s="34"/>
      <c r="XP42" s="34"/>
      <c r="XQ42" s="34"/>
      <c r="XR42" s="34"/>
      <c r="XS42" s="34"/>
      <c r="XT42" s="34"/>
      <c r="XU42" s="34"/>
      <c r="XV42" s="34"/>
      <c r="XW42" s="34"/>
      <c r="XX42" s="34"/>
      <c r="XY42" s="34"/>
      <c r="XZ42" s="34"/>
      <c r="YA42" s="34"/>
      <c r="YB42" s="34"/>
      <c r="YC42" s="34"/>
      <c r="YD42" s="34"/>
      <c r="YE42" s="34"/>
      <c r="YF42" s="34"/>
      <c r="YG42" s="34"/>
      <c r="YH42" s="34"/>
      <c r="YI42" s="34"/>
      <c r="YJ42" s="34"/>
      <c r="YK42" s="34"/>
      <c r="YL42" s="34"/>
      <c r="YM42" s="34"/>
      <c r="YN42" s="34"/>
      <c r="YO42" s="34"/>
      <c r="YP42" s="34"/>
      <c r="YQ42" s="34"/>
      <c r="YR42" s="34"/>
      <c r="YS42" s="34"/>
      <c r="YT42" s="34"/>
      <c r="YU42" s="34"/>
      <c r="YV42" s="34"/>
      <c r="YW42" s="34"/>
      <c r="YX42" s="34"/>
      <c r="YY42" s="34"/>
      <c r="YZ42" s="34"/>
      <c r="ZA42" s="34"/>
      <c r="ZB42" s="34"/>
      <c r="ZC42" s="34"/>
      <c r="ZD42" s="34"/>
      <c r="ZE42" s="34"/>
      <c r="ZF42" s="34"/>
      <c r="ZG42" s="34"/>
      <c r="ZH42" s="34"/>
      <c r="ZI42" s="34"/>
      <c r="ZJ42" s="34"/>
      <c r="ZK42" s="34"/>
      <c r="ZL42" s="34"/>
      <c r="ZM42" s="34"/>
      <c r="ZN42" s="34"/>
      <c r="ZO42" s="34"/>
      <c r="ZP42" s="34"/>
      <c r="ZQ42" s="34"/>
      <c r="ZR42" s="34"/>
      <c r="ZS42" s="34"/>
      <c r="ZT42" s="34"/>
      <c r="ZU42" s="34"/>
      <c r="ZV42" s="34"/>
      <c r="ZW42" s="34"/>
      <c r="ZX42" s="34"/>
      <c r="ZY42" s="34"/>
      <c r="ZZ42" s="34"/>
      <c r="AAA42" s="34"/>
      <c r="AAB42" s="34"/>
      <c r="AAC42" s="34"/>
      <c r="AAD42" s="34"/>
      <c r="AAE42" s="34"/>
      <c r="AAF42" s="34"/>
      <c r="AAG42" s="34"/>
      <c r="AAH42" s="34"/>
      <c r="AAI42" s="34"/>
      <c r="AAJ42" s="34"/>
      <c r="AAK42" s="34"/>
      <c r="AAL42" s="34"/>
      <c r="AAM42" s="34"/>
      <c r="AAN42" s="34"/>
      <c r="AAO42" s="34"/>
      <c r="AAP42" s="34"/>
      <c r="AAQ42" s="34"/>
      <c r="AAR42" s="34"/>
      <c r="AAS42" s="34"/>
      <c r="AAT42" s="34"/>
      <c r="AAU42" s="34"/>
      <c r="AAV42" s="34"/>
      <c r="AAW42" s="34"/>
      <c r="AAX42" s="34"/>
      <c r="AAY42" s="34"/>
      <c r="AAZ42" s="34"/>
      <c r="ABA42" s="34"/>
      <c r="ABB42" s="34"/>
      <c r="ABC42" s="34"/>
      <c r="ABD42" s="34"/>
      <c r="ABE42" s="34"/>
      <c r="ABF42" s="34"/>
      <c r="ABG42" s="34"/>
      <c r="ABH42" s="34"/>
      <c r="ABI42" s="34"/>
      <c r="ABJ42" s="34"/>
      <c r="ABK42" s="34"/>
      <c r="ABL42" s="34"/>
      <c r="ABM42" s="34"/>
      <c r="ABN42" s="34"/>
      <c r="ABO42" s="34"/>
      <c r="ABP42" s="34"/>
      <c r="ABQ42" s="34"/>
      <c r="ABR42" s="34"/>
      <c r="ABS42" s="34"/>
      <c r="ABT42" s="34"/>
      <c r="ABU42" s="34"/>
      <c r="ABV42" s="34"/>
      <c r="ABW42" s="34"/>
      <c r="ABX42" s="34"/>
      <c r="ABY42" s="34"/>
      <c r="ABZ42" s="34"/>
      <c r="ACA42" s="34"/>
      <c r="ACB42" s="34"/>
      <c r="ACC42" s="34"/>
      <c r="ACD42" s="34"/>
      <c r="ACE42" s="34"/>
      <c r="ACF42" s="34"/>
      <c r="ACG42" s="34"/>
      <c r="ACH42" s="34"/>
      <c r="ACI42" s="34"/>
      <c r="ACJ42" s="34"/>
      <c r="ACK42" s="34"/>
      <c r="ACL42" s="34"/>
      <c r="ACM42" s="34"/>
      <c r="ACN42" s="34"/>
      <c r="ACO42" s="34"/>
      <c r="ACP42" s="34"/>
      <c r="ACQ42" s="34"/>
      <c r="ACR42" s="34"/>
      <c r="ACS42" s="34"/>
      <c r="ACT42" s="34"/>
      <c r="ACU42" s="34"/>
      <c r="ACV42" s="34"/>
      <c r="ACW42" s="34"/>
      <c r="ACX42" s="34"/>
      <c r="ACY42" s="34"/>
      <c r="ACZ42" s="34"/>
      <c r="ADA42" s="34"/>
      <c r="ADB42" s="34"/>
      <c r="ADC42" s="34"/>
      <c r="ADD42" s="34"/>
      <c r="ADE42" s="34"/>
      <c r="ADF42" s="34"/>
      <c r="ADG42" s="34"/>
      <c r="ADH42" s="34"/>
      <c r="ADI42" s="34"/>
      <c r="ADJ42" s="34"/>
      <c r="ADK42" s="34"/>
      <c r="ADL42" s="34"/>
      <c r="ADM42" s="34"/>
      <c r="ADN42" s="34"/>
      <c r="ADO42" s="34"/>
      <c r="ADP42" s="34"/>
      <c r="ADQ42" s="34"/>
      <c r="ADR42" s="34"/>
      <c r="ADS42" s="34"/>
      <c r="ADT42" s="34"/>
      <c r="ADU42" s="34"/>
      <c r="ADV42" s="34"/>
      <c r="ADW42" s="34"/>
      <c r="ADX42" s="34"/>
      <c r="ADY42" s="34"/>
      <c r="ADZ42" s="34"/>
      <c r="AEA42" s="34"/>
      <c r="AEB42" s="34"/>
      <c r="AEC42" s="34"/>
      <c r="AED42" s="34"/>
      <c r="AEE42" s="34"/>
      <c r="AEF42" s="34"/>
      <c r="AEG42" s="34"/>
      <c r="AEH42" s="34"/>
      <c r="AEI42" s="34"/>
      <c r="AEJ42" s="34"/>
      <c r="AEK42" s="34"/>
      <c r="AEL42" s="34"/>
      <c r="AEM42" s="34"/>
      <c r="AEN42" s="34"/>
      <c r="AEO42" s="34"/>
      <c r="AEP42" s="34"/>
      <c r="AEQ42" s="34"/>
      <c r="AER42" s="34"/>
      <c r="AES42" s="34"/>
      <c r="AET42" s="34"/>
      <c r="AEU42" s="34"/>
      <c r="AEV42" s="34"/>
      <c r="AEW42" s="34"/>
      <c r="AEX42" s="34"/>
      <c r="AEY42" s="34"/>
      <c r="AEZ42" s="34"/>
      <c r="AFA42" s="34"/>
      <c r="AFB42" s="34"/>
      <c r="AFC42" s="34"/>
      <c r="AFD42" s="34"/>
      <c r="AFE42" s="34"/>
      <c r="AFF42" s="34"/>
      <c r="AFG42" s="34"/>
      <c r="AFH42" s="34"/>
      <c r="AFI42" s="34"/>
      <c r="AFJ42" s="34"/>
      <c r="AFK42" s="34"/>
      <c r="AFL42" s="34"/>
      <c r="AFM42" s="34"/>
      <c r="AFN42" s="34"/>
      <c r="AFO42" s="34"/>
      <c r="AFP42" s="34"/>
      <c r="AFQ42" s="34"/>
      <c r="AFR42" s="34"/>
      <c r="AFS42" s="34"/>
      <c r="AFT42" s="34"/>
      <c r="AFU42" s="34"/>
      <c r="AFV42" s="34"/>
      <c r="AFW42" s="34"/>
      <c r="AFX42" s="34"/>
      <c r="AFY42" s="34"/>
      <c r="AFZ42" s="34"/>
      <c r="AGA42" s="34"/>
      <c r="AGB42" s="34"/>
      <c r="AGC42" s="34"/>
      <c r="AGD42" s="34"/>
      <c r="AGE42" s="34"/>
      <c r="AGF42" s="34"/>
      <c r="AGG42" s="34"/>
      <c r="AGH42" s="34"/>
      <c r="AGI42" s="34"/>
      <c r="AGJ42" s="34"/>
      <c r="AGK42" s="34"/>
      <c r="AGL42" s="34"/>
      <c r="AGM42" s="34"/>
      <c r="AGN42" s="34"/>
      <c r="AGO42" s="34"/>
      <c r="AGP42" s="34"/>
      <c r="AGQ42" s="34"/>
      <c r="AGR42" s="34"/>
      <c r="AGS42" s="34"/>
      <c r="AGT42" s="34"/>
      <c r="AGU42" s="34"/>
      <c r="AGV42" s="34"/>
      <c r="AGW42" s="34"/>
      <c r="AGX42" s="34"/>
      <c r="AGY42" s="34"/>
      <c r="AGZ42" s="34"/>
      <c r="AHA42" s="34"/>
      <c r="AHB42" s="34"/>
      <c r="AHC42" s="34"/>
      <c r="AHD42" s="34"/>
      <c r="AHE42" s="34"/>
      <c r="AHF42" s="34"/>
      <c r="AHG42" s="34"/>
      <c r="AHH42" s="34"/>
      <c r="AHI42" s="34"/>
      <c r="AHJ42" s="34"/>
      <c r="AHK42" s="34"/>
      <c r="AHL42" s="34"/>
      <c r="AHM42" s="34"/>
      <c r="AHN42" s="34"/>
      <c r="AHO42" s="34"/>
      <c r="AHP42" s="34"/>
      <c r="AHQ42" s="34"/>
      <c r="AHR42" s="34"/>
      <c r="AHS42" s="34"/>
      <c r="AHT42" s="34"/>
      <c r="AHU42" s="34"/>
      <c r="AHV42" s="34"/>
      <c r="AHW42" s="34"/>
      <c r="AHX42" s="34"/>
      <c r="AHY42" s="34"/>
      <c r="AHZ42" s="34"/>
      <c r="AIA42" s="34"/>
      <c r="AIB42" s="34"/>
      <c r="AIC42" s="34"/>
      <c r="AID42" s="34"/>
      <c r="AIE42" s="34"/>
      <c r="AIF42" s="34"/>
      <c r="AIG42" s="34"/>
      <c r="AIH42" s="34"/>
      <c r="AII42" s="34"/>
      <c r="AIJ42" s="34"/>
      <c r="AIK42" s="34"/>
      <c r="AIL42" s="34"/>
      <c r="AIM42" s="34"/>
      <c r="AIN42" s="34"/>
      <c r="AIO42" s="34"/>
      <c r="AIP42" s="34"/>
      <c r="AIQ42" s="34"/>
      <c r="AIR42" s="34"/>
      <c r="AIS42" s="34"/>
      <c r="AIT42" s="34"/>
      <c r="AIU42" s="34"/>
      <c r="AIV42" s="34"/>
      <c r="AIW42" s="34"/>
      <c r="AIX42" s="34"/>
      <c r="AIY42" s="34"/>
      <c r="AIZ42" s="34"/>
      <c r="AJA42" s="34"/>
      <c r="AJB42" s="34"/>
      <c r="AJC42" s="34"/>
      <c r="AJD42" s="34"/>
      <c r="AJE42" s="34"/>
      <c r="AJF42" s="34"/>
      <c r="AJG42" s="34"/>
      <c r="AJH42" s="34"/>
      <c r="AJI42" s="34"/>
      <c r="AJJ42" s="34"/>
      <c r="AJK42" s="34"/>
      <c r="AJL42" s="34"/>
      <c r="AJM42" s="34"/>
      <c r="AJN42" s="34"/>
      <c r="AJO42" s="34"/>
      <c r="AJP42" s="34"/>
      <c r="AJQ42" s="34"/>
      <c r="AJR42" s="34"/>
      <c r="AJS42" s="34"/>
      <c r="AJT42" s="34"/>
      <c r="AJU42" s="34"/>
      <c r="AJV42" s="34"/>
      <c r="AJW42" s="34"/>
      <c r="AJX42" s="34"/>
      <c r="AJY42" s="34"/>
      <c r="AJZ42" s="34"/>
      <c r="AKA42" s="34"/>
      <c r="AKB42" s="34"/>
      <c r="AKC42" s="34"/>
      <c r="AKD42" s="34"/>
      <c r="AKE42" s="34"/>
      <c r="AKF42" s="34"/>
      <c r="AKG42" s="34"/>
      <c r="AKH42" s="34"/>
      <c r="AKI42" s="34"/>
      <c r="AKJ42" s="34"/>
      <c r="AKK42" s="34"/>
      <c r="AKL42" s="34"/>
      <c r="AKM42" s="34"/>
      <c r="AKN42" s="34"/>
      <c r="AKO42" s="34"/>
      <c r="AKP42" s="34"/>
      <c r="AKQ42" s="34"/>
      <c r="AKR42" s="34"/>
      <c r="AKS42" s="34"/>
      <c r="AKT42" s="34"/>
      <c r="AKU42" s="34"/>
      <c r="AKV42" s="34"/>
      <c r="AKW42" s="34"/>
      <c r="AKX42" s="34"/>
      <c r="AKY42" s="34"/>
      <c r="AKZ42" s="34"/>
      <c r="ALA42" s="34"/>
      <c r="ALB42" s="34"/>
      <c r="ALC42" s="34"/>
      <c r="ALD42" s="34"/>
      <c r="ALE42" s="34"/>
      <c r="ALF42" s="34"/>
      <c r="ALG42" s="34"/>
      <c r="ALH42" s="34"/>
      <c r="ALI42" s="34"/>
      <c r="ALJ42" s="34"/>
      <c r="ALK42" s="34"/>
      <c r="ALL42" s="34"/>
      <c r="ALM42" s="34"/>
      <c r="ALN42" s="34"/>
      <c r="ALO42" s="34"/>
      <c r="ALP42" s="34"/>
      <c r="ALQ42" s="34"/>
      <c r="ALR42" s="34"/>
      <c r="ALS42" s="34"/>
      <c r="ALT42" s="34"/>
      <c r="ALU42" s="34"/>
      <c r="ALV42" s="34"/>
      <c r="ALW42" s="34"/>
      <c r="ALX42" s="34"/>
      <c r="ALY42" s="34"/>
      <c r="ALZ42" s="34"/>
      <c r="AMA42" s="34"/>
      <c r="AMB42" s="34"/>
      <c r="AMC42" s="34"/>
      <c r="AMD42" s="34"/>
      <c r="AME42" s="34"/>
      <c r="AMF42" s="34"/>
      <c r="AMG42" s="34"/>
      <c r="AMH42" s="34"/>
      <c r="AMI42" s="34"/>
      <c r="AMJ42" s="34"/>
      <c r="AMK42" s="34"/>
      <c r="AML42" s="34"/>
      <c r="AMM42" s="34"/>
    </row>
    <row r="43" spans="1:1027" x14ac:dyDescent="0.2">
      <c r="A43" s="1" t="s">
        <v>504</v>
      </c>
      <c r="B43" s="1" t="s">
        <v>579</v>
      </c>
      <c r="D43" s="1">
        <v>1240</v>
      </c>
      <c r="E43" s="10" t="s">
        <v>506</v>
      </c>
      <c r="F43" s="10" t="s">
        <v>508</v>
      </c>
      <c r="G43" s="11" t="s">
        <v>508</v>
      </c>
      <c r="H43" s="10" t="s">
        <v>507</v>
      </c>
      <c r="J43" s="10" t="s">
        <v>507</v>
      </c>
      <c r="L43" s="26"/>
      <c r="T43" s="6"/>
      <c r="AML43" s="29"/>
      <c r="AMM43" s="29"/>
    </row>
    <row r="44" spans="1:1027" x14ac:dyDescent="0.2">
      <c r="A44" s="1" t="s">
        <v>504</v>
      </c>
      <c r="B44" s="1" t="s">
        <v>580</v>
      </c>
      <c r="D44" s="1">
        <v>231</v>
      </c>
      <c r="E44" s="10" t="s">
        <v>506</v>
      </c>
      <c r="F44" s="10" t="s">
        <v>508</v>
      </c>
      <c r="G44" s="11" t="s">
        <v>508</v>
      </c>
      <c r="H44" s="10" t="s">
        <v>507</v>
      </c>
      <c r="J44" s="10" t="s">
        <v>507</v>
      </c>
      <c r="L44" s="26"/>
      <c r="T44" s="6"/>
    </row>
    <row r="45" spans="1:1027" x14ac:dyDescent="0.2">
      <c r="A45" s="18">
        <v>4</v>
      </c>
      <c r="B45" s="18" t="s">
        <v>581</v>
      </c>
      <c r="C45" s="18" t="s">
        <v>582</v>
      </c>
      <c r="D45" s="28">
        <v>89</v>
      </c>
      <c r="E45" s="42" t="s">
        <v>507</v>
      </c>
      <c r="F45" s="42" t="s">
        <v>507</v>
      </c>
      <c r="G45" s="43" t="s">
        <v>508</v>
      </c>
      <c r="H45" s="42" t="s">
        <v>507</v>
      </c>
      <c r="I45" s="42" t="s">
        <v>507</v>
      </c>
      <c r="J45" s="42" t="s">
        <v>507</v>
      </c>
      <c r="K45" s="21" t="s">
        <v>509</v>
      </c>
      <c r="L45" s="18"/>
      <c r="M45" s="1" t="s">
        <v>510</v>
      </c>
      <c r="O45" s="18"/>
      <c r="P45" s="18"/>
      <c r="Q45" s="18"/>
      <c r="R45" s="18"/>
      <c r="T45" s="6"/>
    </row>
    <row r="46" spans="1:1027" s="18" customFormat="1" x14ac:dyDescent="0.2">
      <c r="A46" s="18">
        <v>4</v>
      </c>
      <c r="B46" s="18" t="s">
        <v>583</v>
      </c>
      <c r="C46" s="18" t="s">
        <v>584</v>
      </c>
      <c r="D46" s="18">
        <v>193</v>
      </c>
      <c r="E46" s="42" t="s">
        <v>507</v>
      </c>
      <c r="F46" s="42" t="s">
        <v>507</v>
      </c>
      <c r="G46" s="43" t="s">
        <v>508</v>
      </c>
      <c r="H46" s="42" t="s">
        <v>507</v>
      </c>
      <c r="I46" s="42"/>
      <c r="J46" s="42" t="s">
        <v>507</v>
      </c>
      <c r="K46" s="23"/>
      <c r="M46" s="1"/>
      <c r="N46" s="1"/>
      <c r="S46" s="27" t="s">
        <v>585</v>
      </c>
      <c r="T46" s="44"/>
      <c r="AML46" s="45"/>
    </row>
    <row r="47" spans="1:1027" s="31" customFormat="1" x14ac:dyDescent="0.2">
      <c r="A47" s="18">
        <v>3</v>
      </c>
      <c r="B47" s="18" t="s">
        <v>586</v>
      </c>
      <c r="C47" s="18" t="s">
        <v>587</v>
      </c>
      <c r="D47" s="18">
        <v>156</v>
      </c>
      <c r="E47" s="19" t="s">
        <v>507</v>
      </c>
      <c r="F47" s="19" t="s">
        <v>507</v>
      </c>
      <c r="G47" s="20" t="s">
        <v>540</v>
      </c>
      <c r="H47" s="19" t="s">
        <v>507</v>
      </c>
      <c r="I47" s="19" t="s">
        <v>507</v>
      </c>
      <c r="J47" s="19" t="s">
        <v>507</v>
      </c>
      <c r="K47" s="21" t="s">
        <v>509</v>
      </c>
      <c r="L47" s="18"/>
      <c r="M47" s="1" t="s">
        <v>510</v>
      </c>
      <c r="N47" s="1"/>
      <c r="O47" s="18"/>
      <c r="P47" s="18"/>
      <c r="Q47" s="18"/>
      <c r="R47" s="18"/>
      <c r="S47" s="13"/>
      <c r="T47" s="6"/>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AMM47" s="18"/>
    </row>
    <row r="48" spans="1:1027" s="18" customFormat="1" x14ac:dyDescent="0.2">
      <c r="A48" s="1">
        <v>4</v>
      </c>
      <c r="B48" s="1" t="s">
        <v>588</v>
      </c>
      <c r="C48" s="1" t="s">
        <v>589</v>
      </c>
      <c r="D48" s="1">
        <v>95</v>
      </c>
      <c r="E48" s="24" t="s">
        <v>507</v>
      </c>
      <c r="F48" s="24" t="s">
        <v>508</v>
      </c>
      <c r="G48" s="25" t="s">
        <v>508</v>
      </c>
      <c r="H48" s="24" t="s">
        <v>507</v>
      </c>
      <c r="I48" s="24"/>
      <c r="J48" s="24" t="s">
        <v>507</v>
      </c>
      <c r="K48" s="12"/>
      <c r="L48" s="26"/>
      <c r="M48" s="1"/>
      <c r="N48" s="1"/>
      <c r="O48" s="1"/>
      <c r="P48" s="1"/>
      <c r="Q48" s="1"/>
      <c r="R48" s="1"/>
      <c r="S48" s="13"/>
      <c r="T48" s="1"/>
      <c r="U48" s="1"/>
      <c r="V48" s="1"/>
      <c r="W48" s="1"/>
      <c r="X48" s="1"/>
      <c r="Y48" s="1"/>
      <c r="Z48" s="1"/>
      <c r="AA48" s="30"/>
      <c r="AB48" s="30"/>
      <c r="AC48" s="1"/>
      <c r="AD48" s="33"/>
      <c r="AE48" s="33"/>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AMM48" s="31"/>
    </row>
    <row r="49" spans="1:1027" s="18" customFormat="1" x14ac:dyDescent="0.2">
      <c r="A49" s="18">
        <v>4</v>
      </c>
      <c r="B49" s="18" t="s">
        <v>590</v>
      </c>
      <c r="C49" s="18" t="s">
        <v>591</v>
      </c>
      <c r="D49" s="18">
        <v>170</v>
      </c>
      <c r="E49" s="42" t="s">
        <v>507</v>
      </c>
      <c r="F49" s="42" t="s">
        <v>507</v>
      </c>
      <c r="G49" s="43" t="s">
        <v>508</v>
      </c>
      <c r="H49" s="42" t="s">
        <v>507</v>
      </c>
      <c r="I49" s="42"/>
      <c r="J49" s="42" t="s">
        <v>507</v>
      </c>
      <c r="K49" s="23"/>
      <c r="M49" s="1"/>
      <c r="N49" s="1"/>
      <c r="S49" s="27" t="s">
        <v>592</v>
      </c>
      <c r="AA49" s="46"/>
      <c r="AB49" s="46"/>
      <c r="AML49" s="45"/>
    </row>
    <row r="50" spans="1:1027" x14ac:dyDescent="0.2">
      <c r="A50" s="1">
        <v>4</v>
      </c>
      <c r="B50" s="1" t="s">
        <v>593</v>
      </c>
      <c r="C50" s="1" t="s">
        <v>594</v>
      </c>
      <c r="D50" s="1">
        <v>185</v>
      </c>
      <c r="E50" s="24" t="s">
        <v>507</v>
      </c>
      <c r="F50" s="24" t="s">
        <v>508</v>
      </c>
      <c r="G50" s="25" t="s">
        <v>508</v>
      </c>
      <c r="H50" s="24" t="s">
        <v>507</v>
      </c>
      <c r="I50" s="24"/>
      <c r="J50" s="24" t="s">
        <v>507</v>
      </c>
      <c r="L50" s="26"/>
      <c r="S50" s="13" t="s">
        <v>595</v>
      </c>
      <c r="AA50" s="30"/>
      <c r="AB50" s="30"/>
      <c r="AML50" s="18"/>
      <c r="AMM50" s="18"/>
    </row>
    <row r="51" spans="1:1027" x14ac:dyDescent="0.2">
      <c r="A51" s="18" t="s">
        <v>504</v>
      </c>
      <c r="B51" s="18" t="s">
        <v>596</v>
      </c>
      <c r="C51" s="18"/>
      <c r="D51" s="18">
        <v>57</v>
      </c>
      <c r="E51" s="19" t="s">
        <v>506</v>
      </c>
      <c r="F51" s="19" t="s">
        <v>507</v>
      </c>
      <c r="G51" s="20" t="s">
        <v>508</v>
      </c>
      <c r="H51" s="19" t="s">
        <v>507</v>
      </c>
      <c r="I51" s="19" t="s">
        <v>507</v>
      </c>
      <c r="J51" s="19" t="s">
        <v>507</v>
      </c>
      <c r="K51" s="21" t="s">
        <v>509</v>
      </c>
      <c r="L51" s="18"/>
      <c r="M51" s="1" t="s">
        <v>510</v>
      </c>
      <c r="O51" s="18" t="s">
        <v>507</v>
      </c>
      <c r="P51" s="18"/>
      <c r="Q51" s="18"/>
      <c r="R51" s="18"/>
      <c r="AA51" s="30"/>
      <c r="AB51" s="30"/>
    </row>
    <row r="52" spans="1:1027" s="18" customFormat="1" x14ac:dyDescent="0.2">
      <c r="A52" s="18" t="s">
        <v>504</v>
      </c>
      <c r="B52" s="18" t="s">
        <v>597</v>
      </c>
      <c r="D52" s="18">
        <v>30</v>
      </c>
      <c r="E52" s="19" t="s">
        <v>506</v>
      </c>
      <c r="F52" s="19" t="s">
        <v>507</v>
      </c>
      <c r="G52" s="20" t="s">
        <v>508</v>
      </c>
      <c r="H52" s="19" t="s">
        <v>507</v>
      </c>
      <c r="I52" s="19"/>
      <c r="J52" s="32" t="s">
        <v>507</v>
      </c>
      <c r="K52" s="21" t="s">
        <v>509</v>
      </c>
      <c r="M52" s="1" t="s">
        <v>598</v>
      </c>
      <c r="N52" s="1"/>
      <c r="S52" s="27"/>
      <c r="AA52" s="46"/>
      <c r="AB52" s="46"/>
      <c r="AD52" s="28"/>
      <c r="AE52" s="28"/>
      <c r="AML52" s="45"/>
    </row>
    <row r="53" spans="1:1027" s="18" customFormat="1" x14ac:dyDescent="0.2">
      <c r="A53" s="18">
        <v>1</v>
      </c>
      <c r="B53" s="18" t="s">
        <v>599</v>
      </c>
      <c r="D53" s="18">
        <v>135</v>
      </c>
      <c r="E53" s="19" t="s">
        <v>507</v>
      </c>
      <c r="F53" s="19" t="s">
        <v>507</v>
      </c>
      <c r="G53" s="20" t="s">
        <v>540</v>
      </c>
      <c r="H53" s="19" t="s">
        <v>507</v>
      </c>
      <c r="I53" s="19" t="s">
        <v>507</v>
      </c>
      <c r="J53" s="19" t="s">
        <v>507</v>
      </c>
      <c r="K53" s="21" t="s">
        <v>509</v>
      </c>
      <c r="M53" s="1" t="s">
        <v>510</v>
      </c>
      <c r="N53" s="1"/>
      <c r="O53" s="18" t="s">
        <v>507</v>
      </c>
      <c r="S53" s="13"/>
      <c r="T53" s="6"/>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1027" s="18" customFormat="1" x14ac:dyDescent="0.2">
      <c r="A54" s="18" t="s">
        <v>504</v>
      </c>
      <c r="B54" s="18" t="s">
        <v>600</v>
      </c>
      <c r="D54" s="18">
        <v>15</v>
      </c>
      <c r="E54" s="19" t="s">
        <v>506</v>
      </c>
      <c r="F54" s="19" t="s">
        <v>507</v>
      </c>
      <c r="G54" s="20" t="s">
        <v>508</v>
      </c>
      <c r="H54" s="19" t="s">
        <v>507</v>
      </c>
      <c r="I54" s="19" t="s">
        <v>507</v>
      </c>
      <c r="J54" s="19" t="s">
        <v>507</v>
      </c>
      <c r="K54" s="21" t="s">
        <v>509</v>
      </c>
      <c r="M54" s="1" t="s">
        <v>514</v>
      </c>
      <c r="N54" s="1"/>
      <c r="O54" s="18" t="s">
        <v>507</v>
      </c>
      <c r="S54" s="13"/>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1027" s="31" customFormat="1" x14ac:dyDescent="0.2">
      <c r="A55" s="1">
        <v>4</v>
      </c>
      <c r="B55" s="1" t="s">
        <v>601</v>
      </c>
      <c r="C55" s="1" t="s">
        <v>602</v>
      </c>
      <c r="D55" s="1">
        <v>245</v>
      </c>
      <c r="E55" s="10" t="s">
        <v>507</v>
      </c>
      <c r="F55" s="10" t="s">
        <v>508</v>
      </c>
      <c r="G55" s="11" t="s">
        <v>508</v>
      </c>
      <c r="H55" s="10" t="s">
        <v>507</v>
      </c>
      <c r="I55" s="10"/>
      <c r="J55" s="10" t="s">
        <v>507</v>
      </c>
      <c r="K55" s="12"/>
      <c r="L55" s="26"/>
      <c r="M55" s="1"/>
      <c r="N55" s="1"/>
      <c r="O55" s="1"/>
      <c r="P55" s="1"/>
      <c r="Q55" s="1"/>
      <c r="R55" s="1"/>
      <c r="S55" s="13"/>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AMM55" s="18"/>
    </row>
    <row r="56" spans="1:1027" s="18" customFormat="1" x14ac:dyDescent="0.2">
      <c r="A56" s="1" t="s">
        <v>504</v>
      </c>
      <c r="B56" s="1" t="s">
        <v>603</v>
      </c>
      <c r="C56" s="1"/>
      <c r="D56" s="1">
        <v>7</v>
      </c>
      <c r="E56" s="10" t="s">
        <v>506</v>
      </c>
      <c r="F56" s="10" t="s">
        <v>508</v>
      </c>
      <c r="G56" s="11" t="s">
        <v>508</v>
      </c>
      <c r="H56" s="10"/>
      <c r="I56" s="10"/>
      <c r="J56" s="10" t="s">
        <v>507</v>
      </c>
      <c r="K56" s="12"/>
      <c r="L56" s="26"/>
      <c r="M56" s="1"/>
      <c r="N56" s="1"/>
      <c r="O56" s="1"/>
      <c r="P56" s="1"/>
      <c r="Q56" s="1"/>
      <c r="R56" s="1"/>
      <c r="S56" s="13"/>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AMM56" s="31"/>
    </row>
    <row r="57" spans="1:1027" s="33" customFormat="1" x14ac:dyDescent="0.2">
      <c r="A57" s="18" t="s">
        <v>604</v>
      </c>
      <c r="B57" s="18" t="s">
        <v>605</v>
      </c>
      <c r="C57" s="18"/>
      <c r="D57" s="18">
        <v>15</v>
      </c>
      <c r="E57" s="19" t="s">
        <v>506</v>
      </c>
      <c r="F57" s="19" t="s">
        <v>507</v>
      </c>
      <c r="G57" s="20" t="s">
        <v>507</v>
      </c>
      <c r="H57" s="19" t="s">
        <v>507</v>
      </c>
      <c r="I57" s="19" t="s">
        <v>507</v>
      </c>
      <c r="J57" s="19" t="s">
        <v>507</v>
      </c>
      <c r="K57" s="21" t="s">
        <v>509</v>
      </c>
      <c r="L57" s="18"/>
      <c r="M57" s="1" t="s">
        <v>510</v>
      </c>
      <c r="N57" s="1"/>
      <c r="O57" s="18" t="s">
        <v>507</v>
      </c>
      <c r="P57" s="18"/>
      <c r="Q57" s="18"/>
      <c r="R57" s="18"/>
      <c r="S57" s="13"/>
      <c r="T57" s="1"/>
      <c r="U57" s="1"/>
      <c r="V57" s="1"/>
      <c r="W57" s="1"/>
      <c r="X57" s="1"/>
      <c r="Y57" s="1"/>
      <c r="Z57" s="1"/>
      <c r="AA57" s="30"/>
      <c r="AB57" s="30"/>
      <c r="AC57" s="1"/>
      <c r="AD57" s="1"/>
      <c r="AE57" s="1"/>
      <c r="AMM57" s="18"/>
    </row>
    <row r="58" spans="1:1027" x14ac:dyDescent="0.2">
      <c r="A58" s="1">
        <v>2</v>
      </c>
      <c r="B58" s="1" t="s">
        <v>178</v>
      </c>
      <c r="C58" s="1" t="s">
        <v>180</v>
      </c>
      <c r="D58" s="1">
        <v>102</v>
      </c>
      <c r="E58" s="10" t="s">
        <v>507</v>
      </c>
      <c r="F58" s="10" t="s">
        <v>508</v>
      </c>
      <c r="G58" s="11" t="s">
        <v>508</v>
      </c>
      <c r="J58" s="10" t="s">
        <v>507</v>
      </c>
      <c r="L58" s="26"/>
      <c r="N58" s="33"/>
      <c r="S58" s="13" t="s">
        <v>606</v>
      </c>
      <c r="AML58" s="1"/>
      <c r="AMM58" s="33"/>
    </row>
    <row r="59" spans="1:1027" s="18" customFormat="1" x14ac:dyDescent="0.2">
      <c r="A59" s="18" t="s">
        <v>604</v>
      </c>
      <c r="B59" s="18" t="s">
        <v>607</v>
      </c>
      <c r="D59" s="18">
        <v>56</v>
      </c>
      <c r="E59" s="19" t="s">
        <v>506</v>
      </c>
      <c r="F59" s="19" t="s">
        <v>507</v>
      </c>
      <c r="G59" s="20" t="s">
        <v>507</v>
      </c>
      <c r="H59" s="19" t="s">
        <v>507</v>
      </c>
      <c r="I59" s="19" t="s">
        <v>507</v>
      </c>
      <c r="J59" s="19" t="s">
        <v>507</v>
      </c>
      <c r="K59" s="21" t="s">
        <v>509</v>
      </c>
      <c r="M59" s="1" t="s">
        <v>510</v>
      </c>
      <c r="N59" s="1"/>
      <c r="O59" s="18" t="s">
        <v>507</v>
      </c>
      <c r="S59" s="13"/>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spans="1:1027" x14ac:dyDescent="0.2">
      <c r="A60" s="18">
        <v>1</v>
      </c>
      <c r="B60" s="18" t="s">
        <v>608</v>
      </c>
      <c r="C60" s="18"/>
      <c r="D60" s="18">
        <v>47</v>
      </c>
      <c r="E60" s="42" t="s">
        <v>507</v>
      </c>
      <c r="F60" s="42" t="s">
        <v>507</v>
      </c>
      <c r="G60" s="43" t="s">
        <v>508</v>
      </c>
      <c r="H60" s="42" t="s">
        <v>507</v>
      </c>
      <c r="I60" s="42"/>
      <c r="J60" s="42" t="s">
        <v>507</v>
      </c>
      <c r="K60" s="21" t="s">
        <v>509</v>
      </c>
      <c r="L60" s="18"/>
      <c r="M60" s="1" t="s">
        <v>609</v>
      </c>
      <c r="O60" s="18"/>
      <c r="P60" s="18"/>
      <c r="Q60" s="18"/>
      <c r="R60" s="18"/>
      <c r="AML60" s="18"/>
      <c r="AMM60" s="18"/>
    </row>
    <row r="61" spans="1:1027" s="18" customFormat="1" x14ac:dyDescent="0.2">
      <c r="A61" s="18" t="s">
        <v>504</v>
      </c>
      <c r="B61" s="18" t="s">
        <v>610</v>
      </c>
      <c r="D61" s="18">
        <v>131</v>
      </c>
      <c r="E61" s="19" t="s">
        <v>506</v>
      </c>
      <c r="F61" s="19" t="s">
        <v>507</v>
      </c>
      <c r="G61" s="20" t="s">
        <v>611</v>
      </c>
      <c r="H61" s="19" t="s">
        <v>507</v>
      </c>
      <c r="I61" s="19" t="s">
        <v>507</v>
      </c>
      <c r="J61" s="19" t="s">
        <v>507</v>
      </c>
      <c r="K61" s="21" t="s">
        <v>509</v>
      </c>
      <c r="M61" s="1" t="s">
        <v>510</v>
      </c>
      <c r="N61" s="1"/>
      <c r="O61" s="18" t="s">
        <v>507</v>
      </c>
      <c r="S61" s="13"/>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row>
    <row r="62" spans="1:1027" x14ac:dyDescent="0.2">
      <c r="A62" s="18" t="s">
        <v>504</v>
      </c>
      <c r="B62" s="18" t="s">
        <v>612</v>
      </c>
      <c r="C62" s="18"/>
      <c r="D62" s="27">
        <v>685</v>
      </c>
      <c r="E62" s="19" t="s">
        <v>506</v>
      </c>
      <c r="F62" s="19" t="s">
        <v>507</v>
      </c>
      <c r="G62" s="20" t="s">
        <v>611</v>
      </c>
      <c r="H62" s="19" t="s">
        <v>507</v>
      </c>
      <c r="I62" s="19" t="s">
        <v>507</v>
      </c>
      <c r="J62" s="19" t="s">
        <v>507</v>
      </c>
      <c r="K62" s="21" t="s">
        <v>509</v>
      </c>
      <c r="L62" s="18"/>
      <c r="M62" s="1" t="s">
        <v>510</v>
      </c>
      <c r="O62" s="18" t="s">
        <v>507</v>
      </c>
      <c r="P62" s="18"/>
      <c r="Q62" s="18"/>
      <c r="R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c r="SG62" s="18"/>
      <c r="SH62" s="18"/>
      <c r="SI62" s="18"/>
      <c r="SJ62" s="18"/>
      <c r="SK62" s="18"/>
      <c r="SL62" s="18"/>
      <c r="SM62" s="18"/>
      <c r="SN62" s="18"/>
      <c r="SO62" s="18"/>
      <c r="SP62" s="18"/>
      <c r="SQ62" s="18"/>
      <c r="SR62" s="18"/>
      <c r="SS62" s="18"/>
      <c r="ST62" s="18"/>
      <c r="SU62" s="18"/>
      <c r="SV62" s="18"/>
      <c r="SW62" s="18"/>
      <c r="SX62" s="18"/>
      <c r="SY62" s="18"/>
      <c r="SZ62" s="18"/>
      <c r="TA62" s="18"/>
      <c r="TB62" s="18"/>
      <c r="TC62" s="18"/>
      <c r="TD62" s="18"/>
      <c r="TE62" s="18"/>
      <c r="TF62" s="18"/>
      <c r="TG62" s="18"/>
      <c r="TH62" s="18"/>
      <c r="TI62" s="18"/>
      <c r="TJ62" s="18"/>
      <c r="TK62" s="18"/>
      <c r="TL62" s="18"/>
      <c r="TM62" s="18"/>
      <c r="TN62" s="18"/>
      <c r="TO62" s="18"/>
      <c r="TP62" s="18"/>
      <c r="TQ62" s="18"/>
      <c r="TR62" s="18"/>
      <c r="TS62" s="18"/>
      <c r="TT62" s="18"/>
      <c r="TU62" s="18"/>
      <c r="TV62" s="18"/>
      <c r="TW62" s="18"/>
      <c r="TX62" s="18"/>
      <c r="TY62" s="18"/>
      <c r="TZ62" s="18"/>
      <c r="UA62" s="18"/>
      <c r="UB62" s="18"/>
      <c r="UC62" s="18"/>
      <c r="UD62" s="18"/>
      <c r="UE62" s="18"/>
      <c r="UF62" s="18"/>
      <c r="UG62" s="18"/>
      <c r="UH62" s="18"/>
      <c r="UI62" s="18"/>
      <c r="UJ62" s="18"/>
      <c r="UK62" s="18"/>
      <c r="UL62" s="18"/>
      <c r="UM62" s="18"/>
      <c r="UN62" s="18"/>
      <c r="UO62" s="18"/>
      <c r="UP62" s="18"/>
      <c r="UQ62" s="18"/>
      <c r="UR62" s="18"/>
      <c r="US62" s="18"/>
      <c r="UT62" s="18"/>
      <c r="UU62" s="18"/>
      <c r="UV62" s="18"/>
      <c r="UW62" s="18"/>
      <c r="UX62" s="18"/>
      <c r="UY62" s="18"/>
      <c r="UZ62" s="18"/>
      <c r="VA62" s="18"/>
      <c r="VB62" s="18"/>
      <c r="VC62" s="18"/>
      <c r="VD62" s="18"/>
      <c r="VE62" s="18"/>
      <c r="VF62" s="18"/>
      <c r="VG62" s="18"/>
      <c r="VH62" s="18"/>
      <c r="VI62" s="18"/>
      <c r="VJ62" s="18"/>
      <c r="VK62" s="18"/>
      <c r="VL62" s="18"/>
      <c r="VM62" s="18"/>
      <c r="VN62" s="18"/>
      <c r="VO62" s="18"/>
      <c r="VP62" s="18"/>
      <c r="VQ62" s="18"/>
      <c r="VR62" s="18"/>
      <c r="VS62" s="18"/>
      <c r="VT62" s="18"/>
      <c r="VU62" s="18"/>
      <c r="VV62" s="18"/>
      <c r="VW62" s="18"/>
      <c r="VX62" s="18"/>
      <c r="VY62" s="18"/>
      <c r="VZ62" s="18"/>
      <c r="WA62" s="18"/>
      <c r="WB62" s="18"/>
      <c r="WC62" s="18"/>
      <c r="WD62" s="18"/>
      <c r="WE62" s="18"/>
      <c r="WF62" s="18"/>
      <c r="WG62" s="18"/>
      <c r="WH62" s="18"/>
      <c r="WI62" s="18"/>
      <c r="WJ62" s="18"/>
      <c r="WK62" s="18"/>
      <c r="WL62" s="18"/>
      <c r="WM62" s="18"/>
      <c r="WN62" s="18"/>
      <c r="WO62" s="18"/>
      <c r="WP62" s="18"/>
      <c r="WQ62" s="18"/>
      <c r="WR62" s="18"/>
      <c r="WS62" s="18"/>
      <c r="WT62" s="18"/>
      <c r="WU62" s="18"/>
      <c r="WV62" s="18"/>
      <c r="WW62" s="18"/>
      <c r="WX62" s="18"/>
      <c r="WY62" s="18"/>
      <c r="WZ62" s="18"/>
      <c r="XA62" s="18"/>
      <c r="XB62" s="18"/>
      <c r="XC62" s="18"/>
      <c r="XD62" s="18"/>
      <c r="XE62" s="18"/>
      <c r="XF62" s="18"/>
      <c r="XG62" s="18"/>
      <c r="XH62" s="18"/>
      <c r="XI62" s="18"/>
      <c r="XJ62" s="18"/>
      <c r="XK62" s="18"/>
      <c r="XL62" s="18"/>
      <c r="XM62" s="18"/>
      <c r="XN62" s="18"/>
      <c r="XO62" s="18"/>
      <c r="XP62" s="18"/>
      <c r="XQ62" s="18"/>
      <c r="XR62" s="18"/>
      <c r="XS62" s="18"/>
      <c r="XT62" s="18"/>
      <c r="XU62" s="18"/>
      <c r="XV62" s="18"/>
      <c r="XW62" s="18"/>
      <c r="XX62" s="18"/>
      <c r="XY62" s="18"/>
      <c r="XZ62" s="18"/>
      <c r="YA62" s="18"/>
      <c r="YB62" s="18"/>
      <c r="YC62" s="18"/>
      <c r="YD62" s="18"/>
      <c r="YE62" s="18"/>
      <c r="YF62" s="18"/>
      <c r="YG62" s="18"/>
      <c r="YH62" s="18"/>
      <c r="YI62" s="18"/>
      <c r="YJ62" s="18"/>
      <c r="YK62" s="18"/>
      <c r="YL62" s="18"/>
      <c r="YM62" s="18"/>
      <c r="YN62" s="18"/>
      <c r="YO62" s="18"/>
      <c r="YP62" s="18"/>
      <c r="YQ62" s="18"/>
      <c r="YR62" s="18"/>
      <c r="YS62" s="18"/>
      <c r="YT62" s="18"/>
      <c r="YU62" s="18"/>
      <c r="YV62" s="18"/>
      <c r="YW62" s="18"/>
      <c r="YX62" s="18"/>
      <c r="YY62" s="18"/>
      <c r="YZ62" s="18"/>
      <c r="ZA62" s="18"/>
      <c r="ZB62" s="18"/>
      <c r="ZC62" s="18"/>
      <c r="ZD62" s="18"/>
      <c r="ZE62" s="18"/>
      <c r="ZF62" s="18"/>
      <c r="ZG62" s="18"/>
      <c r="ZH62" s="18"/>
      <c r="ZI62" s="18"/>
      <c r="ZJ62" s="18"/>
      <c r="ZK62" s="18"/>
      <c r="ZL62" s="18"/>
      <c r="ZM62" s="18"/>
      <c r="ZN62" s="18"/>
      <c r="ZO62" s="18"/>
      <c r="ZP62" s="18"/>
      <c r="ZQ62" s="18"/>
      <c r="ZR62" s="18"/>
      <c r="ZS62" s="18"/>
      <c r="ZT62" s="18"/>
      <c r="ZU62" s="18"/>
      <c r="ZV62" s="18"/>
      <c r="ZW62" s="18"/>
      <c r="ZX62" s="18"/>
      <c r="ZY62" s="18"/>
      <c r="ZZ62" s="18"/>
      <c r="AAA62" s="18"/>
      <c r="AAB62" s="18"/>
      <c r="AAC62" s="18"/>
      <c r="AAD62" s="18"/>
      <c r="AAE62" s="18"/>
      <c r="AAF62" s="18"/>
      <c r="AAG62" s="18"/>
      <c r="AAH62" s="18"/>
      <c r="AAI62" s="18"/>
      <c r="AAJ62" s="18"/>
      <c r="AAK62" s="18"/>
      <c r="AAL62" s="18"/>
      <c r="AAM62" s="18"/>
      <c r="AAN62" s="18"/>
      <c r="AAO62" s="18"/>
      <c r="AAP62" s="18"/>
      <c r="AAQ62" s="18"/>
      <c r="AAR62" s="18"/>
      <c r="AAS62" s="18"/>
      <c r="AAT62" s="18"/>
      <c r="AAU62" s="18"/>
      <c r="AAV62" s="18"/>
      <c r="AAW62" s="18"/>
      <c r="AAX62" s="18"/>
      <c r="AAY62" s="18"/>
      <c r="AAZ62" s="18"/>
      <c r="ABA62" s="18"/>
      <c r="ABB62" s="18"/>
      <c r="ABC62" s="18"/>
      <c r="ABD62" s="18"/>
      <c r="ABE62" s="18"/>
      <c r="ABF62" s="18"/>
      <c r="ABG62" s="18"/>
      <c r="ABH62" s="18"/>
      <c r="ABI62" s="18"/>
      <c r="ABJ62" s="18"/>
      <c r="ABK62" s="18"/>
      <c r="ABL62" s="18"/>
      <c r="ABM62" s="18"/>
      <c r="ABN62" s="18"/>
      <c r="ABO62" s="18"/>
      <c r="ABP62" s="18"/>
      <c r="ABQ62" s="18"/>
      <c r="ABR62" s="18"/>
      <c r="ABS62" s="18"/>
      <c r="ABT62" s="18"/>
      <c r="ABU62" s="18"/>
      <c r="ABV62" s="18"/>
      <c r="ABW62" s="18"/>
      <c r="ABX62" s="18"/>
      <c r="ABY62" s="18"/>
      <c r="ABZ62" s="18"/>
      <c r="ACA62" s="18"/>
      <c r="ACB62" s="18"/>
      <c r="ACC62" s="18"/>
      <c r="ACD62" s="18"/>
      <c r="ACE62" s="18"/>
      <c r="ACF62" s="18"/>
      <c r="ACG62" s="18"/>
      <c r="ACH62" s="18"/>
      <c r="ACI62" s="18"/>
      <c r="ACJ62" s="18"/>
      <c r="ACK62" s="18"/>
      <c r="ACL62" s="18"/>
      <c r="ACM62" s="18"/>
      <c r="ACN62" s="18"/>
      <c r="ACO62" s="18"/>
      <c r="ACP62" s="18"/>
      <c r="ACQ62" s="18"/>
      <c r="ACR62" s="18"/>
      <c r="ACS62" s="18"/>
      <c r="ACT62" s="18"/>
      <c r="ACU62" s="18"/>
      <c r="ACV62" s="18"/>
      <c r="ACW62" s="18"/>
      <c r="ACX62" s="18"/>
      <c r="ACY62" s="18"/>
      <c r="ACZ62" s="18"/>
      <c r="ADA62" s="18"/>
      <c r="ADB62" s="18"/>
      <c r="ADC62" s="18"/>
      <c r="ADD62" s="18"/>
      <c r="ADE62" s="18"/>
      <c r="ADF62" s="18"/>
      <c r="ADG62" s="18"/>
      <c r="ADH62" s="18"/>
      <c r="ADI62" s="18"/>
      <c r="ADJ62" s="18"/>
      <c r="ADK62" s="18"/>
      <c r="ADL62" s="18"/>
      <c r="ADM62" s="18"/>
      <c r="ADN62" s="18"/>
      <c r="ADO62" s="18"/>
      <c r="ADP62" s="18"/>
      <c r="ADQ62" s="18"/>
      <c r="ADR62" s="18"/>
      <c r="ADS62" s="18"/>
      <c r="ADT62" s="18"/>
      <c r="ADU62" s="18"/>
      <c r="ADV62" s="18"/>
      <c r="ADW62" s="18"/>
      <c r="ADX62" s="18"/>
      <c r="ADY62" s="18"/>
      <c r="ADZ62" s="18"/>
      <c r="AEA62" s="18"/>
      <c r="AEB62" s="18"/>
      <c r="AEC62" s="18"/>
      <c r="AED62" s="18"/>
      <c r="AEE62" s="18"/>
      <c r="AEF62" s="18"/>
      <c r="AEG62" s="18"/>
      <c r="AEH62" s="18"/>
      <c r="AEI62" s="18"/>
      <c r="AEJ62" s="18"/>
      <c r="AEK62" s="18"/>
      <c r="AEL62" s="18"/>
      <c r="AEM62" s="18"/>
      <c r="AEN62" s="18"/>
      <c r="AEO62" s="18"/>
      <c r="AEP62" s="18"/>
      <c r="AEQ62" s="18"/>
      <c r="AER62" s="18"/>
      <c r="AES62" s="18"/>
      <c r="AET62" s="18"/>
      <c r="AEU62" s="18"/>
      <c r="AEV62" s="18"/>
      <c r="AEW62" s="18"/>
      <c r="AEX62" s="18"/>
      <c r="AEY62" s="18"/>
      <c r="AEZ62" s="18"/>
      <c r="AFA62" s="18"/>
      <c r="AFB62" s="18"/>
      <c r="AFC62" s="18"/>
      <c r="AFD62" s="18"/>
      <c r="AFE62" s="18"/>
      <c r="AFF62" s="18"/>
      <c r="AFG62" s="18"/>
      <c r="AFH62" s="18"/>
      <c r="AFI62" s="18"/>
      <c r="AFJ62" s="18"/>
      <c r="AFK62" s="18"/>
      <c r="AFL62" s="18"/>
      <c r="AFM62" s="18"/>
      <c r="AFN62" s="18"/>
      <c r="AFO62" s="18"/>
      <c r="AFP62" s="18"/>
      <c r="AFQ62" s="18"/>
      <c r="AFR62" s="18"/>
      <c r="AFS62" s="18"/>
      <c r="AFT62" s="18"/>
      <c r="AFU62" s="18"/>
      <c r="AFV62" s="18"/>
      <c r="AFW62" s="18"/>
      <c r="AFX62" s="18"/>
      <c r="AFY62" s="18"/>
      <c r="AFZ62" s="18"/>
      <c r="AGA62" s="18"/>
      <c r="AGB62" s="18"/>
      <c r="AGC62" s="18"/>
      <c r="AGD62" s="18"/>
      <c r="AGE62" s="18"/>
      <c r="AGF62" s="18"/>
      <c r="AGG62" s="18"/>
      <c r="AGH62" s="18"/>
      <c r="AGI62" s="18"/>
      <c r="AGJ62" s="18"/>
      <c r="AGK62" s="18"/>
      <c r="AGL62" s="18"/>
      <c r="AGM62" s="18"/>
      <c r="AGN62" s="18"/>
      <c r="AGO62" s="18"/>
      <c r="AGP62" s="18"/>
      <c r="AGQ62" s="18"/>
      <c r="AGR62" s="18"/>
      <c r="AGS62" s="18"/>
      <c r="AGT62" s="18"/>
      <c r="AGU62" s="18"/>
      <c r="AGV62" s="18"/>
      <c r="AGW62" s="18"/>
      <c r="AGX62" s="18"/>
      <c r="AGY62" s="18"/>
      <c r="AGZ62" s="18"/>
      <c r="AHA62" s="18"/>
      <c r="AHB62" s="18"/>
      <c r="AHC62" s="18"/>
      <c r="AHD62" s="18"/>
      <c r="AHE62" s="18"/>
      <c r="AHF62" s="18"/>
      <c r="AHG62" s="18"/>
      <c r="AHH62" s="18"/>
      <c r="AHI62" s="18"/>
      <c r="AHJ62" s="18"/>
      <c r="AHK62" s="18"/>
      <c r="AHL62" s="18"/>
      <c r="AHM62" s="18"/>
      <c r="AHN62" s="18"/>
      <c r="AHO62" s="18"/>
      <c r="AHP62" s="18"/>
      <c r="AHQ62" s="18"/>
      <c r="AHR62" s="18"/>
      <c r="AHS62" s="18"/>
      <c r="AHT62" s="18"/>
      <c r="AHU62" s="18"/>
      <c r="AHV62" s="18"/>
      <c r="AHW62" s="18"/>
      <c r="AHX62" s="18"/>
      <c r="AHY62" s="18"/>
      <c r="AHZ62" s="18"/>
      <c r="AIA62" s="18"/>
      <c r="AIB62" s="18"/>
      <c r="AIC62" s="18"/>
      <c r="AID62" s="18"/>
      <c r="AIE62" s="18"/>
      <c r="AIF62" s="18"/>
      <c r="AIG62" s="18"/>
      <c r="AIH62" s="18"/>
      <c r="AII62" s="18"/>
      <c r="AIJ62" s="18"/>
      <c r="AIK62" s="18"/>
      <c r="AIL62" s="18"/>
      <c r="AIM62" s="18"/>
      <c r="AIN62" s="18"/>
      <c r="AIO62" s="18"/>
      <c r="AIP62" s="18"/>
      <c r="AIQ62" s="18"/>
      <c r="AIR62" s="18"/>
      <c r="AIS62" s="18"/>
      <c r="AIT62" s="18"/>
      <c r="AIU62" s="18"/>
      <c r="AIV62" s="18"/>
      <c r="AIW62" s="18"/>
      <c r="AIX62" s="18"/>
      <c r="AIY62" s="18"/>
      <c r="AIZ62" s="18"/>
      <c r="AJA62" s="18"/>
      <c r="AJB62" s="18"/>
      <c r="AJC62" s="18"/>
      <c r="AJD62" s="18"/>
      <c r="AJE62" s="18"/>
      <c r="AJF62" s="18"/>
      <c r="AJG62" s="18"/>
      <c r="AJH62" s="18"/>
      <c r="AJI62" s="18"/>
      <c r="AJJ62" s="18"/>
      <c r="AJK62" s="18"/>
      <c r="AJL62" s="18"/>
      <c r="AJM62" s="18"/>
      <c r="AJN62" s="18"/>
      <c r="AJO62" s="18"/>
      <c r="AJP62" s="18"/>
      <c r="AJQ62" s="18"/>
      <c r="AJR62" s="18"/>
      <c r="AJS62" s="18"/>
      <c r="AJT62" s="18"/>
      <c r="AJU62" s="18"/>
      <c r="AJV62" s="18"/>
      <c r="AJW62" s="18"/>
      <c r="AJX62" s="18"/>
      <c r="AJY62" s="18"/>
      <c r="AJZ62" s="18"/>
      <c r="AKA62" s="18"/>
      <c r="AKB62" s="18"/>
      <c r="AKC62" s="18"/>
      <c r="AKD62" s="18"/>
      <c r="AKE62" s="18"/>
      <c r="AKF62" s="18"/>
      <c r="AKG62" s="18"/>
      <c r="AKH62" s="18"/>
      <c r="AKI62" s="18"/>
      <c r="AKJ62" s="18"/>
      <c r="AKK62" s="18"/>
      <c r="AKL62" s="18"/>
      <c r="AKM62" s="18"/>
      <c r="AKN62" s="18"/>
      <c r="AKO62" s="18"/>
      <c r="AKP62" s="18"/>
      <c r="AKQ62" s="18"/>
      <c r="AKR62" s="18"/>
      <c r="AKS62" s="18"/>
      <c r="AKT62" s="18"/>
      <c r="AKU62" s="18"/>
      <c r="AKV62" s="18"/>
      <c r="AKW62" s="18"/>
      <c r="AKX62" s="18"/>
      <c r="AKY62" s="18"/>
      <c r="AKZ62" s="18"/>
      <c r="ALA62" s="18"/>
      <c r="ALB62" s="18"/>
      <c r="ALC62" s="18"/>
      <c r="ALD62" s="18"/>
      <c r="ALE62" s="18"/>
      <c r="ALF62" s="18"/>
      <c r="ALG62" s="18"/>
      <c r="ALH62" s="18"/>
      <c r="ALI62" s="18"/>
      <c r="ALJ62" s="18"/>
      <c r="ALK62" s="18"/>
      <c r="ALL62" s="18"/>
      <c r="ALM62" s="18"/>
      <c r="ALN62" s="18"/>
      <c r="ALO62" s="18"/>
      <c r="ALP62" s="18"/>
      <c r="ALQ62" s="18"/>
      <c r="ALR62" s="18"/>
      <c r="ALS62" s="18"/>
      <c r="ALT62" s="18"/>
      <c r="ALU62" s="18"/>
      <c r="ALV62" s="18"/>
      <c r="ALW62" s="18"/>
      <c r="ALX62" s="18"/>
      <c r="ALY62" s="18"/>
      <c r="ALZ62" s="18"/>
      <c r="AMA62" s="18"/>
      <c r="AMB62" s="18"/>
      <c r="AMC62" s="18"/>
      <c r="AMD62" s="18"/>
      <c r="AME62" s="18"/>
      <c r="AMF62" s="18"/>
      <c r="AMG62" s="18"/>
      <c r="AMH62" s="18"/>
      <c r="AMI62" s="18"/>
      <c r="AMJ62" s="18"/>
      <c r="AMK62" s="18"/>
      <c r="AML62" s="18"/>
      <c r="AMM62" s="18"/>
    </row>
    <row r="63" spans="1:1027" s="47" customFormat="1" x14ac:dyDescent="0.2">
      <c r="A63" s="18" t="s">
        <v>504</v>
      </c>
      <c r="B63" s="18" t="s">
        <v>613</v>
      </c>
      <c r="C63" s="18"/>
      <c r="D63" s="18">
        <v>139</v>
      </c>
      <c r="E63" s="19" t="s">
        <v>506</v>
      </c>
      <c r="F63" s="19" t="s">
        <v>507</v>
      </c>
      <c r="G63" s="20" t="s">
        <v>508</v>
      </c>
      <c r="H63" s="19" t="s">
        <v>507</v>
      </c>
      <c r="I63" s="19"/>
      <c r="J63" s="19" t="s">
        <v>507</v>
      </c>
      <c r="K63" s="21" t="s">
        <v>509</v>
      </c>
      <c r="L63" s="18"/>
      <c r="M63" s="1"/>
      <c r="N63" s="1"/>
      <c r="O63" s="18" t="s">
        <v>507</v>
      </c>
      <c r="P63" s="18"/>
      <c r="Q63" s="18"/>
      <c r="R63" s="18"/>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8"/>
    </row>
    <row r="64" spans="1:1027" x14ac:dyDescent="0.2">
      <c r="A64" s="1" t="s">
        <v>521</v>
      </c>
      <c r="B64" s="1" t="s">
        <v>614</v>
      </c>
      <c r="D64" s="1">
        <v>83</v>
      </c>
      <c r="E64" s="10" t="s">
        <v>506</v>
      </c>
      <c r="F64" s="10" t="s">
        <v>508</v>
      </c>
      <c r="G64" s="11" t="s">
        <v>508</v>
      </c>
      <c r="H64" s="10" t="s">
        <v>507</v>
      </c>
      <c r="J64" s="10" t="s">
        <v>507</v>
      </c>
      <c r="L64" s="26"/>
      <c r="S64" s="1"/>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47"/>
      <c r="EO64" s="47"/>
      <c r="EP64" s="47"/>
      <c r="EQ64" s="47"/>
      <c r="ER64" s="47"/>
      <c r="ES64" s="47"/>
      <c r="ET64" s="47"/>
      <c r="EU64" s="47"/>
      <c r="EV64" s="47"/>
      <c r="EW64" s="47"/>
      <c r="EX64" s="47"/>
      <c r="EY64" s="47"/>
      <c r="EZ64" s="47"/>
      <c r="FA64" s="47"/>
      <c r="FB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c r="GU64" s="47"/>
      <c r="GV64" s="47"/>
      <c r="GW64" s="47"/>
      <c r="GX64" s="47"/>
      <c r="GY64" s="47"/>
      <c r="GZ64" s="47"/>
      <c r="HA64" s="47"/>
      <c r="HB64" s="47"/>
      <c r="HC64" s="47"/>
      <c r="HD64" s="47"/>
      <c r="HE64" s="47"/>
      <c r="HF64" s="47"/>
      <c r="HG64" s="47"/>
      <c r="HH64" s="47"/>
      <c r="HI64" s="47"/>
      <c r="HJ64" s="47"/>
      <c r="HK64" s="47"/>
      <c r="HL64" s="47"/>
      <c r="HM64" s="47"/>
      <c r="HN64" s="47"/>
      <c r="HO64" s="47"/>
      <c r="HP64" s="47"/>
      <c r="HQ64" s="47"/>
      <c r="HR64" s="47"/>
      <c r="HS64" s="47"/>
      <c r="HT64" s="47"/>
      <c r="HU64" s="47"/>
      <c r="HV64" s="47"/>
      <c r="HW64" s="47"/>
      <c r="HX64" s="47"/>
      <c r="HY64" s="47"/>
      <c r="HZ64" s="47"/>
      <c r="IA64" s="47"/>
      <c r="IB64" s="47"/>
      <c r="IC64" s="47"/>
      <c r="ID64" s="47"/>
      <c r="IE64" s="47"/>
      <c r="IF64" s="47"/>
      <c r="IG64" s="47"/>
      <c r="IH64" s="47"/>
      <c r="II64" s="47"/>
      <c r="IJ64" s="47"/>
      <c r="IK64" s="47"/>
      <c r="IL64" s="47"/>
      <c r="IM64" s="47"/>
      <c r="IN64" s="47"/>
      <c r="IO64" s="47"/>
      <c r="IP64" s="47"/>
      <c r="IQ64" s="47"/>
      <c r="IR64" s="47"/>
      <c r="IS64" s="47"/>
      <c r="IT64" s="47"/>
      <c r="IU64" s="47"/>
      <c r="IV64" s="47"/>
      <c r="IW64" s="47"/>
      <c r="IX64" s="47"/>
      <c r="IY64" s="47"/>
      <c r="IZ64" s="47"/>
      <c r="JA64" s="47"/>
      <c r="JB64" s="47"/>
      <c r="JC64" s="47"/>
      <c r="JD64" s="47"/>
      <c r="JE64" s="47"/>
      <c r="JF64" s="47"/>
      <c r="JG64" s="47"/>
      <c r="JH64" s="47"/>
      <c r="JI64" s="47"/>
      <c r="JJ64" s="47"/>
      <c r="JK64" s="47"/>
      <c r="JL64" s="47"/>
      <c r="JM64" s="47"/>
      <c r="JN64" s="47"/>
      <c r="JO64" s="47"/>
      <c r="JP64" s="47"/>
      <c r="JQ64" s="47"/>
      <c r="JR64" s="47"/>
      <c r="JS64" s="47"/>
      <c r="JT64" s="47"/>
      <c r="JU64" s="47"/>
      <c r="JV64" s="47"/>
      <c r="JW64" s="47"/>
      <c r="JX64" s="47"/>
      <c r="JY64" s="47"/>
      <c r="JZ64" s="47"/>
      <c r="KA64" s="47"/>
      <c r="KB64" s="47"/>
      <c r="KC64" s="47"/>
      <c r="KD64" s="47"/>
      <c r="KE64" s="47"/>
      <c r="KF64" s="47"/>
      <c r="KG64" s="47"/>
      <c r="KH64" s="47"/>
      <c r="KI64" s="47"/>
      <c r="KJ64" s="47"/>
      <c r="KK64" s="47"/>
      <c r="KL64" s="47"/>
      <c r="KM64" s="47"/>
      <c r="KN64" s="47"/>
      <c r="KO64" s="47"/>
      <c r="KP64" s="47"/>
      <c r="KQ64" s="47"/>
      <c r="KR64" s="47"/>
      <c r="KS64" s="47"/>
      <c r="KT64" s="47"/>
      <c r="KU64" s="47"/>
      <c r="KV64" s="47"/>
      <c r="KW64" s="47"/>
      <c r="KX64" s="47"/>
      <c r="KY64" s="47"/>
      <c r="KZ64" s="47"/>
      <c r="LA64" s="47"/>
      <c r="LB64" s="47"/>
      <c r="LC64" s="47"/>
      <c r="LD64" s="47"/>
      <c r="LE64" s="47"/>
      <c r="LF64" s="47"/>
      <c r="LG64" s="47"/>
      <c r="LH64" s="47"/>
      <c r="LI64" s="47"/>
      <c r="LJ64" s="47"/>
      <c r="LK64" s="47"/>
      <c r="LL64" s="47"/>
      <c r="LM64" s="47"/>
      <c r="LN64" s="47"/>
      <c r="LO64" s="47"/>
      <c r="LP64" s="47"/>
      <c r="LQ64" s="47"/>
      <c r="LR64" s="47"/>
      <c r="LS64" s="47"/>
      <c r="LT64" s="47"/>
      <c r="LU64" s="47"/>
      <c r="LV64" s="47"/>
      <c r="LW64" s="47"/>
      <c r="LX64" s="47"/>
      <c r="LY64" s="47"/>
      <c r="LZ64" s="47"/>
      <c r="MA64" s="47"/>
      <c r="MB64" s="47"/>
      <c r="MC64" s="47"/>
      <c r="MD64" s="47"/>
      <c r="ME64" s="47"/>
      <c r="MF64" s="47"/>
      <c r="MG64" s="47"/>
      <c r="MH64" s="47"/>
      <c r="MI64" s="47"/>
      <c r="MJ64" s="47"/>
      <c r="MK64" s="47"/>
      <c r="ML64" s="47"/>
      <c r="MM64" s="47"/>
      <c r="MN64" s="47"/>
      <c r="MO64" s="47"/>
      <c r="MP64" s="47"/>
      <c r="MQ64" s="47"/>
      <c r="MR64" s="47"/>
      <c r="MS64" s="47"/>
      <c r="MT64" s="47"/>
      <c r="MU64" s="47"/>
      <c r="MV64" s="47"/>
      <c r="MW64" s="47"/>
      <c r="MX64" s="47"/>
      <c r="MY64" s="47"/>
      <c r="MZ64" s="47"/>
      <c r="NA64" s="47"/>
      <c r="NB64" s="47"/>
      <c r="NC64" s="47"/>
      <c r="ND64" s="47"/>
      <c r="NE64" s="47"/>
      <c r="NF64" s="47"/>
      <c r="NG64" s="47"/>
      <c r="NH64" s="47"/>
      <c r="NI64" s="47"/>
      <c r="NJ64" s="47"/>
      <c r="NK64" s="47"/>
      <c r="NL64" s="47"/>
      <c r="NM64" s="47"/>
      <c r="NN64" s="47"/>
      <c r="NO64" s="47"/>
      <c r="NP64" s="47"/>
      <c r="NQ64" s="47"/>
      <c r="NR64" s="47"/>
      <c r="NS64" s="47"/>
      <c r="NT64" s="47"/>
      <c r="NU64" s="47"/>
      <c r="NV64" s="47"/>
      <c r="NW64" s="47"/>
      <c r="NX64" s="47"/>
      <c r="NY64" s="47"/>
      <c r="NZ64" s="47"/>
      <c r="OA64" s="47"/>
      <c r="OB64" s="47"/>
      <c r="OC64" s="47"/>
      <c r="OD64" s="47"/>
      <c r="OE64" s="47"/>
      <c r="OF64" s="47"/>
      <c r="OG64" s="47"/>
      <c r="OH64" s="47"/>
      <c r="OI64" s="47"/>
      <c r="OJ64" s="47"/>
      <c r="OK64" s="47"/>
      <c r="OL64" s="47"/>
      <c r="OM64" s="47"/>
      <c r="ON64" s="47"/>
      <c r="OO64" s="47"/>
      <c r="OP64" s="47"/>
      <c r="OQ64" s="47"/>
      <c r="OR64" s="47"/>
      <c r="OS64" s="47"/>
      <c r="OT64" s="47"/>
      <c r="OU64" s="47"/>
      <c r="OV64" s="47"/>
      <c r="OW64" s="47"/>
      <c r="OX64" s="47"/>
      <c r="OY64" s="47"/>
      <c r="OZ64" s="47"/>
      <c r="PA64" s="47"/>
      <c r="PB64" s="47"/>
      <c r="PC64" s="47"/>
      <c r="PD64" s="47"/>
      <c r="PE64" s="47"/>
      <c r="PF64" s="47"/>
      <c r="PG64" s="47"/>
      <c r="PH64" s="47"/>
      <c r="PI64" s="47"/>
      <c r="PJ64" s="47"/>
      <c r="PK64" s="47"/>
      <c r="PL64" s="47"/>
      <c r="PM64" s="47"/>
      <c r="PN64" s="47"/>
      <c r="PO64" s="47"/>
      <c r="PP64" s="47"/>
      <c r="PQ64" s="47"/>
      <c r="PR64" s="47"/>
      <c r="PS64" s="47"/>
      <c r="PT64" s="47"/>
      <c r="PU64" s="47"/>
      <c r="PV64" s="47"/>
      <c r="PW64" s="47"/>
      <c r="PX64" s="47"/>
      <c r="PY64" s="47"/>
      <c r="PZ64" s="47"/>
      <c r="QA64" s="47"/>
      <c r="QB64" s="47"/>
      <c r="QC64" s="47"/>
      <c r="QD64" s="47"/>
      <c r="QE64" s="47"/>
      <c r="QF64" s="47"/>
      <c r="QG64" s="47"/>
      <c r="QH64" s="47"/>
      <c r="QI64" s="47"/>
      <c r="QJ64" s="47"/>
      <c r="QK64" s="47"/>
      <c r="QL64" s="47"/>
      <c r="QM64" s="47"/>
      <c r="QN64" s="47"/>
      <c r="QO64" s="47"/>
      <c r="QP64" s="47"/>
      <c r="QQ64" s="47"/>
      <c r="QR64" s="47"/>
      <c r="QS64" s="47"/>
      <c r="QT64" s="47"/>
      <c r="QU64" s="47"/>
      <c r="QV64" s="47"/>
      <c r="QW64" s="47"/>
      <c r="QX64" s="47"/>
      <c r="QY64" s="47"/>
      <c r="QZ64" s="47"/>
      <c r="RA64" s="47"/>
      <c r="RB64" s="47"/>
      <c r="RC64" s="47"/>
      <c r="RD64" s="47"/>
      <c r="RE64" s="47"/>
      <c r="RF64" s="47"/>
      <c r="RG64" s="47"/>
      <c r="RH64" s="47"/>
      <c r="RI64" s="47"/>
      <c r="RJ64" s="47"/>
      <c r="RK64" s="47"/>
      <c r="RL64" s="47"/>
      <c r="RM64" s="47"/>
      <c r="RN64" s="47"/>
      <c r="RO64" s="47"/>
      <c r="RP64" s="47"/>
      <c r="RQ64" s="47"/>
      <c r="RR64" s="47"/>
      <c r="RS64" s="47"/>
      <c r="RT64" s="47"/>
      <c r="RU64" s="47"/>
      <c r="RV64" s="47"/>
      <c r="RW64" s="47"/>
      <c r="RX64" s="47"/>
      <c r="RY64" s="47"/>
      <c r="RZ64" s="47"/>
      <c r="SA64" s="47"/>
      <c r="SB64" s="47"/>
      <c r="SC64" s="47"/>
      <c r="SD64" s="47"/>
      <c r="SE64" s="47"/>
      <c r="SF64" s="47"/>
      <c r="SG64" s="47"/>
      <c r="SH64" s="47"/>
      <c r="SI64" s="47"/>
      <c r="SJ64" s="47"/>
      <c r="SK64" s="47"/>
      <c r="SL64" s="47"/>
      <c r="SM64" s="47"/>
      <c r="SN64" s="47"/>
      <c r="SO64" s="47"/>
      <c r="SP64" s="47"/>
      <c r="SQ64" s="47"/>
      <c r="SR64" s="47"/>
      <c r="SS64" s="47"/>
      <c r="ST64" s="47"/>
      <c r="SU64" s="47"/>
      <c r="SV64" s="47"/>
      <c r="SW64" s="47"/>
      <c r="SX64" s="47"/>
      <c r="SY64" s="47"/>
      <c r="SZ64" s="47"/>
      <c r="TA64" s="47"/>
      <c r="TB64" s="47"/>
      <c r="TC64" s="47"/>
      <c r="TD64" s="47"/>
      <c r="TE64" s="47"/>
      <c r="TF64" s="47"/>
      <c r="TG64" s="47"/>
      <c r="TH64" s="47"/>
      <c r="TI64" s="47"/>
      <c r="TJ64" s="47"/>
      <c r="TK64" s="47"/>
      <c r="TL64" s="47"/>
      <c r="TM64" s="47"/>
      <c r="TN64" s="47"/>
      <c r="TO64" s="47"/>
      <c r="TP64" s="47"/>
      <c r="TQ64" s="47"/>
      <c r="TR64" s="47"/>
      <c r="TS64" s="47"/>
      <c r="TT64" s="47"/>
      <c r="TU64" s="47"/>
      <c r="TV64" s="47"/>
      <c r="TW64" s="47"/>
      <c r="TX64" s="47"/>
      <c r="TY64" s="47"/>
      <c r="TZ64" s="47"/>
      <c r="UA64" s="47"/>
      <c r="UB64" s="47"/>
      <c r="UC64" s="47"/>
      <c r="UD64" s="47"/>
      <c r="UE64" s="47"/>
      <c r="UF64" s="47"/>
      <c r="UG64" s="47"/>
      <c r="UH64" s="47"/>
      <c r="UI64" s="47"/>
      <c r="UJ64" s="47"/>
      <c r="UK64" s="47"/>
      <c r="UL64" s="47"/>
      <c r="UM64" s="47"/>
      <c r="UN64" s="47"/>
      <c r="UO64" s="47"/>
      <c r="UP64" s="47"/>
      <c r="UQ64" s="47"/>
      <c r="UR64" s="47"/>
      <c r="US64" s="47"/>
      <c r="UT64" s="47"/>
      <c r="UU64" s="47"/>
      <c r="UV64" s="47"/>
      <c r="UW64" s="47"/>
      <c r="UX64" s="47"/>
      <c r="UY64" s="47"/>
      <c r="UZ64" s="47"/>
      <c r="VA64" s="47"/>
      <c r="VB64" s="47"/>
      <c r="VC64" s="47"/>
      <c r="VD64" s="47"/>
      <c r="VE64" s="47"/>
      <c r="VF64" s="47"/>
      <c r="VG64" s="47"/>
      <c r="VH64" s="47"/>
      <c r="VI64" s="47"/>
      <c r="VJ64" s="47"/>
      <c r="VK64" s="47"/>
      <c r="VL64" s="47"/>
      <c r="VM64" s="47"/>
      <c r="VN64" s="47"/>
      <c r="VO64" s="47"/>
      <c r="VP64" s="47"/>
      <c r="VQ64" s="47"/>
      <c r="VR64" s="47"/>
      <c r="VS64" s="47"/>
      <c r="VT64" s="47"/>
      <c r="VU64" s="47"/>
      <c r="VV64" s="47"/>
      <c r="VW64" s="47"/>
      <c r="VX64" s="47"/>
      <c r="VY64" s="47"/>
      <c r="VZ64" s="47"/>
      <c r="WA64" s="47"/>
      <c r="WB64" s="47"/>
      <c r="WC64" s="47"/>
      <c r="WD64" s="47"/>
      <c r="WE64" s="47"/>
      <c r="WF64" s="47"/>
      <c r="WG64" s="47"/>
      <c r="WH64" s="47"/>
      <c r="WI64" s="47"/>
      <c r="WJ64" s="47"/>
      <c r="WK64" s="47"/>
      <c r="WL64" s="47"/>
      <c r="WM64" s="47"/>
      <c r="WN64" s="47"/>
      <c r="WO64" s="47"/>
      <c r="WP64" s="47"/>
      <c r="WQ64" s="47"/>
      <c r="WR64" s="47"/>
      <c r="WS64" s="47"/>
      <c r="WT64" s="47"/>
      <c r="WU64" s="47"/>
      <c r="WV64" s="47"/>
      <c r="WW64" s="47"/>
      <c r="WX64" s="47"/>
      <c r="WY64" s="47"/>
      <c r="WZ64" s="47"/>
      <c r="XA64" s="47"/>
      <c r="XB64" s="47"/>
      <c r="XC64" s="47"/>
      <c r="XD64" s="47"/>
      <c r="XE64" s="47"/>
      <c r="XF64" s="47"/>
      <c r="XG64" s="47"/>
      <c r="XH64" s="47"/>
      <c r="XI64" s="47"/>
      <c r="XJ64" s="47"/>
      <c r="XK64" s="47"/>
      <c r="XL64" s="47"/>
      <c r="XM64" s="47"/>
      <c r="XN64" s="47"/>
      <c r="XO64" s="47"/>
      <c r="XP64" s="47"/>
      <c r="XQ64" s="47"/>
      <c r="XR64" s="47"/>
      <c r="XS64" s="47"/>
      <c r="XT64" s="47"/>
      <c r="XU64" s="47"/>
      <c r="XV64" s="47"/>
      <c r="XW64" s="47"/>
      <c r="XX64" s="47"/>
      <c r="XY64" s="47"/>
      <c r="XZ64" s="47"/>
      <c r="YA64" s="47"/>
      <c r="YB64" s="47"/>
      <c r="YC64" s="47"/>
      <c r="YD64" s="47"/>
      <c r="YE64" s="47"/>
      <c r="YF64" s="47"/>
      <c r="YG64" s="47"/>
      <c r="YH64" s="47"/>
      <c r="YI64" s="47"/>
      <c r="YJ64" s="47"/>
      <c r="YK64" s="47"/>
      <c r="YL64" s="47"/>
      <c r="YM64" s="47"/>
      <c r="YN64" s="47"/>
      <c r="YO64" s="47"/>
      <c r="YP64" s="47"/>
      <c r="YQ64" s="47"/>
      <c r="YR64" s="47"/>
      <c r="YS64" s="47"/>
      <c r="YT64" s="47"/>
      <c r="YU64" s="47"/>
      <c r="YV64" s="47"/>
      <c r="YW64" s="47"/>
      <c r="YX64" s="47"/>
      <c r="YY64" s="47"/>
      <c r="YZ64" s="47"/>
      <c r="ZA64" s="47"/>
      <c r="ZB64" s="47"/>
      <c r="ZC64" s="47"/>
      <c r="ZD64" s="47"/>
      <c r="ZE64" s="47"/>
      <c r="ZF64" s="47"/>
      <c r="ZG64" s="47"/>
      <c r="ZH64" s="47"/>
      <c r="ZI64" s="47"/>
      <c r="ZJ64" s="47"/>
      <c r="ZK64" s="47"/>
      <c r="ZL64" s="47"/>
      <c r="ZM64" s="47"/>
      <c r="ZN64" s="47"/>
      <c r="ZO64" s="47"/>
      <c r="ZP64" s="47"/>
      <c r="ZQ64" s="47"/>
      <c r="ZR64" s="47"/>
      <c r="ZS64" s="47"/>
      <c r="ZT64" s="47"/>
      <c r="ZU64" s="47"/>
      <c r="ZV64" s="47"/>
      <c r="ZW64" s="47"/>
      <c r="ZX64" s="47"/>
      <c r="ZY64" s="47"/>
      <c r="ZZ64" s="47"/>
      <c r="AAA64" s="47"/>
      <c r="AAB64" s="47"/>
      <c r="AAC64" s="47"/>
      <c r="AAD64" s="47"/>
      <c r="AAE64" s="47"/>
      <c r="AAF64" s="47"/>
      <c r="AAG64" s="47"/>
      <c r="AAH64" s="47"/>
      <c r="AAI64" s="47"/>
      <c r="AAJ64" s="47"/>
      <c r="AAK64" s="47"/>
      <c r="AAL64" s="47"/>
      <c r="AAM64" s="47"/>
      <c r="AAN64" s="47"/>
      <c r="AAO64" s="47"/>
      <c r="AAP64" s="47"/>
      <c r="AAQ64" s="47"/>
      <c r="AAR64" s="47"/>
      <c r="AAS64" s="47"/>
      <c r="AAT64" s="47"/>
      <c r="AAU64" s="47"/>
      <c r="AAV64" s="47"/>
      <c r="AAW64" s="47"/>
      <c r="AAX64" s="47"/>
      <c r="AAY64" s="47"/>
      <c r="AAZ64" s="47"/>
      <c r="ABA64" s="47"/>
      <c r="ABB64" s="47"/>
      <c r="ABC64" s="47"/>
      <c r="ABD64" s="47"/>
      <c r="ABE64" s="47"/>
      <c r="ABF64" s="47"/>
      <c r="ABG64" s="47"/>
      <c r="ABH64" s="47"/>
      <c r="ABI64" s="47"/>
      <c r="ABJ64" s="47"/>
      <c r="ABK64" s="47"/>
      <c r="ABL64" s="47"/>
      <c r="ABM64" s="47"/>
      <c r="ABN64" s="47"/>
      <c r="ABO64" s="47"/>
      <c r="ABP64" s="47"/>
      <c r="ABQ64" s="47"/>
      <c r="ABR64" s="47"/>
      <c r="ABS64" s="47"/>
      <c r="ABT64" s="47"/>
      <c r="ABU64" s="47"/>
      <c r="ABV64" s="47"/>
      <c r="ABW64" s="47"/>
      <c r="ABX64" s="47"/>
      <c r="ABY64" s="47"/>
      <c r="ABZ64" s="47"/>
      <c r="ACA64" s="47"/>
      <c r="ACB64" s="47"/>
      <c r="ACC64" s="47"/>
      <c r="ACD64" s="47"/>
      <c r="ACE64" s="47"/>
      <c r="ACF64" s="47"/>
      <c r="ACG64" s="47"/>
      <c r="ACH64" s="47"/>
      <c r="ACI64" s="47"/>
      <c r="ACJ64" s="47"/>
      <c r="ACK64" s="47"/>
      <c r="ACL64" s="47"/>
      <c r="ACM64" s="47"/>
      <c r="ACN64" s="47"/>
      <c r="ACO64" s="47"/>
      <c r="ACP64" s="47"/>
      <c r="ACQ64" s="47"/>
      <c r="ACR64" s="47"/>
      <c r="ACS64" s="47"/>
      <c r="ACT64" s="47"/>
      <c r="ACU64" s="47"/>
      <c r="ACV64" s="47"/>
      <c r="ACW64" s="47"/>
      <c r="ACX64" s="47"/>
      <c r="ACY64" s="47"/>
      <c r="ACZ64" s="47"/>
      <c r="ADA64" s="47"/>
      <c r="ADB64" s="47"/>
      <c r="ADC64" s="47"/>
      <c r="ADD64" s="47"/>
      <c r="ADE64" s="47"/>
      <c r="ADF64" s="47"/>
      <c r="ADG64" s="47"/>
      <c r="ADH64" s="47"/>
      <c r="ADI64" s="47"/>
      <c r="ADJ64" s="47"/>
      <c r="ADK64" s="47"/>
      <c r="ADL64" s="47"/>
      <c r="ADM64" s="47"/>
      <c r="ADN64" s="47"/>
      <c r="ADO64" s="47"/>
      <c r="ADP64" s="47"/>
      <c r="ADQ64" s="47"/>
      <c r="ADR64" s="47"/>
      <c r="ADS64" s="47"/>
      <c r="ADT64" s="47"/>
      <c r="ADU64" s="47"/>
      <c r="ADV64" s="47"/>
      <c r="ADW64" s="47"/>
      <c r="ADX64" s="47"/>
      <c r="ADY64" s="47"/>
      <c r="ADZ64" s="47"/>
      <c r="AEA64" s="47"/>
      <c r="AEB64" s="47"/>
      <c r="AEC64" s="47"/>
      <c r="AED64" s="47"/>
      <c r="AEE64" s="47"/>
      <c r="AEF64" s="47"/>
      <c r="AEG64" s="47"/>
      <c r="AEH64" s="47"/>
      <c r="AEI64" s="47"/>
      <c r="AEJ64" s="47"/>
      <c r="AEK64" s="47"/>
      <c r="AEL64" s="47"/>
      <c r="AEM64" s="47"/>
      <c r="AEN64" s="47"/>
      <c r="AEO64" s="47"/>
      <c r="AEP64" s="47"/>
      <c r="AEQ64" s="47"/>
      <c r="AER64" s="47"/>
      <c r="AES64" s="47"/>
      <c r="AET64" s="47"/>
      <c r="AEU64" s="47"/>
      <c r="AEV64" s="47"/>
      <c r="AEW64" s="47"/>
      <c r="AEX64" s="47"/>
      <c r="AEY64" s="47"/>
      <c r="AEZ64" s="47"/>
      <c r="AFA64" s="47"/>
      <c r="AFB64" s="47"/>
      <c r="AFC64" s="47"/>
      <c r="AFD64" s="47"/>
      <c r="AFE64" s="47"/>
      <c r="AFF64" s="47"/>
      <c r="AFG64" s="47"/>
      <c r="AFH64" s="47"/>
      <c r="AFI64" s="47"/>
      <c r="AFJ64" s="47"/>
      <c r="AFK64" s="47"/>
      <c r="AFL64" s="47"/>
      <c r="AFM64" s="47"/>
      <c r="AFN64" s="47"/>
      <c r="AFO64" s="47"/>
      <c r="AFP64" s="47"/>
      <c r="AFQ64" s="47"/>
      <c r="AFR64" s="47"/>
      <c r="AFS64" s="47"/>
      <c r="AFT64" s="47"/>
      <c r="AFU64" s="47"/>
      <c r="AFV64" s="47"/>
      <c r="AFW64" s="47"/>
      <c r="AFX64" s="47"/>
      <c r="AFY64" s="47"/>
      <c r="AFZ64" s="47"/>
      <c r="AGA64" s="47"/>
      <c r="AGB64" s="47"/>
      <c r="AGC64" s="47"/>
      <c r="AGD64" s="47"/>
      <c r="AGE64" s="47"/>
      <c r="AGF64" s="47"/>
      <c r="AGG64" s="47"/>
      <c r="AGH64" s="47"/>
      <c r="AGI64" s="47"/>
      <c r="AGJ64" s="47"/>
      <c r="AGK64" s="47"/>
      <c r="AGL64" s="47"/>
      <c r="AGM64" s="47"/>
      <c r="AGN64" s="47"/>
      <c r="AGO64" s="47"/>
      <c r="AGP64" s="47"/>
      <c r="AGQ64" s="47"/>
      <c r="AGR64" s="47"/>
      <c r="AGS64" s="47"/>
      <c r="AGT64" s="47"/>
      <c r="AGU64" s="47"/>
      <c r="AGV64" s="47"/>
      <c r="AGW64" s="47"/>
      <c r="AGX64" s="47"/>
      <c r="AGY64" s="47"/>
      <c r="AGZ64" s="47"/>
      <c r="AHA64" s="47"/>
      <c r="AHB64" s="47"/>
      <c r="AHC64" s="47"/>
      <c r="AHD64" s="47"/>
      <c r="AHE64" s="47"/>
      <c r="AHF64" s="47"/>
      <c r="AHG64" s="47"/>
      <c r="AHH64" s="47"/>
      <c r="AHI64" s="47"/>
      <c r="AHJ64" s="47"/>
      <c r="AHK64" s="47"/>
      <c r="AHL64" s="47"/>
      <c r="AHM64" s="47"/>
      <c r="AHN64" s="47"/>
      <c r="AHO64" s="47"/>
      <c r="AHP64" s="47"/>
      <c r="AHQ64" s="47"/>
      <c r="AHR64" s="47"/>
      <c r="AHS64" s="47"/>
      <c r="AHT64" s="47"/>
      <c r="AHU64" s="47"/>
      <c r="AHV64" s="47"/>
      <c r="AHW64" s="47"/>
      <c r="AHX64" s="47"/>
      <c r="AHY64" s="47"/>
      <c r="AHZ64" s="47"/>
      <c r="AIA64" s="47"/>
      <c r="AIB64" s="47"/>
      <c r="AIC64" s="47"/>
      <c r="AID64" s="47"/>
      <c r="AIE64" s="47"/>
      <c r="AIF64" s="47"/>
      <c r="AIG64" s="47"/>
      <c r="AIH64" s="47"/>
      <c r="AII64" s="47"/>
      <c r="AIJ64" s="47"/>
      <c r="AIK64" s="47"/>
      <c r="AIL64" s="47"/>
      <c r="AIM64" s="47"/>
      <c r="AIN64" s="47"/>
      <c r="AIO64" s="47"/>
      <c r="AIP64" s="47"/>
      <c r="AIQ64" s="47"/>
      <c r="AIR64" s="47"/>
      <c r="AIS64" s="47"/>
      <c r="AIT64" s="47"/>
      <c r="AIU64" s="47"/>
      <c r="AIV64" s="47"/>
      <c r="AIW64" s="47"/>
      <c r="AIX64" s="47"/>
      <c r="AIY64" s="47"/>
      <c r="AIZ64" s="47"/>
      <c r="AJA64" s="47"/>
      <c r="AJB64" s="47"/>
      <c r="AJC64" s="47"/>
      <c r="AJD64" s="47"/>
      <c r="AJE64" s="47"/>
      <c r="AJF64" s="47"/>
      <c r="AJG64" s="47"/>
      <c r="AJH64" s="47"/>
      <c r="AJI64" s="47"/>
      <c r="AJJ64" s="47"/>
      <c r="AJK64" s="47"/>
      <c r="AJL64" s="47"/>
      <c r="AJM64" s="47"/>
      <c r="AJN64" s="47"/>
      <c r="AJO64" s="47"/>
      <c r="AJP64" s="47"/>
      <c r="AJQ64" s="47"/>
      <c r="AJR64" s="47"/>
      <c r="AJS64" s="47"/>
      <c r="AJT64" s="47"/>
      <c r="AJU64" s="47"/>
      <c r="AJV64" s="47"/>
      <c r="AJW64" s="47"/>
      <c r="AJX64" s="47"/>
      <c r="AJY64" s="47"/>
      <c r="AJZ64" s="47"/>
      <c r="AKA64" s="47"/>
      <c r="AKB64" s="47"/>
      <c r="AKC64" s="47"/>
      <c r="AKD64" s="47"/>
      <c r="AKE64" s="47"/>
      <c r="AKF64" s="47"/>
      <c r="AKG64" s="47"/>
      <c r="AKH64" s="47"/>
      <c r="AKI64" s="47"/>
      <c r="AKJ64" s="47"/>
      <c r="AKK64" s="47"/>
      <c r="AKL64" s="47"/>
      <c r="AKM64" s="47"/>
      <c r="AKN64" s="47"/>
      <c r="AKO64" s="47"/>
      <c r="AKP64" s="47"/>
      <c r="AKQ64" s="47"/>
      <c r="AKR64" s="47"/>
      <c r="AKS64" s="47"/>
      <c r="AKT64" s="47"/>
      <c r="AKU64" s="47"/>
      <c r="AKV64" s="47"/>
      <c r="AKW64" s="47"/>
      <c r="AKX64" s="47"/>
      <c r="AKY64" s="47"/>
      <c r="AKZ64" s="47"/>
      <c r="ALA64" s="47"/>
      <c r="ALB64" s="47"/>
      <c r="ALC64" s="47"/>
      <c r="ALD64" s="47"/>
      <c r="ALE64" s="47"/>
      <c r="ALF64" s="47"/>
      <c r="ALG64" s="47"/>
      <c r="ALH64" s="47"/>
      <c r="ALI64" s="47"/>
      <c r="ALJ64" s="47"/>
      <c r="ALK64" s="47"/>
      <c r="ALL64" s="47"/>
      <c r="ALM64" s="47"/>
      <c r="ALN64" s="47"/>
      <c r="ALO64" s="47"/>
      <c r="ALP64" s="47"/>
      <c r="ALQ64" s="47"/>
      <c r="ALR64" s="47"/>
      <c r="ALS64" s="47"/>
      <c r="ALT64" s="47"/>
      <c r="ALU64" s="47"/>
      <c r="ALV64" s="47"/>
      <c r="ALW64" s="47"/>
      <c r="ALX64" s="47"/>
      <c r="ALY64" s="47"/>
      <c r="ALZ64" s="47"/>
      <c r="AMA64" s="47"/>
      <c r="AMB64" s="47"/>
      <c r="AMC64" s="47"/>
      <c r="AMD64" s="47"/>
      <c r="AME64" s="47"/>
      <c r="AMF64" s="47"/>
      <c r="AMG64" s="47"/>
      <c r="AMH64" s="47"/>
      <c r="AMI64" s="47"/>
      <c r="AMJ64" s="47"/>
      <c r="AMK64" s="47"/>
      <c r="AML64" s="47"/>
      <c r="AMM64" s="47"/>
    </row>
    <row r="65" spans="1:1027" x14ac:dyDescent="0.2">
      <c r="A65" s="1">
        <v>3</v>
      </c>
      <c r="B65" s="1" t="s">
        <v>615</v>
      </c>
      <c r="C65" s="1" t="s">
        <v>616</v>
      </c>
      <c r="D65" s="1">
        <v>264</v>
      </c>
      <c r="E65" s="10" t="s">
        <v>507</v>
      </c>
      <c r="F65" s="10" t="s">
        <v>508</v>
      </c>
      <c r="G65" s="11" t="s">
        <v>508</v>
      </c>
      <c r="H65" s="10" t="s">
        <v>507</v>
      </c>
      <c r="J65" s="10" t="s">
        <v>507</v>
      </c>
      <c r="L65" s="26"/>
      <c r="AML65" s="1"/>
    </row>
    <row r="66" spans="1:1027" s="47" customFormat="1" x14ac:dyDescent="0.2">
      <c r="A66" s="1" t="s">
        <v>504</v>
      </c>
      <c r="B66" s="1" t="s">
        <v>617</v>
      </c>
      <c r="C66" s="1"/>
      <c r="D66" s="1">
        <v>100</v>
      </c>
      <c r="E66" s="10" t="s">
        <v>506</v>
      </c>
      <c r="F66" s="10" t="s">
        <v>508</v>
      </c>
      <c r="G66" s="11" t="s">
        <v>508</v>
      </c>
      <c r="H66" s="10" t="s">
        <v>507</v>
      </c>
      <c r="I66" s="10"/>
      <c r="J66" s="10" t="s">
        <v>507</v>
      </c>
      <c r="K66" s="12"/>
      <c r="L66" s="26"/>
      <c r="M66" s="1"/>
      <c r="N66" s="1"/>
      <c r="O66" s="1"/>
      <c r="P66" s="1"/>
      <c r="Q66" s="1"/>
      <c r="R66" s="1"/>
      <c r="S66" s="13"/>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row>
    <row r="67" spans="1:1027" s="47" customFormat="1" x14ac:dyDescent="0.2">
      <c r="A67" s="1" t="s">
        <v>504</v>
      </c>
      <c r="B67" s="1" t="s">
        <v>618</v>
      </c>
      <c r="C67" s="1"/>
      <c r="D67" s="1">
        <v>43</v>
      </c>
      <c r="E67" s="10" t="s">
        <v>506</v>
      </c>
      <c r="F67" s="10" t="s">
        <v>508</v>
      </c>
      <c r="G67" s="11" t="s">
        <v>508</v>
      </c>
      <c r="H67" s="10" t="s">
        <v>507</v>
      </c>
      <c r="I67" s="10"/>
      <c r="J67" s="10" t="s">
        <v>507</v>
      </c>
      <c r="K67" s="12"/>
      <c r="L67" s="26"/>
      <c r="M67" s="1"/>
      <c r="N67" s="1"/>
      <c r="O67" s="1"/>
      <c r="P67" s="1"/>
      <c r="Q67" s="1"/>
      <c r="R67" s="1"/>
      <c r="S67" s="13"/>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spans="1:1027" s="18" customFormat="1" x14ac:dyDescent="0.2">
      <c r="A68" s="18">
        <v>2</v>
      </c>
      <c r="B68" s="18" t="s">
        <v>619</v>
      </c>
      <c r="C68" s="18" t="s">
        <v>184</v>
      </c>
      <c r="D68" s="18">
        <v>64</v>
      </c>
      <c r="E68" s="19" t="s">
        <v>507</v>
      </c>
      <c r="F68" s="19" t="s">
        <v>507</v>
      </c>
      <c r="G68" s="20" t="s">
        <v>507</v>
      </c>
      <c r="H68" s="19" t="s">
        <v>507</v>
      </c>
      <c r="I68" s="19" t="s">
        <v>507</v>
      </c>
      <c r="J68" s="19" t="s">
        <v>507</v>
      </c>
      <c r="K68" s="21" t="s">
        <v>509</v>
      </c>
      <c r="M68" s="1" t="s">
        <v>510</v>
      </c>
      <c r="N68" s="1"/>
      <c r="O68" s="18" t="s">
        <v>507</v>
      </c>
      <c r="S68" s="13"/>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c r="GU68" s="47"/>
      <c r="GV68" s="47"/>
      <c r="GW68" s="47"/>
      <c r="GX68" s="47"/>
      <c r="GY68" s="47"/>
      <c r="GZ68" s="47"/>
      <c r="HA68" s="47"/>
      <c r="HB68" s="47"/>
      <c r="HC68" s="47"/>
      <c r="HD68" s="47"/>
      <c r="HE68" s="47"/>
      <c r="HF68" s="47"/>
      <c r="HG68" s="47"/>
      <c r="HH68" s="47"/>
      <c r="HI68" s="47"/>
      <c r="HJ68" s="47"/>
      <c r="HK68" s="47"/>
      <c r="HL68" s="47"/>
      <c r="HM68" s="47"/>
      <c r="HN68" s="47"/>
      <c r="HO68" s="47"/>
      <c r="HP68" s="47"/>
      <c r="HQ68" s="47"/>
      <c r="HR68" s="47"/>
      <c r="HS68" s="47"/>
      <c r="HT68" s="47"/>
      <c r="HU68" s="47"/>
      <c r="HV68" s="47"/>
      <c r="HW68" s="47"/>
      <c r="HX68" s="47"/>
      <c r="HY68" s="47"/>
      <c r="HZ68" s="47"/>
      <c r="IA68" s="47"/>
      <c r="IB68" s="47"/>
      <c r="IC68" s="47"/>
      <c r="ID68" s="47"/>
      <c r="IE68" s="47"/>
      <c r="IF68" s="47"/>
      <c r="IG68" s="47"/>
      <c r="IH68" s="47"/>
      <c r="II68" s="47"/>
      <c r="IJ68" s="47"/>
      <c r="IK68" s="47"/>
      <c r="IL68" s="47"/>
      <c r="IM68" s="47"/>
      <c r="IN68" s="47"/>
      <c r="IO68" s="47"/>
      <c r="IP68" s="47"/>
      <c r="IQ68" s="47"/>
      <c r="IR68" s="47"/>
      <c r="IS68" s="47"/>
      <c r="IT68" s="47"/>
      <c r="IU68" s="47"/>
      <c r="IV68" s="47"/>
      <c r="IW68" s="47"/>
      <c r="IX68" s="47"/>
      <c r="IY68" s="47"/>
      <c r="IZ68" s="47"/>
      <c r="JA68" s="47"/>
      <c r="JB68" s="47"/>
      <c r="JC68" s="47"/>
      <c r="JD68" s="47"/>
      <c r="JE68" s="47"/>
      <c r="JF68" s="47"/>
      <c r="JG68" s="47"/>
      <c r="JH68" s="47"/>
      <c r="JI68" s="47"/>
      <c r="JJ68" s="47"/>
      <c r="JK68" s="47"/>
      <c r="JL68" s="47"/>
      <c r="JM68" s="47"/>
      <c r="JN68" s="47"/>
      <c r="JO68" s="47"/>
      <c r="JP68" s="47"/>
      <c r="JQ68" s="47"/>
      <c r="JR68" s="47"/>
      <c r="JS68" s="47"/>
      <c r="JT68" s="47"/>
      <c r="JU68" s="47"/>
      <c r="JV68" s="47"/>
      <c r="JW68" s="47"/>
      <c r="JX68" s="47"/>
      <c r="JY68" s="47"/>
      <c r="JZ68" s="47"/>
      <c r="KA68" s="47"/>
      <c r="KB68" s="47"/>
      <c r="KC68" s="47"/>
      <c r="KD68" s="47"/>
      <c r="KE68" s="47"/>
      <c r="KF68" s="47"/>
      <c r="KG68" s="47"/>
      <c r="KH68" s="47"/>
      <c r="KI68" s="47"/>
      <c r="KJ68" s="47"/>
      <c r="KK68" s="47"/>
      <c r="KL68" s="47"/>
      <c r="KM68" s="47"/>
      <c r="KN68" s="47"/>
      <c r="KO68" s="47"/>
      <c r="KP68" s="47"/>
      <c r="KQ68" s="47"/>
      <c r="KR68" s="47"/>
      <c r="KS68" s="47"/>
      <c r="KT68" s="47"/>
      <c r="KU68" s="47"/>
      <c r="KV68" s="47"/>
      <c r="KW68" s="47"/>
      <c r="KX68" s="47"/>
      <c r="KY68" s="47"/>
      <c r="KZ68" s="47"/>
      <c r="LA68" s="47"/>
      <c r="LB68" s="47"/>
      <c r="LC68" s="47"/>
      <c r="LD68" s="47"/>
      <c r="LE68" s="47"/>
      <c r="LF68" s="47"/>
      <c r="LG68" s="47"/>
      <c r="LH68" s="47"/>
      <c r="LI68" s="47"/>
      <c r="LJ68" s="47"/>
      <c r="LK68" s="47"/>
      <c r="LL68" s="47"/>
      <c r="LM68" s="47"/>
      <c r="LN68" s="47"/>
      <c r="LO68" s="47"/>
      <c r="LP68" s="47"/>
      <c r="LQ68" s="47"/>
      <c r="LR68" s="47"/>
      <c r="LS68" s="47"/>
      <c r="LT68" s="47"/>
      <c r="LU68" s="47"/>
      <c r="LV68" s="47"/>
      <c r="LW68" s="47"/>
      <c r="LX68" s="47"/>
      <c r="LY68" s="47"/>
      <c r="LZ68" s="47"/>
      <c r="MA68" s="47"/>
      <c r="MB68" s="47"/>
      <c r="MC68" s="47"/>
      <c r="MD68" s="47"/>
      <c r="ME68" s="47"/>
      <c r="MF68" s="47"/>
      <c r="MG68" s="47"/>
      <c r="MH68" s="47"/>
      <c r="MI68" s="47"/>
      <c r="MJ68" s="47"/>
      <c r="MK68" s="47"/>
      <c r="ML68" s="47"/>
      <c r="MM68" s="47"/>
      <c r="MN68" s="47"/>
      <c r="MO68" s="47"/>
      <c r="MP68" s="47"/>
      <c r="MQ68" s="47"/>
      <c r="MR68" s="47"/>
      <c r="MS68" s="47"/>
      <c r="MT68" s="47"/>
      <c r="MU68" s="47"/>
      <c r="MV68" s="47"/>
      <c r="MW68" s="47"/>
      <c r="MX68" s="47"/>
      <c r="MY68" s="47"/>
      <c r="MZ68" s="47"/>
      <c r="NA68" s="47"/>
      <c r="NB68" s="47"/>
      <c r="NC68" s="47"/>
      <c r="ND68" s="47"/>
      <c r="NE68" s="47"/>
      <c r="NF68" s="47"/>
      <c r="NG68" s="47"/>
      <c r="NH68" s="47"/>
      <c r="NI68" s="47"/>
      <c r="NJ68" s="47"/>
      <c r="NK68" s="47"/>
      <c r="NL68" s="47"/>
      <c r="NM68" s="47"/>
      <c r="NN68" s="47"/>
      <c r="NO68" s="47"/>
      <c r="NP68" s="47"/>
      <c r="NQ68" s="47"/>
      <c r="NR68" s="47"/>
      <c r="NS68" s="47"/>
      <c r="NT68" s="47"/>
      <c r="NU68" s="47"/>
      <c r="NV68" s="47"/>
      <c r="NW68" s="47"/>
      <c r="NX68" s="47"/>
      <c r="NY68" s="47"/>
      <c r="NZ68" s="47"/>
      <c r="OA68" s="47"/>
      <c r="OB68" s="47"/>
      <c r="OC68" s="47"/>
      <c r="OD68" s="47"/>
      <c r="OE68" s="47"/>
      <c r="OF68" s="47"/>
      <c r="OG68" s="47"/>
      <c r="OH68" s="47"/>
      <c r="OI68" s="47"/>
      <c r="OJ68" s="47"/>
      <c r="OK68" s="47"/>
      <c r="OL68" s="47"/>
      <c r="OM68" s="47"/>
      <c r="ON68" s="47"/>
      <c r="OO68" s="47"/>
      <c r="OP68" s="47"/>
      <c r="OQ68" s="47"/>
      <c r="OR68" s="47"/>
      <c r="OS68" s="47"/>
      <c r="OT68" s="47"/>
      <c r="OU68" s="47"/>
      <c r="OV68" s="47"/>
      <c r="OW68" s="47"/>
      <c r="OX68" s="47"/>
      <c r="OY68" s="47"/>
      <c r="OZ68" s="47"/>
      <c r="PA68" s="47"/>
      <c r="PB68" s="47"/>
      <c r="PC68" s="47"/>
      <c r="PD68" s="47"/>
      <c r="PE68" s="47"/>
      <c r="PF68" s="47"/>
      <c r="PG68" s="47"/>
      <c r="PH68" s="47"/>
      <c r="PI68" s="47"/>
      <c r="PJ68" s="47"/>
      <c r="PK68" s="47"/>
      <c r="PL68" s="47"/>
      <c r="PM68" s="47"/>
      <c r="PN68" s="47"/>
      <c r="PO68" s="47"/>
      <c r="PP68" s="47"/>
      <c r="PQ68" s="47"/>
      <c r="PR68" s="47"/>
      <c r="PS68" s="47"/>
      <c r="PT68" s="47"/>
      <c r="PU68" s="47"/>
      <c r="PV68" s="47"/>
      <c r="PW68" s="47"/>
      <c r="PX68" s="47"/>
      <c r="PY68" s="47"/>
      <c r="PZ68" s="47"/>
      <c r="QA68" s="47"/>
      <c r="QB68" s="47"/>
      <c r="QC68" s="47"/>
      <c r="QD68" s="47"/>
      <c r="QE68" s="47"/>
      <c r="QF68" s="47"/>
      <c r="QG68" s="47"/>
      <c r="QH68" s="47"/>
      <c r="QI68" s="47"/>
      <c r="QJ68" s="47"/>
      <c r="QK68" s="47"/>
      <c r="QL68" s="47"/>
      <c r="QM68" s="47"/>
      <c r="QN68" s="47"/>
      <c r="QO68" s="47"/>
      <c r="QP68" s="47"/>
      <c r="QQ68" s="47"/>
      <c r="QR68" s="47"/>
      <c r="QS68" s="47"/>
      <c r="QT68" s="47"/>
      <c r="QU68" s="47"/>
      <c r="QV68" s="47"/>
      <c r="QW68" s="47"/>
      <c r="QX68" s="47"/>
      <c r="QY68" s="47"/>
      <c r="QZ68" s="47"/>
      <c r="RA68" s="47"/>
      <c r="RB68" s="47"/>
      <c r="RC68" s="47"/>
      <c r="RD68" s="47"/>
      <c r="RE68" s="47"/>
      <c r="RF68" s="47"/>
      <c r="RG68" s="47"/>
      <c r="RH68" s="47"/>
      <c r="RI68" s="47"/>
      <c r="RJ68" s="47"/>
      <c r="RK68" s="47"/>
      <c r="RL68" s="47"/>
      <c r="RM68" s="47"/>
      <c r="RN68" s="47"/>
      <c r="RO68" s="47"/>
      <c r="RP68" s="47"/>
      <c r="RQ68" s="47"/>
      <c r="RR68" s="47"/>
      <c r="RS68" s="47"/>
      <c r="RT68" s="47"/>
      <c r="RU68" s="47"/>
      <c r="RV68" s="47"/>
      <c r="RW68" s="47"/>
      <c r="RX68" s="47"/>
      <c r="RY68" s="47"/>
      <c r="RZ68" s="47"/>
      <c r="SA68" s="47"/>
      <c r="SB68" s="47"/>
      <c r="SC68" s="47"/>
      <c r="SD68" s="47"/>
      <c r="SE68" s="47"/>
      <c r="SF68" s="47"/>
      <c r="SG68" s="47"/>
      <c r="SH68" s="47"/>
      <c r="SI68" s="47"/>
      <c r="SJ68" s="47"/>
      <c r="SK68" s="47"/>
      <c r="SL68" s="47"/>
      <c r="SM68" s="47"/>
      <c r="SN68" s="47"/>
      <c r="SO68" s="47"/>
      <c r="SP68" s="47"/>
      <c r="SQ68" s="47"/>
      <c r="SR68" s="47"/>
      <c r="SS68" s="47"/>
      <c r="ST68" s="47"/>
      <c r="SU68" s="47"/>
      <c r="SV68" s="47"/>
      <c r="SW68" s="47"/>
      <c r="SX68" s="47"/>
      <c r="SY68" s="47"/>
      <c r="SZ68" s="47"/>
      <c r="TA68" s="47"/>
      <c r="TB68" s="47"/>
      <c r="TC68" s="47"/>
      <c r="TD68" s="47"/>
      <c r="TE68" s="47"/>
      <c r="TF68" s="47"/>
      <c r="TG68" s="47"/>
      <c r="TH68" s="47"/>
      <c r="TI68" s="47"/>
      <c r="TJ68" s="47"/>
      <c r="TK68" s="47"/>
      <c r="TL68" s="47"/>
      <c r="TM68" s="47"/>
      <c r="TN68" s="47"/>
      <c r="TO68" s="47"/>
      <c r="TP68" s="47"/>
      <c r="TQ68" s="47"/>
      <c r="TR68" s="47"/>
      <c r="TS68" s="47"/>
      <c r="TT68" s="47"/>
      <c r="TU68" s="47"/>
      <c r="TV68" s="47"/>
      <c r="TW68" s="47"/>
      <c r="TX68" s="47"/>
      <c r="TY68" s="47"/>
      <c r="TZ68" s="47"/>
      <c r="UA68" s="47"/>
      <c r="UB68" s="47"/>
      <c r="UC68" s="47"/>
      <c r="UD68" s="47"/>
      <c r="UE68" s="47"/>
      <c r="UF68" s="47"/>
      <c r="UG68" s="47"/>
      <c r="UH68" s="47"/>
      <c r="UI68" s="47"/>
      <c r="UJ68" s="47"/>
      <c r="UK68" s="47"/>
      <c r="UL68" s="47"/>
      <c r="UM68" s="47"/>
      <c r="UN68" s="47"/>
      <c r="UO68" s="47"/>
      <c r="UP68" s="47"/>
      <c r="UQ68" s="47"/>
      <c r="UR68" s="47"/>
      <c r="US68" s="47"/>
      <c r="UT68" s="47"/>
      <c r="UU68" s="47"/>
      <c r="UV68" s="47"/>
      <c r="UW68" s="47"/>
      <c r="UX68" s="47"/>
      <c r="UY68" s="47"/>
      <c r="UZ68" s="47"/>
      <c r="VA68" s="47"/>
      <c r="VB68" s="47"/>
      <c r="VC68" s="47"/>
      <c r="VD68" s="47"/>
      <c r="VE68" s="47"/>
      <c r="VF68" s="47"/>
      <c r="VG68" s="47"/>
      <c r="VH68" s="47"/>
      <c r="VI68" s="47"/>
      <c r="VJ68" s="47"/>
      <c r="VK68" s="47"/>
      <c r="VL68" s="47"/>
      <c r="VM68" s="47"/>
      <c r="VN68" s="47"/>
      <c r="VO68" s="47"/>
      <c r="VP68" s="47"/>
      <c r="VQ68" s="47"/>
      <c r="VR68" s="47"/>
      <c r="VS68" s="47"/>
      <c r="VT68" s="47"/>
      <c r="VU68" s="47"/>
      <c r="VV68" s="47"/>
      <c r="VW68" s="47"/>
      <c r="VX68" s="47"/>
      <c r="VY68" s="47"/>
      <c r="VZ68" s="47"/>
      <c r="WA68" s="47"/>
      <c r="WB68" s="47"/>
      <c r="WC68" s="47"/>
      <c r="WD68" s="47"/>
      <c r="WE68" s="47"/>
      <c r="WF68" s="47"/>
      <c r="WG68" s="47"/>
      <c r="WH68" s="47"/>
      <c r="WI68" s="47"/>
      <c r="WJ68" s="47"/>
      <c r="WK68" s="47"/>
      <c r="WL68" s="47"/>
      <c r="WM68" s="47"/>
      <c r="WN68" s="47"/>
      <c r="WO68" s="47"/>
      <c r="WP68" s="47"/>
      <c r="WQ68" s="47"/>
      <c r="WR68" s="47"/>
      <c r="WS68" s="47"/>
      <c r="WT68" s="47"/>
      <c r="WU68" s="47"/>
      <c r="WV68" s="47"/>
      <c r="WW68" s="47"/>
      <c r="WX68" s="47"/>
      <c r="WY68" s="47"/>
      <c r="WZ68" s="47"/>
      <c r="XA68" s="47"/>
      <c r="XB68" s="47"/>
      <c r="XC68" s="47"/>
      <c r="XD68" s="47"/>
      <c r="XE68" s="47"/>
      <c r="XF68" s="47"/>
      <c r="XG68" s="47"/>
      <c r="XH68" s="47"/>
      <c r="XI68" s="47"/>
      <c r="XJ68" s="47"/>
      <c r="XK68" s="47"/>
      <c r="XL68" s="47"/>
      <c r="XM68" s="47"/>
      <c r="XN68" s="47"/>
      <c r="XO68" s="47"/>
      <c r="XP68" s="47"/>
      <c r="XQ68" s="47"/>
      <c r="XR68" s="47"/>
      <c r="XS68" s="47"/>
      <c r="XT68" s="47"/>
      <c r="XU68" s="47"/>
      <c r="XV68" s="47"/>
      <c r="XW68" s="47"/>
      <c r="XX68" s="47"/>
      <c r="XY68" s="47"/>
      <c r="XZ68" s="47"/>
      <c r="YA68" s="47"/>
      <c r="YB68" s="47"/>
      <c r="YC68" s="47"/>
      <c r="YD68" s="47"/>
      <c r="YE68" s="47"/>
      <c r="YF68" s="47"/>
      <c r="YG68" s="47"/>
      <c r="YH68" s="47"/>
      <c r="YI68" s="47"/>
      <c r="YJ68" s="47"/>
      <c r="YK68" s="47"/>
      <c r="YL68" s="47"/>
      <c r="YM68" s="47"/>
      <c r="YN68" s="47"/>
      <c r="YO68" s="47"/>
      <c r="YP68" s="47"/>
      <c r="YQ68" s="47"/>
      <c r="YR68" s="47"/>
      <c r="YS68" s="47"/>
      <c r="YT68" s="47"/>
      <c r="YU68" s="47"/>
      <c r="YV68" s="47"/>
      <c r="YW68" s="47"/>
      <c r="YX68" s="47"/>
      <c r="YY68" s="47"/>
      <c r="YZ68" s="47"/>
      <c r="ZA68" s="47"/>
      <c r="ZB68" s="47"/>
      <c r="ZC68" s="47"/>
      <c r="ZD68" s="47"/>
      <c r="ZE68" s="47"/>
      <c r="ZF68" s="47"/>
      <c r="ZG68" s="47"/>
      <c r="ZH68" s="47"/>
      <c r="ZI68" s="47"/>
      <c r="ZJ68" s="47"/>
      <c r="ZK68" s="47"/>
      <c r="ZL68" s="47"/>
      <c r="ZM68" s="47"/>
      <c r="ZN68" s="47"/>
      <c r="ZO68" s="47"/>
      <c r="ZP68" s="47"/>
      <c r="ZQ68" s="47"/>
      <c r="ZR68" s="47"/>
      <c r="ZS68" s="47"/>
      <c r="ZT68" s="47"/>
      <c r="ZU68" s="47"/>
      <c r="ZV68" s="47"/>
      <c r="ZW68" s="47"/>
      <c r="ZX68" s="47"/>
      <c r="ZY68" s="47"/>
      <c r="ZZ68" s="47"/>
      <c r="AAA68" s="47"/>
      <c r="AAB68" s="47"/>
      <c r="AAC68" s="47"/>
      <c r="AAD68" s="47"/>
      <c r="AAE68" s="47"/>
      <c r="AAF68" s="47"/>
      <c r="AAG68" s="47"/>
      <c r="AAH68" s="47"/>
      <c r="AAI68" s="47"/>
      <c r="AAJ68" s="47"/>
      <c r="AAK68" s="47"/>
      <c r="AAL68" s="47"/>
      <c r="AAM68" s="47"/>
      <c r="AAN68" s="47"/>
      <c r="AAO68" s="47"/>
      <c r="AAP68" s="47"/>
      <c r="AAQ68" s="47"/>
      <c r="AAR68" s="47"/>
      <c r="AAS68" s="47"/>
      <c r="AAT68" s="47"/>
      <c r="AAU68" s="47"/>
      <c r="AAV68" s="47"/>
      <c r="AAW68" s="47"/>
      <c r="AAX68" s="47"/>
      <c r="AAY68" s="47"/>
      <c r="AAZ68" s="47"/>
      <c r="ABA68" s="47"/>
      <c r="ABB68" s="47"/>
      <c r="ABC68" s="47"/>
      <c r="ABD68" s="47"/>
      <c r="ABE68" s="47"/>
      <c r="ABF68" s="47"/>
      <c r="ABG68" s="47"/>
      <c r="ABH68" s="47"/>
      <c r="ABI68" s="47"/>
      <c r="ABJ68" s="47"/>
      <c r="ABK68" s="47"/>
      <c r="ABL68" s="47"/>
      <c r="ABM68" s="47"/>
      <c r="ABN68" s="47"/>
      <c r="ABO68" s="47"/>
      <c r="ABP68" s="47"/>
      <c r="ABQ68" s="47"/>
      <c r="ABR68" s="47"/>
      <c r="ABS68" s="47"/>
      <c r="ABT68" s="47"/>
      <c r="ABU68" s="47"/>
      <c r="ABV68" s="47"/>
      <c r="ABW68" s="47"/>
      <c r="ABX68" s="47"/>
      <c r="ABY68" s="47"/>
      <c r="ABZ68" s="47"/>
      <c r="ACA68" s="47"/>
      <c r="ACB68" s="47"/>
      <c r="ACC68" s="47"/>
      <c r="ACD68" s="47"/>
      <c r="ACE68" s="47"/>
      <c r="ACF68" s="47"/>
      <c r="ACG68" s="47"/>
      <c r="ACH68" s="47"/>
      <c r="ACI68" s="47"/>
      <c r="ACJ68" s="47"/>
      <c r="ACK68" s="47"/>
      <c r="ACL68" s="47"/>
      <c r="ACM68" s="47"/>
      <c r="ACN68" s="47"/>
      <c r="ACO68" s="47"/>
      <c r="ACP68" s="47"/>
      <c r="ACQ68" s="47"/>
      <c r="ACR68" s="47"/>
      <c r="ACS68" s="47"/>
      <c r="ACT68" s="47"/>
      <c r="ACU68" s="47"/>
      <c r="ACV68" s="47"/>
      <c r="ACW68" s="47"/>
      <c r="ACX68" s="47"/>
      <c r="ACY68" s="47"/>
      <c r="ACZ68" s="47"/>
      <c r="ADA68" s="47"/>
      <c r="ADB68" s="47"/>
      <c r="ADC68" s="47"/>
      <c r="ADD68" s="47"/>
      <c r="ADE68" s="47"/>
      <c r="ADF68" s="47"/>
      <c r="ADG68" s="47"/>
      <c r="ADH68" s="47"/>
      <c r="ADI68" s="47"/>
      <c r="ADJ68" s="47"/>
      <c r="ADK68" s="47"/>
      <c r="ADL68" s="47"/>
      <c r="ADM68" s="47"/>
      <c r="ADN68" s="47"/>
      <c r="ADO68" s="47"/>
      <c r="ADP68" s="47"/>
      <c r="ADQ68" s="47"/>
      <c r="ADR68" s="47"/>
      <c r="ADS68" s="47"/>
      <c r="ADT68" s="47"/>
      <c r="ADU68" s="47"/>
      <c r="ADV68" s="47"/>
      <c r="ADW68" s="47"/>
      <c r="ADX68" s="47"/>
      <c r="ADY68" s="47"/>
      <c r="ADZ68" s="47"/>
      <c r="AEA68" s="47"/>
      <c r="AEB68" s="47"/>
      <c r="AEC68" s="47"/>
      <c r="AED68" s="47"/>
      <c r="AEE68" s="47"/>
      <c r="AEF68" s="47"/>
      <c r="AEG68" s="47"/>
      <c r="AEH68" s="47"/>
      <c r="AEI68" s="47"/>
      <c r="AEJ68" s="47"/>
      <c r="AEK68" s="47"/>
      <c r="AEL68" s="47"/>
      <c r="AEM68" s="47"/>
      <c r="AEN68" s="47"/>
      <c r="AEO68" s="47"/>
      <c r="AEP68" s="47"/>
      <c r="AEQ68" s="47"/>
      <c r="AER68" s="47"/>
      <c r="AES68" s="47"/>
      <c r="AET68" s="47"/>
      <c r="AEU68" s="47"/>
      <c r="AEV68" s="47"/>
      <c r="AEW68" s="47"/>
      <c r="AEX68" s="47"/>
      <c r="AEY68" s="47"/>
      <c r="AEZ68" s="47"/>
      <c r="AFA68" s="47"/>
      <c r="AFB68" s="47"/>
      <c r="AFC68" s="47"/>
      <c r="AFD68" s="47"/>
      <c r="AFE68" s="47"/>
      <c r="AFF68" s="47"/>
      <c r="AFG68" s="47"/>
      <c r="AFH68" s="47"/>
      <c r="AFI68" s="47"/>
      <c r="AFJ68" s="47"/>
      <c r="AFK68" s="47"/>
      <c r="AFL68" s="47"/>
      <c r="AFM68" s="47"/>
      <c r="AFN68" s="47"/>
      <c r="AFO68" s="47"/>
      <c r="AFP68" s="47"/>
      <c r="AFQ68" s="47"/>
      <c r="AFR68" s="47"/>
      <c r="AFS68" s="47"/>
      <c r="AFT68" s="47"/>
      <c r="AFU68" s="47"/>
      <c r="AFV68" s="47"/>
      <c r="AFW68" s="47"/>
      <c r="AFX68" s="47"/>
      <c r="AFY68" s="47"/>
      <c r="AFZ68" s="47"/>
      <c r="AGA68" s="47"/>
      <c r="AGB68" s="47"/>
      <c r="AGC68" s="47"/>
      <c r="AGD68" s="47"/>
      <c r="AGE68" s="47"/>
      <c r="AGF68" s="47"/>
      <c r="AGG68" s="47"/>
      <c r="AGH68" s="47"/>
      <c r="AGI68" s="47"/>
      <c r="AGJ68" s="47"/>
      <c r="AGK68" s="47"/>
      <c r="AGL68" s="47"/>
      <c r="AGM68" s="47"/>
      <c r="AGN68" s="47"/>
      <c r="AGO68" s="47"/>
      <c r="AGP68" s="47"/>
      <c r="AGQ68" s="47"/>
      <c r="AGR68" s="47"/>
      <c r="AGS68" s="47"/>
      <c r="AGT68" s="47"/>
      <c r="AGU68" s="47"/>
      <c r="AGV68" s="47"/>
      <c r="AGW68" s="47"/>
      <c r="AGX68" s="47"/>
      <c r="AGY68" s="47"/>
      <c r="AGZ68" s="47"/>
      <c r="AHA68" s="47"/>
      <c r="AHB68" s="47"/>
      <c r="AHC68" s="47"/>
      <c r="AHD68" s="47"/>
      <c r="AHE68" s="47"/>
      <c r="AHF68" s="47"/>
      <c r="AHG68" s="47"/>
      <c r="AHH68" s="47"/>
      <c r="AHI68" s="47"/>
      <c r="AHJ68" s="47"/>
      <c r="AHK68" s="47"/>
      <c r="AHL68" s="47"/>
      <c r="AHM68" s="47"/>
      <c r="AHN68" s="47"/>
      <c r="AHO68" s="47"/>
      <c r="AHP68" s="47"/>
      <c r="AHQ68" s="47"/>
      <c r="AHR68" s="47"/>
      <c r="AHS68" s="47"/>
      <c r="AHT68" s="47"/>
      <c r="AHU68" s="47"/>
      <c r="AHV68" s="47"/>
      <c r="AHW68" s="47"/>
      <c r="AHX68" s="47"/>
      <c r="AHY68" s="47"/>
      <c r="AHZ68" s="47"/>
      <c r="AIA68" s="47"/>
      <c r="AIB68" s="47"/>
      <c r="AIC68" s="47"/>
      <c r="AID68" s="47"/>
      <c r="AIE68" s="47"/>
      <c r="AIF68" s="47"/>
      <c r="AIG68" s="47"/>
      <c r="AIH68" s="47"/>
      <c r="AII68" s="47"/>
      <c r="AIJ68" s="47"/>
      <c r="AIK68" s="47"/>
      <c r="AIL68" s="47"/>
      <c r="AIM68" s="47"/>
      <c r="AIN68" s="47"/>
      <c r="AIO68" s="47"/>
      <c r="AIP68" s="47"/>
      <c r="AIQ68" s="47"/>
      <c r="AIR68" s="47"/>
      <c r="AIS68" s="47"/>
      <c r="AIT68" s="47"/>
      <c r="AIU68" s="47"/>
      <c r="AIV68" s="47"/>
      <c r="AIW68" s="47"/>
      <c r="AIX68" s="47"/>
      <c r="AIY68" s="47"/>
      <c r="AIZ68" s="47"/>
      <c r="AJA68" s="47"/>
      <c r="AJB68" s="47"/>
      <c r="AJC68" s="47"/>
      <c r="AJD68" s="47"/>
      <c r="AJE68" s="47"/>
      <c r="AJF68" s="47"/>
      <c r="AJG68" s="47"/>
      <c r="AJH68" s="47"/>
      <c r="AJI68" s="47"/>
      <c r="AJJ68" s="47"/>
      <c r="AJK68" s="47"/>
      <c r="AJL68" s="47"/>
      <c r="AJM68" s="47"/>
      <c r="AJN68" s="47"/>
      <c r="AJO68" s="47"/>
      <c r="AJP68" s="47"/>
      <c r="AJQ68" s="47"/>
      <c r="AJR68" s="47"/>
      <c r="AJS68" s="47"/>
      <c r="AJT68" s="47"/>
      <c r="AJU68" s="47"/>
      <c r="AJV68" s="47"/>
      <c r="AJW68" s="47"/>
      <c r="AJX68" s="47"/>
      <c r="AJY68" s="47"/>
      <c r="AJZ68" s="47"/>
      <c r="AKA68" s="47"/>
      <c r="AKB68" s="47"/>
      <c r="AKC68" s="47"/>
      <c r="AKD68" s="47"/>
      <c r="AKE68" s="47"/>
      <c r="AKF68" s="47"/>
      <c r="AKG68" s="47"/>
      <c r="AKH68" s="47"/>
      <c r="AKI68" s="47"/>
      <c r="AKJ68" s="47"/>
      <c r="AKK68" s="47"/>
      <c r="AKL68" s="47"/>
      <c r="AKM68" s="47"/>
      <c r="AKN68" s="47"/>
      <c r="AKO68" s="47"/>
      <c r="AKP68" s="47"/>
      <c r="AKQ68" s="47"/>
      <c r="AKR68" s="47"/>
      <c r="AKS68" s="47"/>
      <c r="AKT68" s="47"/>
      <c r="AKU68" s="47"/>
      <c r="AKV68" s="47"/>
      <c r="AKW68" s="47"/>
      <c r="AKX68" s="47"/>
      <c r="AKY68" s="47"/>
      <c r="AKZ68" s="47"/>
      <c r="ALA68" s="47"/>
      <c r="ALB68" s="47"/>
      <c r="ALC68" s="47"/>
      <c r="ALD68" s="47"/>
      <c r="ALE68" s="47"/>
      <c r="ALF68" s="47"/>
      <c r="ALG68" s="47"/>
      <c r="ALH68" s="47"/>
      <c r="ALI68" s="47"/>
      <c r="ALJ68" s="47"/>
      <c r="ALK68" s="47"/>
      <c r="ALL68" s="47"/>
      <c r="ALM68" s="47"/>
      <c r="ALN68" s="47"/>
      <c r="ALO68" s="47"/>
      <c r="ALP68" s="47"/>
      <c r="ALQ68" s="47"/>
      <c r="ALR68" s="47"/>
      <c r="ALS68" s="47"/>
      <c r="ALT68" s="47"/>
      <c r="ALU68" s="47"/>
      <c r="ALV68" s="47"/>
      <c r="ALW68" s="47"/>
      <c r="ALX68" s="47"/>
      <c r="ALY68" s="47"/>
      <c r="ALZ68" s="47"/>
      <c r="AMA68" s="47"/>
      <c r="AMB68" s="47"/>
      <c r="AMC68" s="47"/>
      <c r="AMD68" s="47"/>
      <c r="AME68" s="47"/>
      <c r="AMF68" s="47"/>
      <c r="AMG68" s="47"/>
      <c r="AMH68" s="47"/>
      <c r="AMI68" s="47"/>
      <c r="AMJ68" s="47"/>
      <c r="AMK68" s="47"/>
      <c r="AML68" s="47"/>
      <c r="AMM68" s="47"/>
    </row>
    <row r="69" spans="1:1027" s="18" customFormat="1" x14ac:dyDescent="0.2">
      <c r="A69" s="18" t="s">
        <v>504</v>
      </c>
      <c r="B69" s="18" t="s">
        <v>620</v>
      </c>
      <c r="D69" s="18">
        <v>30</v>
      </c>
      <c r="E69" s="19" t="s">
        <v>506</v>
      </c>
      <c r="F69" s="19" t="s">
        <v>507</v>
      </c>
      <c r="G69" s="20" t="s">
        <v>508</v>
      </c>
      <c r="H69" s="19" t="s">
        <v>507</v>
      </c>
      <c r="I69" s="19" t="s">
        <v>507</v>
      </c>
      <c r="J69" s="19" t="s">
        <v>507</v>
      </c>
      <c r="K69" s="21" t="s">
        <v>509</v>
      </c>
      <c r="M69" s="1" t="s">
        <v>510</v>
      </c>
      <c r="N69" s="1"/>
      <c r="O69" s="18" t="s">
        <v>507</v>
      </c>
      <c r="S69" s="13"/>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spans="1:1027" s="18" customFormat="1" ht="16" x14ac:dyDescent="0.2">
      <c r="A70" s="18">
        <v>1</v>
      </c>
      <c r="B70" s="18" t="s">
        <v>621</v>
      </c>
      <c r="D70" s="18">
        <v>34</v>
      </c>
      <c r="E70" s="48" t="s">
        <v>507</v>
      </c>
      <c r="F70" s="48" t="s">
        <v>507</v>
      </c>
      <c r="G70" s="49" t="s">
        <v>507</v>
      </c>
      <c r="H70" s="48" t="s">
        <v>507</v>
      </c>
      <c r="I70" s="48" t="s">
        <v>507</v>
      </c>
      <c r="J70" s="48" t="s">
        <v>507</v>
      </c>
      <c r="K70" s="21" t="s">
        <v>509</v>
      </c>
      <c r="M70" s="1" t="s">
        <v>510</v>
      </c>
      <c r="N70" s="1"/>
      <c r="O70" s="18" t="s">
        <v>507</v>
      </c>
      <c r="S70" s="13"/>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spans="1:1027" s="31" customFormat="1" x14ac:dyDescent="0.2">
      <c r="A71" s="1" t="s">
        <v>504</v>
      </c>
      <c r="B71" s="1" t="s">
        <v>622</v>
      </c>
      <c r="C71" s="1"/>
      <c r="D71" s="1">
        <v>10</v>
      </c>
      <c r="E71" s="10" t="s">
        <v>506</v>
      </c>
      <c r="F71" s="10" t="s">
        <v>508</v>
      </c>
      <c r="G71" s="11" t="s">
        <v>508</v>
      </c>
      <c r="H71" s="10" t="s">
        <v>507</v>
      </c>
      <c r="I71" s="10"/>
      <c r="J71" s="10" t="s">
        <v>507</v>
      </c>
      <c r="K71" s="12"/>
      <c r="L71" s="26"/>
      <c r="M71" s="1"/>
      <c r="N71" s="1"/>
      <c r="O71" s="1"/>
      <c r="P71" s="1"/>
      <c r="Q71" s="1"/>
      <c r="R71" s="1"/>
      <c r="S71" s="13"/>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c r="GF71" s="18"/>
      <c r="GG71" s="18"/>
      <c r="GH71" s="18"/>
      <c r="GI71" s="18"/>
      <c r="GJ71" s="18"/>
      <c r="GK71" s="18"/>
      <c r="GL71" s="18"/>
      <c r="GM71" s="18"/>
      <c r="GN71" s="18"/>
      <c r="GO71" s="18"/>
      <c r="GP71" s="18"/>
      <c r="GQ71" s="18"/>
      <c r="GR71" s="18"/>
      <c r="GS71" s="18"/>
      <c r="GT71" s="18"/>
      <c r="GU71" s="18"/>
      <c r="GV71" s="18"/>
      <c r="GW71" s="18"/>
      <c r="GX71" s="18"/>
      <c r="GY71" s="18"/>
      <c r="GZ71" s="18"/>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c r="HY71" s="18"/>
      <c r="HZ71" s="18"/>
      <c r="IA71" s="18"/>
      <c r="IB71" s="18"/>
      <c r="IC71" s="18"/>
      <c r="ID71" s="18"/>
      <c r="IE71" s="18"/>
      <c r="IF71" s="18"/>
      <c r="IG71" s="18"/>
      <c r="IH71" s="18"/>
      <c r="II71" s="18"/>
      <c r="IJ71" s="18"/>
      <c r="IK71" s="18"/>
      <c r="IL71" s="18"/>
      <c r="IM71" s="18"/>
      <c r="IN71" s="18"/>
      <c r="IO71" s="18"/>
      <c r="IP71" s="18"/>
      <c r="IQ71" s="18"/>
      <c r="IR71" s="18"/>
      <c r="IS71" s="18"/>
      <c r="IT71" s="18"/>
      <c r="IU71" s="18"/>
      <c r="IV71" s="18"/>
      <c r="IW71" s="18"/>
      <c r="IX71" s="18"/>
      <c r="IY71" s="18"/>
      <c r="IZ71" s="18"/>
      <c r="JA71" s="18"/>
      <c r="JB71" s="18"/>
      <c r="JC71" s="18"/>
      <c r="JD71" s="18"/>
      <c r="JE71" s="18"/>
      <c r="JF71" s="18"/>
      <c r="JG71" s="18"/>
      <c r="JH71" s="18"/>
      <c r="JI71" s="18"/>
      <c r="JJ71" s="18"/>
      <c r="JK71" s="18"/>
      <c r="JL71" s="18"/>
      <c r="JM71" s="18"/>
      <c r="JN71" s="18"/>
      <c r="JO71" s="18"/>
      <c r="JP71" s="18"/>
      <c r="JQ71" s="18"/>
      <c r="JR71" s="18"/>
      <c r="JS71" s="18"/>
      <c r="JT71" s="18"/>
      <c r="JU71" s="18"/>
      <c r="JV71" s="18"/>
      <c r="JW71" s="18"/>
      <c r="JX71" s="18"/>
      <c r="JY71" s="18"/>
      <c r="JZ71" s="18"/>
      <c r="KA71" s="18"/>
      <c r="KB71" s="18"/>
      <c r="KC71" s="18"/>
      <c r="KD71" s="18"/>
      <c r="KE71" s="18"/>
      <c r="KF71" s="18"/>
      <c r="KG71" s="18"/>
      <c r="KH71" s="18"/>
      <c r="KI71" s="18"/>
      <c r="KJ71" s="18"/>
      <c r="KK71" s="18"/>
      <c r="KL71" s="18"/>
      <c r="KM71" s="18"/>
      <c r="KN71" s="18"/>
      <c r="KO71" s="18"/>
      <c r="KP71" s="18"/>
      <c r="KQ71" s="18"/>
      <c r="KR71" s="18"/>
      <c r="KS71" s="18"/>
      <c r="KT71" s="18"/>
      <c r="KU71" s="18"/>
      <c r="KV71" s="18"/>
      <c r="KW71" s="18"/>
      <c r="KX71" s="18"/>
      <c r="KY71" s="18"/>
      <c r="KZ71" s="18"/>
      <c r="LA71" s="18"/>
      <c r="LB71" s="18"/>
      <c r="LC71" s="18"/>
      <c r="LD71" s="18"/>
      <c r="LE71" s="18"/>
      <c r="LF71" s="18"/>
      <c r="LG71" s="18"/>
      <c r="LH71" s="18"/>
      <c r="LI71" s="18"/>
      <c r="LJ71" s="18"/>
      <c r="LK71" s="18"/>
      <c r="LL71" s="18"/>
      <c r="LM71" s="18"/>
      <c r="LN71" s="18"/>
      <c r="LO71" s="18"/>
      <c r="LP71" s="18"/>
      <c r="LQ71" s="18"/>
      <c r="LR71" s="18"/>
      <c r="LS71" s="18"/>
      <c r="LT71" s="18"/>
      <c r="LU71" s="18"/>
      <c r="LV71" s="18"/>
      <c r="LW71" s="18"/>
      <c r="LX71" s="18"/>
      <c r="LY71" s="18"/>
      <c r="LZ71" s="18"/>
      <c r="MA71" s="18"/>
      <c r="MB71" s="18"/>
      <c r="MC71" s="18"/>
      <c r="MD71" s="18"/>
      <c r="ME71" s="18"/>
      <c r="MF71" s="18"/>
      <c r="MG71" s="18"/>
      <c r="MH71" s="18"/>
      <c r="MI71" s="18"/>
      <c r="MJ71" s="18"/>
      <c r="MK71" s="18"/>
      <c r="ML71" s="18"/>
      <c r="MM71" s="18"/>
      <c r="MN71" s="18"/>
      <c r="MO71" s="18"/>
      <c r="MP71" s="18"/>
      <c r="MQ71" s="18"/>
      <c r="MR71" s="18"/>
      <c r="MS71" s="18"/>
      <c r="MT71" s="18"/>
      <c r="MU71" s="18"/>
      <c r="MV71" s="18"/>
      <c r="MW71" s="18"/>
      <c r="MX71" s="18"/>
      <c r="MY71" s="18"/>
      <c r="MZ71" s="18"/>
      <c r="NA71" s="18"/>
      <c r="NB71" s="18"/>
      <c r="NC71" s="18"/>
      <c r="ND71" s="18"/>
      <c r="NE71" s="18"/>
      <c r="NF71" s="18"/>
      <c r="NG71" s="18"/>
      <c r="NH71" s="18"/>
      <c r="NI71" s="18"/>
      <c r="NJ71" s="18"/>
      <c r="NK71" s="18"/>
      <c r="NL71" s="18"/>
      <c r="NM71" s="18"/>
      <c r="NN71" s="18"/>
      <c r="NO71" s="18"/>
      <c r="NP71" s="18"/>
      <c r="NQ71" s="18"/>
      <c r="NR71" s="18"/>
      <c r="NS71" s="18"/>
      <c r="NT71" s="18"/>
      <c r="NU71" s="18"/>
      <c r="NV71" s="18"/>
      <c r="NW71" s="18"/>
      <c r="NX71" s="18"/>
      <c r="NY71" s="18"/>
      <c r="NZ71" s="18"/>
      <c r="OA71" s="18"/>
      <c r="OB71" s="18"/>
      <c r="OC71" s="18"/>
      <c r="OD71" s="18"/>
      <c r="OE71" s="18"/>
      <c r="OF71" s="18"/>
      <c r="OG71" s="18"/>
      <c r="OH71" s="18"/>
      <c r="OI71" s="18"/>
      <c r="OJ71" s="18"/>
      <c r="OK71" s="18"/>
      <c r="OL71" s="18"/>
      <c r="OM71" s="18"/>
      <c r="ON71" s="18"/>
      <c r="OO71" s="18"/>
      <c r="OP71" s="18"/>
      <c r="OQ71" s="18"/>
      <c r="OR71" s="18"/>
      <c r="OS71" s="18"/>
      <c r="OT71" s="18"/>
      <c r="OU71" s="18"/>
      <c r="OV71" s="18"/>
      <c r="OW71" s="18"/>
      <c r="OX71" s="18"/>
      <c r="OY71" s="18"/>
      <c r="OZ71" s="18"/>
      <c r="PA71" s="18"/>
      <c r="PB71" s="18"/>
      <c r="PC71" s="18"/>
      <c r="PD71" s="18"/>
      <c r="PE71" s="18"/>
      <c r="PF71" s="18"/>
      <c r="PG71" s="18"/>
      <c r="PH71" s="18"/>
      <c r="PI71" s="18"/>
      <c r="PJ71" s="18"/>
      <c r="PK71" s="18"/>
      <c r="PL71" s="18"/>
      <c r="PM71" s="18"/>
      <c r="PN71" s="18"/>
      <c r="PO71" s="18"/>
      <c r="PP71" s="18"/>
      <c r="PQ71" s="18"/>
      <c r="PR71" s="18"/>
      <c r="PS71" s="18"/>
      <c r="PT71" s="18"/>
      <c r="PU71" s="18"/>
      <c r="PV71" s="18"/>
      <c r="PW71" s="18"/>
      <c r="PX71" s="18"/>
      <c r="PY71" s="18"/>
      <c r="PZ71" s="18"/>
      <c r="QA71" s="18"/>
      <c r="QB71" s="18"/>
      <c r="QC71" s="18"/>
      <c r="QD71" s="18"/>
      <c r="QE71" s="18"/>
      <c r="QF71" s="18"/>
      <c r="QG71" s="18"/>
      <c r="QH71" s="18"/>
      <c r="QI71" s="18"/>
      <c r="QJ71" s="18"/>
      <c r="QK71" s="18"/>
      <c r="QL71" s="18"/>
      <c r="QM71" s="18"/>
      <c r="QN71" s="18"/>
      <c r="QO71" s="18"/>
      <c r="QP71" s="18"/>
      <c r="QQ71" s="18"/>
      <c r="QR71" s="18"/>
      <c r="QS71" s="18"/>
      <c r="QT71" s="18"/>
      <c r="QU71" s="18"/>
      <c r="QV71" s="18"/>
      <c r="QW71" s="18"/>
      <c r="QX71" s="18"/>
      <c r="QY71" s="18"/>
      <c r="QZ71" s="18"/>
      <c r="RA71" s="18"/>
      <c r="RB71" s="18"/>
      <c r="RC71" s="18"/>
      <c r="RD71" s="18"/>
      <c r="RE71" s="18"/>
      <c r="RF71" s="18"/>
      <c r="RG71" s="18"/>
      <c r="RH71" s="18"/>
      <c r="RI71" s="18"/>
      <c r="RJ71" s="18"/>
      <c r="RK71" s="18"/>
      <c r="RL71" s="18"/>
      <c r="RM71" s="18"/>
      <c r="RN71" s="18"/>
      <c r="RO71" s="18"/>
      <c r="RP71" s="18"/>
      <c r="RQ71" s="18"/>
      <c r="RR71" s="18"/>
      <c r="RS71" s="18"/>
      <c r="RT71" s="18"/>
      <c r="RU71" s="18"/>
      <c r="RV71" s="18"/>
      <c r="RW71" s="18"/>
      <c r="RX71" s="18"/>
      <c r="RY71" s="18"/>
      <c r="RZ71" s="18"/>
      <c r="SA71" s="18"/>
      <c r="SB71" s="18"/>
      <c r="SC71" s="18"/>
      <c r="SD71" s="18"/>
      <c r="SE71" s="18"/>
      <c r="SF71" s="18"/>
      <c r="SG71" s="18"/>
      <c r="SH71" s="18"/>
      <c r="SI71" s="18"/>
      <c r="SJ71" s="18"/>
      <c r="SK71" s="18"/>
      <c r="SL71" s="18"/>
      <c r="SM71" s="18"/>
      <c r="SN71" s="18"/>
      <c r="SO71" s="18"/>
      <c r="SP71" s="18"/>
      <c r="SQ71" s="18"/>
      <c r="SR71" s="18"/>
      <c r="SS71" s="18"/>
      <c r="ST71" s="18"/>
      <c r="SU71" s="18"/>
      <c r="SV71" s="18"/>
      <c r="SW71" s="18"/>
      <c r="SX71" s="18"/>
      <c r="SY71" s="18"/>
      <c r="SZ71" s="18"/>
      <c r="TA71" s="18"/>
      <c r="TB71" s="18"/>
      <c r="TC71" s="18"/>
      <c r="TD71" s="18"/>
      <c r="TE71" s="18"/>
      <c r="TF71" s="18"/>
      <c r="TG71" s="18"/>
      <c r="TH71" s="18"/>
      <c r="TI71" s="18"/>
      <c r="TJ71" s="18"/>
      <c r="TK71" s="18"/>
      <c r="TL71" s="18"/>
      <c r="TM71" s="18"/>
      <c r="TN71" s="18"/>
      <c r="TO71" s="18"/>
      <c r="TP71" s="18"/>
      <c r="TQ71" s="18"/>
      <c r="TR71" s="18"/>
      <c r="TS71" s="18"/>
      <c r="TT71" s="18"/>
      <c r="TU71" s="18"/>
      <c r="TV71" s="18"/>
      <c r="TW71" s="18"/>
      <c r="TX71" s="18"/>
      <c r="TY71" s="18"/>
      <c r="TZ71" s="18"/>
      <c r="UA71" s="18"/>
      <c r="UB71" s="18"/>
      <c r="UC71" s="18"/>
      <c r="UD71" s="18"/>
      <c r="UE71" s="18"/>
      <c r="UF71" s="18"/>
      <c r="UG71" s="18"/>
      <c r="UH71" s="18"/>
      <c r="UI71" s="18"/>
      <c r="UJ71" s="18"/>
      <c r="UK71" s="18"/>
      <c r="UL71" s="18"/>
      <c r="UM71" s="18"/>
      <c r="UN71" s="18"/>
      <c r="UO71" s="18"/>
      <c r="UP71" s="18"/>
      <c r="UQ71" s="18"/>
      <c r="UR71" s="18"/>
      <c r="US71" s="18"/>
      <c r="UT71" s="18"/>
      <c r="UU71" s="18"/>
      <c r="UV71" s="18"/>
      <c r="UW71" s="18"/>
      <c r="UX71" s="18"/>
      <c r="UY71" s="18"/>
      <c r="UZ71" s="18"/>
      <c r="VA71" s="18"/>
      <c r="VB71" s="18"/>
      <c r="VC71" s="18"/>
      <c r="VD71" s="18"/>
      <c r="VE71" s="18"/>
      <c r="VF71" s="18"/>
      <c r="VG71" s="18"/>
      <c r="VH71" s="18"/>
      <c r="VI71" s="18"/>
      <c r="VJ71" s="18"/>
      <c r="VK71" s="18"/>
      <c r="VL71" s="18"/>
      <c r="VM71" s="18"/>
      <c r="VN71" s="18"/>
      <c r="VO71" s="18"/>
      <c r="VP71" s="18"/>
      <c r="VQ71" s="18"/>
      <c r="VR71" s="18"/>
      <c r="VS71" s="18"/>
      <c r="VT71" s="18"/>
      <c r="VU71" s="18"/>
      <c r="VV71" s="18"/>
      <c r="VW71" s="18"/>
      <c r="VX71" s="18"/>
      <c r="VY71" s="18"/>
      <c r="VZ71" s="18"/>
      <c r="WA71" s="18"/>
      <c r="WB71" s="18"/>
      <c r="WC71" s="18"/>
      <c r="WD71" s="18"/>
      <c r="WE71" s="18"/>
      <c r="WF71" s="18"/>
      <c r="WG71" s="18"/>
      <c r="WH71" s="18"/>
      <c r="WI71" s="18"/>
      <c r="WJ71" s="18"/>
      <c r="WK71" s="18"/>
      <c r="WL71" s="18"/>
      <c r="WM71" s="18"/>
      <c r="WN71" s="18"/>
      <c r="WO71" s="18"/>
      <c r="WP71" s="18"/>
      <c r="WQ71" s="18"/>
      <c r="WR71" s="18"/>
      <c r="WS71" s="18"/>
      <c r="WT71" s="18"/>
      <c r="WU71" s="18"/>
      <c r="WV71" s="18"/>
      <c r="WW71" s="18"/>
      <c r="WX71" s="18"/>
      <c r="WY71" s="18"/>
      <c r="WZ71" s="18"/>
      <c r="XA71" s="18"/>
      <c r="XB71" s="18"/>
      <c r="XC71" s="18"/>
      <c r="XD71" s="18"/>
      <c r="XE71" s="18"/>
      <c r="XF71" s="18"/>
      <c r="XG71" s="18"/>
      <c r="XH71" s="18"/>
      <c r="XI71" s="18"/>
      <c r="XJ71" s="18"/>
      <c r="XK71" s="18"/>
      <c r="XL71" s="18"/>
      <c r="XM71" s="18"/>
      <c r="XN71" s="18"/>
      <c r="XO71" s="18"/>
      <c r="XP71" s="18"/>
      <c r="XQ71" s="18"/>
      <c r="XR71" s="18"/>
      <c r="XS71" s="18"/>
      <c r="XT71" s="18"/>
      <c r="XU71" s="18"/>
      <c r="XV71" s="18"/>
      <c r="XW71" s="18"/>
      <c r="XX71" s="18"/>
      <c r="XY71" s="18"/>
      <c r="XZ71" s="18"/>
      <c r="YA71" s="18"/>
      <c r="YB71" s="18"/>
      <c r="YC71" s="18"/>
      <c r="YD71" s="18"/>
      <c r="YE71" s="18"/>
      <c r="YF71" s="18"/>
      <c r="YG71" s="18"/>
      <c r="YH71" s="18"/>
      <c r="YI71" s="18"/>
      <c r="YJ71" s="18"/>
      <c r="YK71" s="18"/>
      <c r="YL71" s="18"/>
      <c r="YM71" s="18"/>
      <c r="YN71" s="18"/>
      <c r="YO71" s="18"/>
      <c r="YP71" s="18"/>
      <c r="YQ71" s="18"/>
      <c r="YR71" s="18"/>
      <c r="YS71" s="18"/>
      <c r="YT71" s="18"/>
      <c r="YU71" s="18"/>
      <c r="YV71" s="18"/>
      <c r="YW71" s="18"/>
      <c r="YX71" s="18"/>
      <c r="YY71" s="18"/>
      <c r="YZ71" s="18"/>
      <c r="ZA71" s="18"/>
      <c r="ZB71" s="18"/>
      <c r="ZC71" s="18"/>
      <c r="ZD71" s="18"/>
      <c r="ZE71" s="18"/>
      <c r="ZF71" s="18"/>
      <c r="ZG71" s="18"/>
      <c r="ZH71" s="18"/>
      <c r="ZI71" s="18"/>
      <c r="ZJ71" s="18"/>
      <c r="ZK71" s="18"/>
      <c r="ZL71" s="18"/>
      <c r="ZM71" s="18"/>
      <c r="ZN71" s="18"/>
      <c r="ZO71" s="18"/>
      <c r="ZP71" s="18"/>
      <c r="ZQ71" s="18"/>
      <c r="ZR71" s="18"/>
      <c r="ZS71" s="18"/>
      <c r="ZT71" s="18"/>
      <c r="ZU71" s="18"/>
      <c r="ZV71" s="18"/>
      <c r="ZW71" s="18"/>
      <c r="ZX71" s="18"/>
      <c r="ZY71" s="18"/>
      <c r="ZZ71" s="18"/>
      <c r="AAA71" s="18"/>
      <c r="AAB71" s="18"/>
      <c r="AAC71" s="18"/>
      <c r="AAD71" s="18"/>
      <c r="AAE71" s="18"/>
      <c r="AAF71" s="18"/>
      <c r="AAG71" s="18"/>
      <c r="AAH71" s="18"/>
      <c r="AAI71" s="18"/>
      <c r="AAJ71" s="18"/>
      <c r="AAK71" s="18"/>
      <c r="AAL71" s="18"/>
      <c r="AAM71" s="18"/>
      <c r="AAN71" s="18"/>
      <c r="AAO71" s="18"/>
      <c r="AAP71" s="18"/>
      <c r="AAQ71" s="18"/>
      <c r="AAR71" s="18"/>
      <c r="AAS71" s="18"/>
      <c r="AAT71" s="18"/>
      <c r="AAU71" s="18"/>
      <c r="AAV71" s="18"/>
      <c r="AAW71" s="18"/>
      <c r="AAX71" s="18"/>
      <c r="AAY71" s="18"/>
      <c r="AAZ71" s="18"/>
      <c r="ABA71" s="18"/>
      <c r="ABB71" s="18"/>
      <c r="ABC71" s="18"/>
      <c r="ABD71" s="18"/>
      <c r="ABE71" s="18"/>
      <c r="ABF71" s="18"/>
      <c r="ABG71" s="18"/>
      <c r="ABH71" s="18"/>
      <c r="ABI71" s="18"/>
      <c r="ABJ71" s="18"/>
      <c r="ABK71" s="18"/>
      <c r="ABL71" s="18"/>
      <c r="ABM71" s="18"/>
      <c r="ABN71" s="18"/>
      <c r="ABO71" s="18"/>
      <c r="ABP71" s="18"/>
      <c r="ABQ71" s="18"/>
      <c r="ABR71" s="18"/>
      <c r="ABS71" s="18"/>
      <c r="ABT71" s="18"/>
      <c r="ABU71" s="18"/>
      <c r="ABV71" s="18"/>
      <c r="ABW71" s="18"/>
      <c r="ABX71" s="18"/>
      <c r="ABY71" s="18"/>
      <c r="ABZ71" s="18"/>
      <c r="ACA71" s="18"/>
      <c r="ACB71" s="18"/>
      <c r="ACC71" s="18"/>
      <c r="ACD71" s="18"/>
      <c r="ACE71" s="18"/>
      <c r="ACF71" s="18"/>
      <c r="ACG71" s="18"/>
      <c r="ACH71" s="18"/>
      <c r="ACI71" s="18"/>
      <c r="ACJ71" s="18"/>
      <c r="ACK71" s="18"/>
      <c r="ACL71" s="18"/>
      <c r="ACM71" s="18"/>
      <c r="ACN71" s="18"/>
      <c r="ACO71" s="18"/>
      <c r="ACP71" s="18"/>
      <c r="ACQ71" s="18"/>
      <c r="ACR71" s="18"/>
      <c r="ACS71" s="18"/>
      <c r="ACT71" s="18"/>
      <c r="ACU71" s="18"/>
      <c r="ACV71" s="18"/>
      <c r="ACW71" s="18"/>
      <c r="ACX71" s="18"/>
      <c r="ACY71" s="18"/>
      <c r="ACZ71" s="18"/>
      <c r="ADA71" s="18"/>
      <c r="ADB71" s="18"/>
      <c r="ADC71" s="18"/>
      <c r="ADD71" s="18"/>
      <c r="ADE71" s="18"/>
      <c r="ADF71" s="18"/>
      <c r="ADG71" s="18"/>
      <c r="ADH71" s="18"/>
      <c r="ADI71" s="18"/>
      <c r="ADJ71" s="18"/>
      <c r="ADK71" s="18"/>
      <c r="ADL71" s="18"/>
      <c r="ADM71" s="18"/>
      <c r="ADN71" s="18"/>
      <c r="ADO71" s="18"/>
      <c r="ADP71" s="18"/>
      <c r="ADQ71" s="18"/>
      <c r="ADR71" s="18"/>
      <c r="ADS71" s="18"/>
      <c r="ADT71" s="18"/>
      <c r="ADU71" s="18"/>
      <c r="ADV71" s="18"/>
      <c r="ADW71" s="18"/>
      <c r="ADX71" s="18"/>
      <c r="ADY71" s="18"/>
      <c r="ADZ71" s="18"/>
      <c r="AEA71" s="18"/>
      <c r="AEB71" s="18"/>
      <c r="AEC71" s="18"/>
      <c r="AED71" s="18"/>
      <c r="AEE71" s="18"/>
      <c r="AEF71" s="18"/>
      <c r="AEG71" s="18"/>
      <c r="AEH71" s="18"/>
      <c r="AEI71" s="18"/>
      <c r="AEJ71" s="18"/>
      <c r="AEK71" s="18"/>
      <c r="AEL71" s="18"/>
      <c r="AEM71" s="18"/>
      <c r="AEN71" s="18"/>
      <c r="AEO71" s="18"/>
      <c r="AEP71" s="18"/>
      <c r="AEQ71" s="18"/>
      <c r="AER71" s="18"/>
      <c r="AES71" s="18"/>
      <c r="AET71" s="18"/>
      <c r="AEU71" s="18"/>
      <c r="AEV71" s="18"/>
      <c r="AEW71" s="18"/>
      <c r="AEX71" s="18"/>
      <c r="AEY71" s="18"/>
      <c r="AEZ71" s="18"/>
      <c r="AFA71" s="18"/>
      <c r="AFB71" s="18"/>
      <c r="AFC71" s="18"/>
      <c r="AFD71" s="18"/>
      <c r="AFE71" s="18"/>
      <c r="AFF71" s="18"/>
      <c r="AFG71" s="18"/>
      <c r="AFH71" s="18"/>
      <c r="AFI71" s="18"/>
      <c r="AFJ71" s="18"/>
      <c r="AFK71" s="18"/>
      <c r="AFL71" s="18"/>
      <c r="AFM71" s="18"/>
      <c r="AFN71" s="18"/>
      <c r="AFO71" s="18"/>
      <c r="AFP71" s="18"/>
      <c r="AFQ71" s="18"/>
      <c r="AFR71" s="18"/>
      <c r="AFS71" s="18"/>
      <c r="AFT71" s="18"/>
      <c r="AFU71" s="18"/>
      <c r="AFV71" s="18"/>
      <c r="AFW71" s="18"/>
      <c r="AFX71" s="18"/>
      <c r="AFY71" s="18"/>
      <c r="AFZ71" s="18"/>
      <c r="AGA71" s="18"/>
      <c r="AGB71" s="18"/>
      <c r="AGC71" s="18"/>
      <c r="AGD71" s="18"/>
      <c r="AGE71" s="18"/>
      <c r="AGF71" s="18"/>
      <c r="AGG71" s="18"/>
      <c r="AGH71" s="18"/>
      <c r="AGI71" s="18"/>
      <c r="AGJ71" s="18"/>
      <c r="AGK71" s="18"/>
      <c r="AGL71" s="18"/>
      <c r="AGM71" s="18"/>
      <c r="AGN71" s="18"/>
      <c r="AGO71" s="18"/>
      <c r="AGP71" s="18"/>
      <c r="AGQ71" s="18"/>
      <c r="AGR71" s="18"/>
      <c r="AGS71" s="18"/>
      <c r="AGT71" s="18"/>
      <c r="AGU71" s="18"/>
      <c r="AGV71" s="18"/>
      <c r="AGW71" s="18"/>
      <c r="AGX71" s="18"/>
      <c r="AGY71" s="18"/>
      <c r="AGZ71" s="18"/>
      <c r="AHA71" s="18"/>
      <c r="AHB71" s="18"/>
      <c r="AHC71" s="18"/>
      <c r="AHD71" s="18"/>
      <c r="AHE71" s="18"/>
      <c r="AHF71" s="18"/>
      <c r="AHG71" s="18"/>
      <c r="AHH71" s="18"/>
      <c r="AHI71" s="18"/>
      <c r="AHJ71" s="18"/>
      <c r="AHK71" s="18"/>
      <c r="AHL71" s="18"/>
      <c r="AHM71" s="18"/>
      <c r="AHN71" s="18"/>
      <c r="AHO71" s="18"/>
      <c r="AHP71" s="18"/>
      <c r="AHQ71" s="18"/>
      <c r="AHR71" s="18"/>
      <c r="AHS71" s="18"/>
      <c r="AHT71" s="18"/>
      <c r="AHU71" s="18"/>
      <c r="AHV71" s="18"/>
      <c r="AHW71" s="18"/>
      <c r="AHX71" s="18"/>
      <c r="AHY71" s="18"/>
      <c r="AHZ71" s="18"/>
      <c r="AIA71" s="18"/>
      <c r="AIB71" s="18"/>
      <c r="AIC71" s="18"/>
      <c r="AID71" s="18"/>
      <c r="AIE71" s="18"/>
      <c r="AIF71" s="18"/>
      <c r="AIG71" s="18"/>
      <c r="AIH71" s="18"/>
      <c r="AII71" s="18"/>
      <c r="AIJ71" s="18"/>
      <c r="AIK71" s="18"/>
      <c r="AIL71" s="18"/>
      <c r="AIM71" s="18"/>
      <c r="AIN71" s="18"/>
      <c r="AIO71" s="18"/>
      <c r="AIP71" s="18"/>
      <c r="AIQ71" s="18"/>
      <c r="AIR71" s="18"/>
      <c r="AIS71" s="18"/>
      <c r="AIT71" s="18"/>
      <c r="AIU71" s="18"/>
      <c r="AIV71" s="18"/>
      <c r="AIW71" s="18"/>
      <c r="AIX71" s="18"/>
      <c r="AIY71" s="18"/>
      <c r="AIZ71" s="18"/>
      <c r="AJA71" s="18"/>
      <c r="AJB71" s="18"/>
      <c r="AJC71" s="18"/>
      <c r="AJD71" s="18"/>
      <c r="AJE71" s="18"/>
      <c r="AJF71" s="18"/>
      <c r="AJG71" s="18"/>
      <c r="AJH71" s="18"/>
      <c r="AJI71" s="18"/>
      <c r="AJJ71" s="18"/>
      <c r="AJK71" s="18"/>
      <c r="AJL71" s="18"/>
      <c r="AJM71" s="18"/>
      <c r="AJN71" s="18"/>
      <c r="AJO71" s="18"/>
      <c r="AJP71" s="18"/>
      <c r="AJQ71" s="18"/>
      <c r="AJR71" s="18"/>
      <c r="AJS71" s="18"/>
      <c r="AJT71" s="18"/>
      <c r="AJU71" s="18"/>
      <c r="AJV71" s="18"/>
      <c r="AJW71" s="18"/>
      <c r="AJX71" s="18"/>
      <c r="AJY71" s="18"/>
      <c r="AJZ71" s="18"/>
      <c r="AKA71" s="18"/>
      <c r="AKB71" s="18"/>
      <c r="AKC71" s="18"/>
      <c r="AKD71" s="18"/>
      <c r="AKE71" s="18"/>
      <c r="AKF71" s="18"/>
      <c r="AKG71" s="18"/>
      <c r="AKH71" s="18"/>
      <c r="AKI71" s="18"/>
      <c r="AKJ71" s="18"/>
      <c r="AKK71" s="18"/>
      <c r="AKL71" s="18"/>
      <c r="AKM71" s="18"/>
      <c r="AKN71" s="18"/>
      <c r="AKO71" s="18"/>
      <c r="AKP71" s="18"/>
      <c r="AKQ71" s="18"/>
      <c r="AKR71" s="18"/>
      <c r="AKS71" s="18"/>
      <c r="AKT71" s="18"/>
      <c r="AKU71" s="18"/>
      <c r="AKV71" s="18"/>
      <c r="AKW71" s="18"/>
      <c r="AKX71" s="18"/>
      <c r="AKY71" s="18"/>
      <c r="AKZ71" s="18"/>
      <c r="ALA71" s="18"/>
      <c r="ALB71" s="18"/>
      <c r="ALC71" s="18"/>
      <c r="ALD71" s="18"/>
      <c r="ALE71" s="18"/>
      <c r="ALF71" s="18"/>
      <c r="ALG71" s="18"/>
      <c r="ALH71" s="18"/>
      <c r="ALI71" s="18"/>
      <c r="ALJ71" s="18"/>
      <c r="ALK71" s="18"/>
      <c r="ALL71" s="18"/>
      <c r="ALM71" s="18"/>
      <c r="ALN71" s="18"/>
      <c r="ALO71" s="18"/>
      <c r="ALP71" s="18"/>
      <c r="ALQ71" s="18"/>
      <c r="ALR71" s="18"/>
      <c r="ALS71" s="18"/>
      <c r="ALT71" s="18"/>
      <c r="ALU71" s="18"/>
      <c r="ALV71" s="18"/>
      <c r="ALW71" s="18"/>
      <c r="ALX71" s="18"/>
      <c r="ALY71" s="18"/>
      <c r="ALZ71" s="18"/>
      <c r="AMA71" s="18"/>
      <c r="AMB71" s="18"/>
      <c r="AMC71" s="18"/>
      <c r="AMD71" s="18"/>
      <c r="AME71" s="18"/>
      <c r="AMF71" s="18"/>
      <c r="AMG71" s="18"/>
      <c r="AMH71" s="18"/>
      <c r="AMI71" s="18"/>
      <c r="AMJ71" s="18"/>
      <c r="AMK71" s="18"/>
      <c r="AML71" s="18"/>
      <c r="AMM71" s="18"/>
    </row>
    <row r="72" spans="1:1027" s="18" customFormat="1" x14ac:dyDescent="0.2">
      <c r="A72" s="18">
        <v>1</v>
      </c>
      <c r="B72" s="18" t="s">
        <v>36</v>
      </c>
      <c r="D72" s="18">
        <v>76</v>
      </c>
      <c r="E72" s="42" t="s">
        <v>507</v>
      </c>
      <c r="F72" s="42" t="s">
        <v>507</v>
      </c>
      <c r="G72" s="43" t="s">
        <v>540</v>
      </c>
      <c r="H72" s="42" t="s">
        <v>507</v>
      </c>
      <c r="I72" s="42" t="s">
        <v>507</v>
      </c>
      <c r="J72" s="42" t="s">
        <v>507</v>
      </c>
      <c r="K72" s="21" t="s">
        <v>509</v>
      </c>
      <c r="M72" s="1" t="s">
        <v>510</v>
      </c>
      <c r="N72" s="1"/>
      <c r="Q72" s="18" t="s">
        <v>623</v>
      </c>
      <c r="S72" s="13"/>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c r="GG72" s="31"/>
      <c r="GH72" s="31"/>
      <c r="GI72" s="31"/>
      <c r="GJ72" s="31"/>
      <c r="GK72" s="31"/>
      <c r="GL72" s="31"/>
      <c r="GM72" s="31"/>
      <c r="GN72" s="31"/>
      <c r="GO72" s="31"/>
      <c r="GP72" s="31"/>
      <c r="GQ72" s="31"/>
      <c r="GR72" s="31"/>
      <c r="GS72" s="31"/>
      <c r="GT72" s="31"/>
      <c r="GU72" s="31"/>
      <c r="GV72" s="31"/>
      <c r="GW72" s="31"/>
      <c r="GX72" s="31"/>
      <c r="GY72" s="31"/>
      <c r="GZ72" s="31"/>
      <c r="HA72" s="31"/>
      <c r="HB72" s="31"/>
      <c r="HC72" s="31"/>
      <c r="HD72" s="31"/>
      <c r="HE72" s="31"/>
      <c r="HF72" s="31"/>
      <c r="HG72" s="31"/>
      <c r="HH72" s="31"/>
      <c r="HI72" s="31"/>
      <c r="HJ72" s="31"/>
      <c r="HK72" s="31"/>
      <c r="HL72" s="31"/>
      <c r="HM72" s="31"/>
      <c r="HN72" s="31"/>
      <c r="HO72" s="31"/>
      <c r="HP72" s="31"/>
      <c r="HQ72" s="31"/>
      <c r="HR72" s="31"/>
      <c r="HS72" s="31"/>
      <c r="HT72" s="31"/>
      <c r="HU72" s="31"/>
      <c r="HV72" s="31"/>
      <c r="HW72" s="31"/>
      <c r="HX72" s="31"/>
      <c r="HY72" s="31"/>
      <c r="HZ72" s="31"/>
      <c r="IA72" s="31"/>
      <c r="IB72" s="31"/>
      <c r="IC72" s="31"/>
      <c r="ID72" s="31"/>
      <c r="IE72" s="31"/>
      <c r="IF72" s="31"/>
      <c r="IG72" s="31"/>
      <c r="IH72" s="31"/>
      <c r="II72" s="31"/>
      <c r="IJ72" s="31"/>
      <c r="IK72" s="31"/>
      <c r="IL72" s="31"/>
      <c r="IM72" s="31"/>
      <c r="IN72" s="31"/>
      <c r="IO72" s="31"/>
      <c r="IP72" s="31"/>
      <c r="IQ72" s="31"/>
      <c r="IR72" s="31"/>
      <c r="IS72" s="31"/>
      <c r="IT72" s="31"/>
      <c r="IU72" s="31"/>
      <c r="IV72" s="31"/>
      <c r="IW72" s="31"/>
      <c r="IX72" s="31"/>
      <c r="IY72" s="31"/>
      <c r="IZ72" s="31"/>
      <c r="JA72" s="31"/>
      <c r="JB72" s="31"/>
      <c r="JC72" s="31"/>
      <c r="JD72" s="31"/>
      <c r="JE72" s="31"/>
      <c r="JF72" s="31"/>
      <c r="JG72" s="31"/>
      <c r="JH72" s="31"/>
      <c r="JI72" s="31"/>
      <c r="JJ72" s="31"/>
      <c r="JK72" s="31"/>
      <c r="JL72" s="31"/>
      <c r="JM72" s="31"/>
      <c r="JN72" s="31"/>
      <c r="JO72" s="31"/>
      <c r="JP72" s="31"/>
      <c r="JQ72" s="31"/>
      <c r="JR72" s="31"/>
      <c r="JS72" s="31"/>
      <c r="JT72" s="31"/>
      <c r="JU72" s="31"/>
      <c r="JV72" s="31"/>
      <c r="JW72" s="31"/>
      <c r="JX72" s="31"/>
      <c r="JY72" s="31"/>
      <c r="JZ72" s="31"/>
      <c r="KA72" s="31"/>
      <c r="KB72" s="31"/>
      <c r="KC72" s="31"/>
      <c r="KD72" s="31"/>
      <c r="KE72" s="31"/>
      <c r="KF72" s="31"/>
      <c r="KG72" s="31"/>
      <c r="KH72" s="31"/>
      <c r="KI72" s="31"/>
      <c r="KJ72" s="31"/>
      <c r="KK72" s="31"/>
      <c r="KL72" s="31"/>
      <c r="KM72" s="31"/>
      <c r="KN72" s="31"/>
      <c r="KO72" s="31"/>
      <c r="KP72" s="31"/>
      <c r="KQ72" s="31"/>
      <c r="KR72" s="31"/>
      <c r="KS72" s="31"/>
      <c r="KT72" s="31"/>
      <c r="KU72" s="31"/>
      <c r="KV72" s="31"/>
      <c r="KW72" s="31"/>
      <c r="KX72" s="31"/>
      <c r="KY72" s="31"/>
      <c r="KZ72" s="31"/>
      <c r="LA72" s="31"/>
      <c r="LB72" s="31"/>
      <c r="LC72" s="31"/>
      <c r="LD72" s="31"/>
      <c r="LE72" s="31"/>
      <c r="LF72" s="31"/>
      <c r="LG72" s="31"/>
      <c r="LH72" s="31"/>
      <c r="LI72" s="31"/>
      <c r="LJ72" s="31"/>
      <c r="LK72" s="31"/>
      <c r="LL72" s="31"/>
      <c r="LM72" s="31"/>
      <c r="LN72" s="31"/>
      <c r="LO72" s="31"/>
      <c r="LP72" s="31"/>
      <c r="LQ72" s="31"/>
      <c r="LR72" s="31"/>
      <c r="LS72" s="31"/>
      <c r="LT72" s="31"/>
      <c r="LU72" s="31"/>
      <c r="LV72" s="31"/>
      <c r="LW72" s="31"/>
      <c r="LX72" s="31"/>
      <c r="LY72" s="31"/>
      <c r="LZ72" s="31"/>
      <c r="MA72" s="31"/>
      <c r="MB72" s="31"/>
      <c r="MC72" s="31"/>
      <c r="MD72" s="31"/>
      <c r="ME72" s="31"/>
      <c r="MF72" s="31"/>
      <c r="MG72" s="31"/>
      <c r="MH72" s="31"/>
      <c r="MI72" s="31"/>
      <c r="MJ72" s="31"/>
      <c r="MK72" s="31"/>
      <c r="ML72" s="31"/>
      <c r="MM72" s="31"/>
      <c r="MN72" s="31"/>
      <c r="MO72" s="31"/>
      <c r="MP72" s="31"/>
      <c r="MQ72" s="31"/>
      <c r="MR72" s="31"/>
      <c r="MS72" s="31"/>
      <c r="MT72" s="31"/>
      <c r="MU72" s="31"/>
      <c r="MV72" s="31"/>
      <c r="MW72" s="31"/>
      <c r="MX72" s="31"/>
      <c r="MY72" s="31"/>
      <c r="MZ72" s="31"/>
      <c r="NA72" s="31"/>
      <c r="NB72" s="31"/>
      <c r="NC72" s="31"/>
      <c r="ND72" s="31"/>
      <c r="NE72" s="31"/>
      <c r="NF72" s="31"/>
      <c r="NG72" s="31"/>
      <c r="NH72" s="31"/>
      <c r="NI72" s="31"/>
      <c r="NJ72" s="31"/>
      <c r="NK72" s="31"/>
      <c r="NL72" s="31"/>
      <c r="NM72" s="31"/>
      <c r="NN72" s="31"/>
      <c r="NO72" s="31"/>
      <c r="NP72" s="31"/>
      <c r="NQ72" s="31"/>
      <c r="NR72" s="31"/>
      <c r="NS72" s="31"/>
      <c r="NT72" s="31"/>
      <c r="NU72" s="31"/>
      <c r="NV72" s="31"/>
      <c r="NW72" s="31"/>
      <c r="NX72" s="31"/>
      <c r="NY72" s="31"/>
      <c r="NZ72" s="31"/>
      <c r="OA72" s="31"/>
      <c r="OB72" s="31"/>
      <c r="OC72" s="31"/>
      <c r="OD72" s="31"/>
      <c r="OE72" s="31"/>
      <c r="OF72" s="31"/>
      <c r="OG72" s="31"/>
      <c r="OH72" s="31"/>
      <c r="OI72" s="31"/>
      <c r="OJ72" s="31"/>
      <c r="OK72" s="31"/>
      <c r="OL72" s="31"/>
      <c r="OM72" s="31"/>
      <c r="ON72" s="31"/>
      <c r="OO72" s="31"/>
      <c r="OP72" s="31"/>
      <c r="OQ72" s="31"/>
      <c r="OR72" s="31"/>
      <c r="OS72" s="31"/>
      <c r="OT72" s="31"/>
      <c r="OU72" s="31"/>
      <c r="OV72" s="31"/>
      <c r="OW72" s="31"/>
      <c r="OX72" s="31"/>
      <c r="OY72" s="31"/>
      <c r="OZ72" s="31"/>
      <c r="PA72" s="31"/>
      <c r="PB72" s="31"/>
      <c r="PC72" s="31"/>
      <c r="PD72" s="31"/>
      <c r="PE72" s="31"/>
      <c r="PF72" s="31"/>
      <c r="PG72" s="31"/>
      <c r="PH72" s="31"/>
      <c r="PI72" s="31"/>
      <c r="PJ72" s="31"/>
      <c r="PK72" s="31"/>
      <c r="PL72" s="31"/>
      <c r="PM72" s="31"/>
      <c r="PN72" s="31"/>
      <c r="PO72" s="31"/>
      <c r="PP72" s="31"/>
      <c r="PQ72" s="31"/>
      <c r="PR72" s="31"/>
      <c r="PS72" s="31"/>
      <c r="PT72" s="31"/>
      <c r="PU72" s="31"/>
      <c r="PV72" s="31"/>
      <c r="PW72" s="31"/>
      <c r="PX72" s="31"/>
      <c r="PY72" s="31"/>
      <c r="PZ72" s="31"/>
      <c r="QA72" s="31"/>
      <c r="QB72" s="31"/>
      <c r="QC72" s="31"/>
      <c r="QD72" s="31"/>
      <c r="QE72" s="31"/>
      <c r="QF72" s="31"/>
      <c r="QG72" s="31"/>
      <c r="QH72" s="31"/>
      <c r="QI72" s="31"/>
      <c r="QJ72" s="31"/>
      <c r="QK72" s="31"/>
      <c r="QL72" s="31"/>
      <c r="QM72" s="31"/>
      <c r="QN72" s="31"/>
      <c r="QO72" s="31"/>
      <c r="QP72" s="31"/>
      <c r="QQ72" s="31"/>
      <c r="QR72" s="31"/>
      <c r="QS72" s="31"/>
      <c r="QT72" s="31"/>
      <c r="QU72" s="31"/>
      <c r="QV72" s="31"/>
      <c r="QW72" s="31"/>
      <c r="QX72" s="31"/>
      <c r="QY72" s="31"/>
      <c r="QZ72" s="31"/>
      <c r="RA72" s="31"/>
      <c r="RB72" s="31"/>
      <c r="RC72" s="31"/>
      <c r="RD72" s="31"/>
      <c r="RE72" s="31"/>
      <c r="RF72" s="31"/>
      <c r="RG72" s="31"/>
      <c r="RH72" s="31"/>
      <c r="RI72" s="31"/>
      <c r="RJ72" s="31"/>
      <c r="RK72" s="31"/>
      <c r="RL72" s="31"/>
      <c r="RM72" s="31"/>
      <c r="RN72" s="31"/>
      <c r="RO72" s="31"/>
      <c r="RP72" s="31"/>
      <c r="RQ72" s="31"/>
      <c r="RR72" s="31"/>
      <c r="RS72" s="31"/>
      <c r="RT72" s="31"/>
      <c r="RU72" s="31"/>
      <c r="RV72" s="31"/>
      <c r="RW72" s="31"/>
      <c r="RX72" s="31"/>
      <c r="RY72" s="31"/>
      <c r="RZ72" s="31"/>
      <c r="SA72" s="31"/>
      <c r="SB72" s="31"/>
      <c r="SC72" s="31"/>
      <c r="SD72" s="31"/>
      <c r="SE72" s="31"/>
      <c r="SF72" s="31"/>
      <c r="SG72" s="31"/>
      <c r="SH72" s="31"/>
      <c r="SI72" s="31"/>
      <c r="SJ72" s="31"/>
      <c r="SK72" s="31"/>
      <c r="SL72" s="31"/>
      <c r="SM72" s="31"/>
      <c r="SN72" s="31"/>
      <c r="SO72" s="31"/>
      <c r="SP72" s="31"/>
      <c r="SQ72" s="31"/>
      <c r="SR72" s="31"/>
      <c r="SS72" s="31"/>
      <c r="ST72" s="31"/>
      <c r="SU72" s="31"/>
      <c r="SV72" s="31"/>
      <c r="SW72" s="31"/>
      <c r="SX72" s="31"/>
      <c r="SY72" s="31"/>
      <c r="SZ72" s="31"/>
      <c r="TA72" s="31"/>
      <c r="TB72" s="31"/>
      <c r="TC72" s="31"/>
      <c r="TD72" s="31"/>
      <c r="TE72" s="31"/>
      <c r="TF72" s="31"/>
      <c r="TG72" s="31"/>
      <c r="TH72" s="31"/>
      <c r="TI72" s="31"/>
      <c r="TJ72" s="31"/>
      <c r="TK72" s="31"/>
      <c r="TL72" s="31"/>
      <c r="TM72" s="31"/>
      <c r="TN72" s="31"/>
      <c r="TO72" s="31"/>
      <c r="TP72" s="31"/>
      <c r="TQ72" s="31"/>
      <c r="TR72" s="31"/>
      <c r="TS72" s="31"/>
      <c r="TT72" s="31"/>
      <c r="TU72" s="31"/>
      <c r="TV72" s="31"/>
      <c r="TW72" s="31"/>
      <c r="TX72" s="31"/>
      <c r="TY72" s="31"/>
      <c r="TZ72" s="31"/>
      <c r="UA72" s="31"/>
      <c r="UB72" s="31"/>
      <c r="UC72" s="31"/>
      <c r="UD72" s="31"/>
      <c r="UE72" s="31"/>
      <c r="UF72" s="31"/>
      <c r="UG72" s="31"/>
      <c r="UH72" s="31"/>
      <c r="UI72" s="31"/>
      <c r="UJ72" s="31"/>
      <c r="UK72" s="31"/>
      <c r="UL72" s="31"/>
      <c r="UM72" s="31"/>
      <c r="UN72" s="31"/>
      <c r="UO72" s="31"/>
      <c r="UP72" s="31"/>
      <c r="UQ72" s="31"/>
      <c r="UR72" s="31"/>
      <c r="US72" s="31"/>
      <c r="UT72" s="31"/>
      <c r="UU72" s="31"/>
      <c r="UV72" s="31"/>
      <c r="UW72" s="31"/>
      <c r="UX72" s="31"/>
      <c r="UY72" s="31"/>
      <c r="UZ72" s="31"/>
      <c r="VA72" s="31"/>
      <c r="VB72" s="31"/>
      <c r="VC72" s="31"/>
      <c r="VD72" s="31"/>
      <c r="VE72" s="31"/>
      <c r="VF72" s="31"/>
      <c r="VG72" s="31"/>
      <c r="VH72" s="31"/>
      <c r="VI72" s="31"/>
      <c r="VJ72" s="31"/>
      <c r="VK72" s="31"/>
      <c r="VL72" s="31"/>
      <c r="VM72" s="31"/>
      <c r="VN72" s="31"/>
      <c r="VO72" s="31"/>
      <c r="VP72" s="31"/>
      <c r="VQ72" s="31"/>
      <c r="VR72" s="31"/>
      <c r="VS72" s="31"/>
      <c r="VT72" s="31"/>
      <c r="VU72" s="31"/>
      <c r="VV72" s="31"/>
      <c r="VW72" s="31"/>
      <c r="VX72" s="31"/>
      <c r="VY72" s="31"/>
      <c r="VZ72" s="31"/>
      <c r="WA72" s="31"/>
      <c r="WB72" s="31"/>
      <c r="WC72" s="31"/>
      <c r="WD72" s="31"/>
      <c r="WE72" s="31"/>
      <c r="WF72" s="31"/>
      <c r="WG72" s="31"/>
      <c r="WH72" s="31"/>
      <c r="WI72" s="31"/>
      <c r="WJ72" s="31"/>
      <c r="WK72" s="31"/>
      <c r="WL72" s="31"/>
      <c r="WM72" s="31"/>
      <c r="WN72" s="31"/>
      <c r="WO72" s="31"/>
      <c r="WP72" s="31"/>
      <c r="WQ72" s="31"/>
      <c r="WR72" s="31"/>
      <c r="WS72" s="31"/>
      <c r="WT72" s="31"/>
      <c r="WU72" s="31"/>
      <c r="WV72" s="31"/>
      <c r="WW72" s="31"/>
      <c r="WX72" s="31"/>
      <c r="WY72" s="31"/>
      <c r="WZ72" s="31"/>
      <c r="XA72" s="31"/>
      <c r="XB72" s="31"/>
      <c r="XC72" s="31"/>
      <c r="XD72" s="31"/>
      <c r="XE72" s="31"/>
      <c r="XF72" s="31"/>
      <c r="XG72" s="31"/>
      <c r="XH72" s="31"/>
      <c r="XI72" s="31"/>
      <c r="XJ72" s="31"/>
      <c r="XK72" s="31"/>
      <c r="XL72" s="31"/>
      <c r="XM72" s="31"/>
      <c r="XN72" s="31"/>
      <c r="XO72" s="31"/>
      <c r="XP72" s="31"/>
      <c r="XQ72" s="31"/>
      <c r="XR72" s="31"/>
      <c r="XS72" s="31"/>
      <c r="XT72" s="31"/>
      <c r="XU72" s="31"/>
      <c r="XV72" s="31"/>
      <c r="XW72" s="31"/>
      <c r="XX72" s="31"/>
      <c r="XY72" s="31"/>
      <c r="XZ72" s="31"/>
      <c r="YA72" s="31"/>
      <c r="YB72" s="31"/>
      <c r="YC72" s="31"/>
      <c r="YD72" s="31"/>
      <c r="YE72" s="31"/>
      <c r="YF72" s="31"/>
      <c r="YG72" s="31"/>
      <c r="YH72" s="31"/>
      <c r="YI72" s="31"/>
      <c r="YJ72" s="31"/>
      <c r="YK72" s="31"/>
      <c r="YL72" s="31"/>
      <c r="YM72" s="31"/>
      <c r="YN72" s="31"/>
      <c r="YO72" s="31"/>
      <c r="YP72" s="31"/>
      <c r="YQ72" s="31"/>
      <c r="YR72" s="31"/>
      <c r="YS72" s="31"/>
      <c r="YT72" s="31"/>
      <c r="YU72" s="31"/>
      <c r="YV72" s="31"/>
      <c r="YW72" s="31"/>
      <c r="YX72" s="31"/>
      <c r="YY72" s="31"/>
      <c r="YZ72" s="31"/>
      <c r="ZA72" s="31"/>
      <c r="ZB72" s="31"/>
      <c r="ZC72" s="31"/>
      <c r="ZD72" s="31"/>
      <c r="ZE72" s="31"/>
      <c r="ZF72" s="31"/>
      <c r="ZG72" s="31"/>
      <c r="ZH72" s="31"/>
      <c r="ZI72" s="31"/>
      <c r="ZJ72" s="31"/>
      <c r="ZK72" s="31"/>
      <c r="ZL72" s="31"/>
      <c r="ZM72" s="31"/>
      <c r="ZN72" s="31"/>
      <c r="ZO72" s="31"/>
      <c r="ZP72" s="31"/>
      <c r="ZQ72" s="31"/>
      <c r="ZR72" s="31"/>
      <c r="ZS72" s="31"/>
      <c r="ZT72" s="31"/>
      <c r="ZU72" s="31"/>
      <c r="ZV72" s="31"/>
      <c r="ZW72" s="31"/>
      <c r="ZX72" s="31"/>
      <c r="ZY72" s="31"/>
      <c r="ZZ72" s="31"/>
      <c r="AAA72" s="31"/>
      <c r="AAB72" s="31"/>
      <c r="AAC72" s="31"/>
      <c r="AAD72" s="31"/>
      <c r="AAE72" s="31"/>
      <c r="AAF72" s="31"/>
      <c r="AAG72" s="31"/>
      <c r="AAH72" s="31"/>
      <c r="AAI72" s="31"/>
      <c r="AAJ72" s="31"/>
      <c r="AAK72" s="31"/>
      <c r="AAL72" s="31"/>
      <c r="AAM72" s="31"/>
      <c r="AAN72" s="31"/>
      <c r="AAO72" s="31"/>
      <c r="AAP72" s="31"/>
      <c r="AAQ72" s="31"/>
      <c r="AAR72" s="31"/>
      <c r="AAS72" s="31"/>
      <c r="AAT72" s="31"/>
      <c r="AAU72" s="31"/>
      <c r="AAV72" s="31"/>
      <c r="AAW72" s="31"/>
      <c r="AAX72" s="31"/>
      <c r="AAY72" s="31"/>
      <c r="AAZ72" s="31"/>
      <c r="ABA72" s="31"/>
      <c r="ABB72" s="31"/>
      <c r="ABC72" s="31"/>
      <c r="ABD72" s="31"/>
      <c r="ABE72" s="31"/>
      <c r="ABF72" s="31"/>
      <c r="ABG72" s="31"/>
      <c r="ABH72" s="31"/>
      <c r="ABI72" s="31"/>
      <c r="ABJ72" s="31"/>
      <c r="ABK72" s="31"/>
      <c r="ABL72" s="31"/>
      <c r="ABM72" s="31"/>
      <c r="ABN72" s="31"/>
      <c r="ABO72" s="31"/>
      <c r="ABP72" s="31"/>
      <c r="ABQ72" s="31"/>
      <c r="ABR72" s="31"/>
      <c r="ABS72" s="31"/>
      <c r="ABT72" s="31"/>
      <c r="ABU72" s="31"/>
      <c r="ABV72" s="31"/>
      <c r="ABW72" s="31"/>
      <c r="ABX72" s="31"/>
      <c r="ABY72" s="31"/>
      <c r="ABZ72" s="31"/>
      <c r="ACA72" s="31"/>
      <c r="ACB72" s="31"/>
      <c r="ACC72" s="31"/>
      <c r="ACD72" s="31"/>
      <c r="ACE72" s="31"/>
      <c r="ACF72" s="31"/>
      <c r="ACG72" s="31"/>
      <c r="ACH72" s="31"/>
      <c r="ACI72" s="31"/>
      <c r="ACJ72" s="31"/>
      <c r="ACK72" s="31"/>
      <c r="ACL72" s="31"/>
      <c r="ACM72" s="31"/>
      <c r="ACN72" s="31"/>
      <c r="ACO72" s="31"/>
      <c r="ACP72" s="31"/>
      <c r="ACQ72" s="31"/>
      <c r="ACR72" s="31"/>
      <c r="ACS72" s="31"/>
      <c r="ACT72" s="31"/>
      <c r="ACU72" s="31"/>
      <c r="ACV72" s="31"/>
      <c r="ACW72" s="31"/>
      <c r="ACX72" s="31"/>
      <c r="ACY72" s="31"/>
      <c r="ACZ72" s="31"/>
      <c r="ADA72" s="31"/>
      <c r="ADB72" s="31"/>
      <c r="ADC72" s="31"/>
      <c r="ADD72" s="31"/>
      <c r="ADE72" s="31"/>
      <c r="ADF72" s="31"/>
      <c r="ADG72" s="31"/>
      <c r="ADH72" s="31"/>
      <c r="ADI72" s="31"/>
      <c r="ADJ72" s="31"/>
      <c r="ADK72" s="31"/>
      <c r="ADL72" s="31"/>
      <c r="ADM72" s="31"/>
      <c r="ADN72" s="31"/>
      <c r="ADO72" s="31"/>
      <c r="ADP72" s="31"/>
      <c r="ADQ72" s="31"/>
      <c r="ADR72" s="31"/>
      <c r="ADS72" s="31"/>
      <c r="ADT72" s="31"/>
      <c r="ADU72" s="31"/>
      <c r="ADV72" s="31"/>
      <c r="ADW72" s="31"/>
      <c r="ADX72" s="31"/>
      <c r="ADY72" s="31"/>
      <c r="ADZ72" s="31"/>
      <c r="AEA72" s="31"/>
      <c r="AEB72" s="31"/>
      <c r="AEC72" s="31"/>
      <c r="AED72" s="31"/>
      <c r="AEE72" s="31"/>
      <c r="AEF72" s="31"/>
      <c r="AEG72" s="31"/>
      <c r="AEH72" s="31"/>
      <c r="AEI72" s="31"/>
      <c r="AEJ72" s="31"/>
      <c r="AEK72" s="31"/>
      <c r="AEL72" s="31"/>
      <c r="AEM72" s="31"/>
      <c r="AEN72" s="31"/>
      <c r="AEO72" s="31"/>
      <c r="AEP72" s="31"/>
      <c r="AEQ72" s="31"/>
      <c r="AER72" s="31"/>
      <c r="AES72" s="31"/>
      <c r="AET72" s="31"/>
      <c r="AEU72" s="31"/>
      <c r="AEV72" s="31"/>
      <c r="AEW72" s="31"/>
      <c r="AEX72" s="31"/>
      <c r="AEY72" s="31"/>
      <c r="AEZ72" s="31"/>
      <c r="AFA72" s="31"/>
      <c r="AFB72" s="31"/>
      <c r="AFC72" s="31"/>
      <c r="AFD72" s="31"/>
      <c r="AFE72" s="31"/>
      <c r="AFF72" s="31"/>
      <c r="AFG72" s="31"/>
      <c r="AFH72" s="31"/>
      <c r="AFI72" s="31"/>
      <c r="AFJ72" s="31"/>
      <c r="AFK72" s="31"/>
      <c r="AFL72" s="31"/>
      <c r="AFM72" s="31"/>
      <c r="AFN72" s="31"/>
      <c r="AFO72" s="31"/>
      <c r="AFP72" s="31"/>
      <c r="AFQ72" s="31"/>
      <c r="AFR72" s="31"/>
      <c r="AFS72" s="31"/>
      <c r="AFT72" s="31"/>
      <c r="AFU72" s="31"/>
      <c r="AFV72" s="31"/>
      <c r="AFW72" s="31"/>
      <c r="AFX72" s="31"/>
      <c r="AFY72" s="31"/>
      <c r="AFZ72" s="31"/>
      <c r="AGA72" s="31"/>
      <c r="AGB72" s="31"/>
      <c r="AGC72" s="31"/>
      <c r="AGD72" s="31"/>
      <c r="AGE72" s="31"/>
      <c r="AGF72" s="31"/>
      <c r="AGG72" s="31"/>
      <c r="AGH72" s="31"/>
      <c r="AGI72" s="31"/>
      <c r="AGJ72" s="31"/>
      <c r="AGK72" s="31"/>
      <c r="AGL72" s="31"/>
      <c r="AGM72" s="31"/>
      <c r="AGN72" s="31"/>
      <c r="AGO72" s="31"/>
      <c r="AGP72" s="31"/>
      <c r="AGQ72" s="31"/>
      <c r="AGR72" s="31"/>
      <c r="AGS72" s="31"/>
      <c r="AGT72" s="31"/>
      <c r="AGU72" s="31"/>
      <c r="AGV72" s="31"/>
      <c r="AGW72" s="31"/>
      <c r="AGX72" s="31"/>
      <c r="AGY72" s="31"/>
      <c r="AGZ72" s="31"/>
      <c r="AHA72" s="31"/>
      <c r="AHB72" s="31"/>
      <c r="AHC72" s="31"/>
      <c r="AHD72" s="31"/>
      <c r="AHE72" s="31"/>
      <c r="AHF72" s="31"/>
      <c r="AHG72" s="31"/>
      <c r="AHH72" s="31"/>
      <c r="AHI72" s="31"/>
      <c r="AHJ72" s="31"/>
      <c r="AHK72" s="31"/>
      <c r="AHL72" s="31"/>
      <c r="AHM72" s="31"/>
      <c r="AHN72" s="31"/>
      <c r="AHO72" s="31"/>
      <c r="AHP72" s="31"/>
      <c r="AHQ72" s="31"/>
      <c r="AHR72" s="31"/>
      <c r="AHS72" s="31"/>
      <c r="AHT72" s="31"/>
      <c r="AHU72" s="31"/>
      <c r="AHV72" s="31"/>
      <c r="AHW72" s="31"/>
      <c r="AHX72" s="31"/>
      <c r="AHY72" s="31"/>
      <c r="AHZ72" s="31"/>
      <c r="AIA72" s="31"/>
      <c r="AIB72" s="31"/>
      <c r="AIC72" s="31"/>
      <c r="AID72" s="31"/>
      <c r="AIE72" s="31"/>
      <c r="AIF72" s="31"/>
      <c r="AIG72" s="31"/>
      <c r="AIH72" s="31"/>
      <c r="AII72" s="31"/>
      <c r="AIJ72" s="31"/>
      <c r="AIK72" s="31"/>
      <c r="AIL72" s="31"/>
      <c r="AIM72" s="31"/>
      <c r="AIN72" s="31"/>
      <c r="AIO72" s="31"/>
      <c r="AIP72" s="31"/>
      <c r="AIQ72" s="31"/>
      <c r="AIR72" s="31"/>
      <c r="AIS72" s="31"/>
      <c r="AIT72" s="31"/>
      <c r="AIU72" s="31"/>
      <c r="AIV72" s="31"/>
      <c r="AIW72" s="31"/>
      <c r="AIX72" s="31"/>
      <c r="AIY72" s="31"/>
      <c r="AIZ72" s="31"/>
      <c r="AJA72" s="31"/>
      <c r="AJB72" s="31"/>
      <c r="AJC72" s="31"/>
      <c r="AJD72" s="31"/>
      <c r="AJE72" s="31"/>
      <c r="AJF72" s="31"/>
      <c r="AJG72" s="31"/>
      <c r="AJH72" s="31"/>
      <c r="AJI72" s="31"/>
      <c r="AJJ72" s="31"/>
      <c r="AJK72" s="31"/>
      <c r="AJL72" s="31"/>
      <c r="AJM72" s="31"/>
      <c r="AJN72" s="31"/>
      <c r="AJO72" s="31"/>
      <c r="AJP72" s="31"/>
      <c r="AJQ72" s="31"/>
      <c r="AJR72" s="31"/>
      <c r="AJS72" s="31"/>
      <c r="AJT72" s="31"/>
      <c r="AJU72" s="31"/>
      <c r="AJV72" s="31"/>
      <c r="AJW72" s="31"/>
      <c r="AJX72" s="31"/>
      <c r="AJY72" s="31"/>
      <c r="AJZ72" s="31"/>
      <c r="AKA72" s="31"/>
      <c r="AKB72" s="31"/>
      <c r="AKC72" s="31"/>
      <c r="AKD72" s="31"/>
      <c r="AKE72" s="31"/>
      <c r="AKF72" s="31"/>
      <c r="AKG72" s="31"/>
      <c r="AKH72" s="31"/>
      <c r="AKI72" s="31"/>
      <c r="AKJ72" s="31"/>
      <c r="AKK72" s="31"/>
      <c r="AKL72" s="31"/>
      <c r="AKM72" s="31"/>
      <c r="AKN72" s="31"/>
      <c r="AKO72" s="31"/>
      <c r="AKP72" s="31"/>
      <c r="AKQ72" s="31"/>
      <c r="AKR72" s="31"/>
      <c r="AKS72" s="31"/>
      <c r="AKT72" s="31"/>
      <c r="AKU72" s="31"/>
      <c r="AKV72" s="31"/>
      <c r="AKW72" s="31"/>
      <c r="AKX72" s="31"/>
      <c r="AKY72" s="31"/>
      <c r="AKZ72" s="31"/>
      <c r="ALA72" s="31"/>
      <c r="ALB72" s="31"/>
      <c r="ALC72" s="31"/>
      <c r="ALD72" s="31"/>
      <c r="ALE72" s="31"/>
      <c r="ALF72" s="31"/>
      <c r="ALG72" s="31"/>
      <c r="ALH72" s="31"/>
      <c r="ALI72" s="31"/>
      <c r="ALJ72" s="31"/>
      <c r="ALK72" s="31"/>
      <c r="ALL72" s="31"/>
      <c r="ALM72" s="31"/>
      <c r="ALN72" s="31"/>
      <c r="ALO72" s="31"/>
      <c r="ALP72" s="31"/>
      <c r="ALQ72" s="31"/>
      <c r="ALR72" s="31"/>
      <c r="ALS72" s="31"/>
      <c r="ALT72" s="31"/>
      <c r="ALU72" s="31"/>
      <c r="ALV72" s="31"/>
      <c r="ALW72" s="31"/>
      <c r="ALX72" s="31"/>
      <c r="ALY72" s="31"/>
      <c r="ALZ72" s="31"/>
      <c r="AMA72" s="31"/>
      <c r="AMB72" s="31"/>
      <c r="AMC72" s="31"/>
      <c r="AMD72" s="31"/>
      <c r="AME72" s="31"/>
      <c r="AMF72" s="31"/>
      <c r="AMG72" s="31"/>
      <c r="AMH72" s="31"/>
      <c r="AMI72" s="31"/>
      <c r="AMJ72" s="31"/>
      <c r="AMK72" s="31"/>
      <c r="AML72" s="31"/>
      <c r="AMM72" s="31"/>
    </row>
    <row r="73" spans="1:1027" s="18" customFormat="1" ht="16" x14ac:dyDescent="0.2">
      <c r="A73" s="18">
        <v>2</v>
      </c>
      <c r="B73" s="18" t="s">
        <v>188</v>
      </c>
      <c r="C73" s="18" t="s">
        <v>189</v>
      </c>
      <c r="D73" s="18">
        <v>88</v>
      </c>
      <c r="E73" s="48" t="s">
        <v>507</v>
      </c>
      <c r="F73" s="48" t="s">
        <v>507</v>
      </c>
      <c r="G73" s="49" t="s">
        <v>507</v>
      </c>
      <c r="H73" s="48" t="s">
        <v>507</v>
      </c>
      <c r="I73" s="48" t="s">
        <v>507</v>
      </c>
      <c r="J73" s="48" t="s">
        <v>507</v>
      </c>
      <c r="K73" s="21" t="s">
        <v>509</v>
      </c>
      <c r="M73" s="1" t="s">
        <v>510</v>
      </c>
      <c r="N73" s="1"/>
      <c r="O73" s="18" t="s">
        <v>507</v>
      </c>
      <c r="S73" s="13"/>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1027" x14ac:dyDescent="0.2">
      <c r="A74" s="18">
        <v>1</v>
      </c>
      <c r="B74" s="18" t="s">
        <v>624</v>
      </c>
      <c r="C74" s="18"/>
      <c r="D74" s="18">
        <v>38</v>
      </c>
      <c r="E74" s="42" t="s">
        <v>507</v>
      </c>
      <c r="F74" s="42" t="s">
        <v>507</v>
      </c>
      <c r="G74" s="43" t="s">
        <v>507</v>
      </c>
      <c r="H74" s="42" t="s">
        <v>507</v>
      </c>
      <c r="I74" s="42" t="s">
        <v>507</v>
      </c>
      <c r="J74" s="42" t="s">
        <v>507</v>
      </c>
      <c r="K74" s="21" t="s">
        <v>509</v>
      </c>
      <c r="L74" s="18"/>
      <c r="M74" s="1" t="s">
        <v>510</v>
      </c>
      <c r="O74" s="18" t="s">
        <v>507</v>
      </c>
      <c r="P74" s="18"/>
      <c r="Q74" s="18"/>
      <c r="R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c r="SG74" s="18"/>
      <c r="SH74" s="18"/>
      <c r="SI74" s="18"/>
      <c r="SJ74" s="18"/>
      <c r="SK74" s="18"/>
      <c r="SL74" s="18"/>
      <c r="SM74" s="18"/>
      <c r="SN74" s="18"/>
      <c r="SO74" s="18"/>
      <c r="SP74" s="18"/>
      <c r="SQ74" s="18"/>
      <c r="SR74" s="18"/>
      <c r="SS74" s="18"/>
      <c r="ST74" s="18"/>
      <c r="SU74" s="18"/>
      <c r="SV74" s="18"/>
      <c r="SW74" s="18"/>
      <c r="SX74" s="18"/>
      <c r="SY74" s="18"/>
      <c r="SZ74" s="18"/>
      <c r="TA74" s="18"/>
      <c r="TB74" s="18"/>
      <c r="TC74" s="18"/>
      <c r="TD74" s="18"/>
      <c r="TE74" s="18"/>
      <c r="TF74" s="18"/>
      <c r="TG74" s="18"/>
      <c r="TH74" s="18"/>
      <c r="TI74" s="18"/>
      <c r="TJ74" s="18"/>
      <c r="TK74" s="18"/>
      <c r="TL74" s="18"/>
      <c r="TM74" s="18"/>
      <c r="TN74" s="18"/>
      <c r="TO74" s="18"/>
      <c r="TP74" s="18"/>
      <c r="TQ74" s="18"/>
      <c r="TR74" s="18"/>
      <c r="TS74" s="18"/>
      <c r="TT74" s="18"/>
      <c r="TU74" s="18"/>
      <c r="TV74" s="18"/>
      <c r="TW74" s="18"/>
      <c r="TX74" s="18"/>
      <c r="TY74" s="18"/>
      <c r="TZ74" s="18"/>
      <c r="UA74" s="18"/>
      <c r="UB74" s="18"/>
      <c r="UC74" s="18"/>
      <c r="UD74" s="18"/>
      <c r="UE74" s="18"/>
      <c r="UF74" s="18"/>
      <c r="UG74" s="18"/>
      <c r="UH74" s="18"/>
      <c r="UI74" s="18"/>
      <c r="UJ74" s="18"/>
      <c r="UK74" s="18"/>
      <c r="UL74" s="18"/>
      <c r="UM74" s="18"/>
      <c r="UN74" s="18"/>
      <c r="UO74" s="18"/>
      <c r="UP74" s="18"/>
      <c r="UQ74" s="18"/>
      <c r="UR74" s="18"/>
      <c r="US74" s="18"/>
      <c r="UT74" s="18"/>
      <c r="UU74" s="18"/>
      <c r="UV74" s="18"/>
      <c r="UW74" s="18"/>
      <c r="UX74" s="18"/>
      <c r="UY74" s="18"/>
      <c r="UZ74" s="18"/>
      <c r="VA74" s="18"/>
      <c r="VB74" s="18"/>
      <c r="VC74" s="18"/>
      <c r="VD74" s="18"/>
      <c r="VE74" s="18"/>
      <c r="VF74" s="18"/>
      <c r="VG74" s="18"/>
      <c r="VH74" s="18"/>
      <c r="VI74" s="18"/>
      <c r="VJ74" s="18"/>
      <c r="VK74" s="18"/>
      <c r="VL74" s="18"/>
      <c r="VM74" s="18"/>
      <c r="VN74" s="18"/>
      <c r="VO74" s="18"/>
      <c r="VP74" s="18"/>
      <c r="VQ74" s="18"/>
      <c r="VR74" s="18"/>
      <c r="VS74" s="18"/>
      <c r="VT74" s="18"/>
      <c r="VU74" s="18"/>
      <c r="VV74" s="18"/>
      <c r="VW74" s="18"/>
      <c r="VX74" s="18"/>
      <c r="VY74" s="18"/>
      <c r="VZ74" s="18"/>
      <c r="WA74" s="18"/>
      <c r="WB74" s="18"/>
      <c r="WC74" s="18"/>
      <c r="WD74" s="18"/>
      <c r="WE74" s="18"/>
      <c r="WF74" s="18"/>
      <c r="WG74" s="18"/>
      <c r="WH74" s="18"/>
      <c r="WI74" s="18"/>
      <c r="WJ74" s="18"/>
      <c r="WK74" s="18"/>
      <c r="WL74" s="18"/>
      <c r="WM74" s="18"/>
      <c r="WN74" s="18"/>
      <c r="WO74" s="18"/>
      <c r="WP74" s="18"/>
      <c r="WQ74" s="18"/>
      <c r="WR74" s="18"/>
      <c r="WS74" s="18"/>
      <c r="WT74" s="18"/>
      <c r="WU74" s="18"/>
      <c r="WV74" s="18"/>
      <c r="WW74" s="18"/>
      <c r="WX74" s="18"/>
      <c r="WY74" s="18"/>
      <c r="WZ74" s="18"/>
      <c r="XA74" s="18"/>
      <c r="XB74" s="18"/>
      <c r="XC74" s="18"/>
      <c r="XD74" s="18"/>
      <c r="XE74" s="18"/>
      <c r="XF74" s="18"/>
      <c r="XG74" s="18"/>
      <c r="XH74" s="18"/>
      <c r="XI74" s="18"/>
      <c r="XJ74" s="18"/>
      <c r="XK74" s="18"/>
      <c r="XL74" s="18"/>
      <c r="XM74" s="18"/>
      <c r="XN74" s="18"/>
      <c r="XO74" s="18"/>
      <c r="XP74" s="18"/>
      <c r="XQ74" s="18"/>
      <c r="XR74" s="18"/>
      <c r="XS74" s="18"/>
      <c r="XT74" s="18"/>
      <c r="XU74" s="18"/>
      <c r="XV74" s="18"/>
      <c r="XW74" s="18"/>
      <c r="XX74" s="18"/>
      <c r="XY74" s="18"/>
      <c r="XZ74" s="18"/>
      <c r="YA74" s="18"/>
      <c r="YB74" s="18"/>
      <c r="YC74" s="18"/>
      <c r="YD74" s="18"/>
      <c r="YE74" s="18"/>
      <c r="YF74" s="18"/>
      <c r="YG74" s="18"/>
      <c r="YH74" s="18"/>
      <c r="YI74" s="18"/>
      <c r="YJ74" s="18"/>
      <c r="YK74" s="18"/>
      <c r="YL74" s="18"/>
      <c r="YM74" s="18"/>
      <c r="YN74" s="18"/>
      <c r="YO74" s="18"/>
      <c r="YP74" s="18"/>
      <c r="YQ74" s="18"/>
      <c r="YR74" s="18"/>
      <c r="YS74" s="18"/>
      <c r="YT74" s="18"/>
      <c r="YU74" s="18"/>
      <c r="YV74" s="18"/>
      <c r="YW74" s="18"/>
      <c r="YX74" s="18"/>
      <c r="YY74" s="18"/>
      <c r="YZ74" s="18"/>
      <c r="ZA74" s="18"/>
      <c r="ZB74" s="18"/>
      <c r="ZC74" s="18"/>
      <c r="ZD74" s="18"/>
      <c r="ZE74" s="18"/>
      <c r="ZF74" s="18"/>
      <c r="ZG74" s="18"/>
      <c r="ZH74" s="18"/>
      <c r="ZI74" s="18"/>
      <c r="ZJ74" s="18"/>
      <c r="ZK74" s="18"/>
      <c r="ZL74" s="18"/>
      <c r="ZM74" s="18"/>
      <c r="ZN74" s="18"/>
      <c r="ZO74" s="18"/>
      <c r="ZP74" s="18"/>
      <c r="ZQ74" s="18"/>
      <c r="ZR74" s="18"/>
      <c r="ZS74" s="18"/>
      <c r="ZT74" s="18"/>
      <c r="ZU74" s="18"/>
      <c r="ZV74" s="18"/>
      <c r="ZW74" s="18"/>
      <c r="ZX74" s="18"/>
      <c r="ZY74" s="18"/>
      <c r="ZZ74" s="18"/>
      <c r="AAA74" s="18"/>
      <c r="AAB74" s="18"/>
      <c r="AAC74" s="18"/>
      <c r="AAD74" s="18"/>
      <c r="AAE74" s="18"/>
      <c r="AAF74" s="18"/>
      <c r="AAG74" s="18"/>
      <c r="AAH74" s="18"/>
      <c r="AAI74" s="18"/>
      <c r="AAJ74" s="18"/>
      <c r="AAK74" s="18"/>
      <c r="AAL74" s="18"/>
      <c r="AAM74" s="18"/>
      <c r="AAN74" s="18"/>
      <c r="AAO74" s="18"/>
      <c r="AAP74" s="18"/>
      <c r="AAQ74" s="18"/>
      <c r="AAR74" s="18"/>
      <c r="AAS74" s="18"/>
      <c r="AAT74" s="18"/>
      <c r="AAU74" s="18"/>
      <c r="AAV74" s="18"/>
      <c r="AAW74" s="18"/>
      <c r="AAX74" s="18"/>
      <c r="AAY74" s="18"/>
      <c r="AAZ74" s="18"/>
      <c r="ABA74" s="18"/>
      <c r="ABB74" s="18"/>
      <c r="ABC74" s="18"/>
      <c r="ABD74" s="18"/>
      <c r="ABE74" s="18"/>
      <c r="ABF74" s="18"/>
      <c r="ABG74" s="18"/>
      <c r="ABH74" s="18"/>
      <c r="ABI74" s="18"/>
      <c r="ABJ74" s="18"/>
      <c r="ABK74" s="18"/>
      <c r="ABL74" s="18"/>
      <c r="ABM74" s="18"/>
      <c r="ABN74" s="18"/>
      <c r="ABO74" s="18"/>
      <c r="ABP74" s="18"/>
      <c r="ABQ74" s="18"/>
      <c r="ABR74" s="18"/>
      <c r="ABS74" s="18"/>
      <c r="ABT74" s="18"/>
      <c r="ABU74" s="18"/>
      <c r="ABV74" s="18"/>
      <c r="ABW74" s="18"/>
      <c r="ABX74" s="18"/>
      <c r="ABY74" s="18"/>
      <c r="ABZ74" s="18"/>
      <c r="ACA74" s="18"/>
      <c r="ACB74" s="18"/>
      <c r="ACC74" s="18"/>
      <c r="ACD74" s="18"/>
      <c r="ACE74" s="18"/>
      <c r="ACF74" s="18"/>
      <c r="ACG74" s="18"/>
      <c r="ACH74" s="18"/>
      <c r="ACI74" s="18"/>
      <c r="ACJ74" s="18"/>
      <c r="ACK74" s="18"/>
      <c r="ACL74" s="18"/>
      <c r="ACM74" s="18"/>
      <c r="ACN74" s="18"/>
      <c r="ACO74" s="18"/>
      <c r="ACP74" s="18"/>
      <c r="ACQ74" s="18"/>
      <c r="ACR74" s="18"/>
      <c r="ACS74" s="18"/>
      <c r="ACT74" s="18"/>
      <c r="ACU74" s="18"/>
      <c r="ACV74" s="18"/>
      <c r="ACW74" s="18"/>
      <c r="ACX74" s="18"/>
      <c r="ACY74" s="18"/>
      <c r="ACZ74" s="18"/>
      <c r="ADA74" s="18"/>
      <c r="ADB74" s="18"/>
      <c r="ADC74" s="18"/>
      <c r="ADD74" s="18"/>
      <c r="ADE74" s="18"/>
      <c r="ADF74" s="18"/>
      <c r="ADG74" s="18"/>
      <c r="ADH74" s="18"/>
      <c r="ADI74" s="18"/>
      <c r="ADJ74" s="18"/>
      <c r="ADK74" s="18"/>
      <c r="ADL74" s="18"/>
      <c r="ADM74" s="18"/>
      <c r="ADN74" s="18"/>
      <c r="ADO74" s="18"/>
      <c r="ADP74" s="18"/>
      <c r="ADQ74" s="18"/>
      <c r="ADR74" s="18"/>
      <c r="ADS74" s="18"/>
      <c r="ADT74" s="18"/>
      <c r="ADU74" s="18"/>
      <c r="ADV74" s="18"/>
      <c r="ADW74" s="18"/>
      <c r="ADX74" s="18"/>
      <c r="ADY74" s="18"/>
      <c r="ADZ74" s="18"/>
      <c r="AEA74" s="18"/>
      <c r="AEB74" s="18"/>
      <c r="AEC74" s="18"/>
      <c r="AED74" s="18"/>
      <c r="AEE74" s="18"/>
      <c r="AEF74" s="18"/>
      <c r="AEG74" s="18"/>
      <c r="AEH74" s="18"/>
      <c r="AEI74" s="18"/>
      <c r="AEJ74" s="18"/>
      <c r="AEK74" s="18"/>
      <c r="AEL74" s="18"/>
      <c r="AEM74" s="18"/>
      <c r="AEN74" s="18"/>
      <c r="AEO74" s="18"/>
      <c r="AEP74" s="18"/>
      <c r="AEQ74" s="18"/>
      <c r="AER74" s="18"/>
      <c r="AES74" s="18"/>
      <c r="AET74" s="18"/>
      <c r="AEU74" s="18"/>
      <c r="AEV74" s="18"/>
      <c r="AEW74" s="18"/>
      <c r="AEX74" s="18"/>
      <c r="AEY74" s="18"/>
      <c r="AEZ74" s="18"/>
      <c r="AFA74" s="18"/>
      <c r="AFB74" s="18"/>
      <c r="AFC74" s="18"/>
      <c r="AFD74" s="18"/>
      <c r="AFE74" s="18"/>
      <c r="AFF74" s="18"/>
      <c r="AFG74" s="18"/>
      <c r="AFH74" s="18"/>
      <c r="AFI74" s="18"/>
      <c r="AFJ74" s="18"/>
      <c r="AFK74" s="18"/>
      <c r="AFL74" s="18"/>
      <c r="AFM74" s="18"/>
      <c r="AFN74" s="18"/>
      <c r="AFO74" s="18"/>
      <c r="AFP74" s="18"/>
      <c r="AFQ74" s="18"/>
      <c r="AFR74" s="18"/>
      <c r="AFS74" s="18"/>
      <c r="AFT74" s="18"/>
      <c r="AFU74" s="18"/>
      <c r="AFV74" s="18"/>
      <c r="AFW74" s="18"/>
      <c r="AFX74" s="18"/>
      <c r="AFY74" s="18"/>
      <c r="AFZ74" s="18"/>
      <c r="AGA74" s="18"/>
      <c r="AGB74" s="18"/>
      <c r="AGC74" s="18"/>
      <c r="AGD74" s="18"/>
      <c r="AGE74" s="18"/>
      <c r="AGF74" s="18"/>
      <c r="AGG74" s="18"/>
      <c r="AGH74" s="18"/>
      <c r="AGI74" s="18"/>
      <c r="AGJ74" s="18"/>
      <c r="AGK74" s="18"/>
      <c r="AGL74" s="18"/>
      <c r="AGM74" s="18"/>
      <c r="AGN74" s="18"/>
      <c r="AGO74" s="18"/>
      <c r="AGP74" s="18"/>
      <c r="AGQ74" s="18"/>
      <c r="AGR74" s="18"/>
      <c r="AGS74" s="18"/>
      <c r="AGT74" s="18"/>
      <c r="AGU74" s="18"/>
      <c r="AGV74" s="18"/>
      <c r="AGW74" s="18"/>
      <c r="AGX74" s="18"/>
      <c r="AGY74" s="18"/>
      <c r="AGZ74" s="18"/>
      <c r="AHA74" s="18"/>
      <c r="AHB74" s="18"/>
      <c r="AHC74" s="18"/>
      <c r="AHD74" s="18"/>
      <c r="AHE74" s="18"/>
      <c r="AHF74" s="18"/>
      <c r="AHG74" s="18"/>
      <c r="AHH74" s="18"/>
      <c r="AHI74" s="18"/>
      <c r="AHJ74" s="18"/>
      <c r="AHK74" s="18"/>
      <c r="AHL74" s="18"/>
      <c r="AHM74" s="18"/>
      <c r="AHN74" s="18"/>
      <c r="AHO74" s="18"/>
      <c r="AHP74" s="18"/>
      <c r="AHQ74" s="18"/>
      <c r="AHR74" s="18"/>
      <c r="AHS74" s="18"/>
      <c r="AHT74" s="18"/>
      <c r="AHU74" s="18"/>
      <c r="AHV74" s="18"/>
      <c r="AHW74" s="18"/>
      <c r="AHX74" s="18"/>
      <c r="AHY74" s="18"/>
      <c r="AHZ74" s="18"/>
      <c r="AIA74" s="18"/>
      <c r="AIB74" s="18"/>
      <c r="AIC74" s="18"/>
      <c r="AID74" s="18"/>
      <c r="AIE74" s="18"/>
      <c r="AIF74" s="18"/>
      <c r="AIG74" s="18"/>
      <c r="AIH74" s="18"/>
      <c r="AII74" s="18"/>
      <c r="AIJ74" s="18"/>
      <c r="AIK74" s="18"/>
      <c r="AIL74" s="18"/>
      <c r="AIM74" s="18"/>
      <c r="AIN74" s="18"/>
      <c r="AIO74" s="18"/>
      <c r="AIP74" s="18"/>
      <c r="AIQ74" s="18"/>
      <c r="AIR74" s="18"/>
      <c r="AIS74" s="18"/>
      <c r="AIT74" s="18"/>
      <c r="AIU74" s="18"/>
      <c r="AIV74" s="18"/>
      <c r="AIW74" s="18"/>
      <c r="AIX74" s="18"/>
      <c r="AIY74" s="18"/>
      <c r="AIZ74" s="18"/>
      <c r="AJA74" s="18"/>
      <c r="AJB74" s="18"/>
      <c r="AJC74" s="18"/>
      <c r="AJD74" s="18"/>
      <c r="AJE74" s="18"/>
      <c r="AJF74" s="18"/>
      <c r="AJG74" s="18"/>
      <c r="AJH74" s="18"/>
      <c r="AJI74" s="18"/>
      <c r="AJJ74" s="18"/>
      <c r="AJK74" s="18"/>
      <c r="AJL74" s="18"/>
      <c r="AJM74" s="18"/>
      <c r="AJN74" s="18"/>
      <c r="AJO74" s="18"/>
      <c r="AJP74" s="18"/>
      <c r="AJQ74" s="18"/>
      <c r="AJR74" s="18"/>
      <c r="AJS74" s="18"/>
      <c r="AJT74" s="18"/>
      <c r="AJU74" s="18"/>
      <c r="AJV74" s="18"/>
      <c r="AJW74" s="18"/>
      <c r="AJX74" s="18"/>
      <c r="AJY74" s="18"/>
      <c r="AJZ74" s="18"/>
      <c r="AKA74" s="18"/>
      <c r="AKB74" s="18"/>
      <c r="AKC74" s="18"/>
      <c r="AKD74" s="18"/>
      <c r="AKE74" s="18"/>
      <c r="AKF74" s="18"/>
      <c r="AKG74" s="18"/>
      <c r="AKH74" s="18"/>
      <c r="AKI74" s="18"/>
      <c r="AKJ74" s="18"/>
      <c r="AKK74" s="18"/>
      <c r="AKL74" s="18"/>
      <c r="AKM74" s="18"/>
      <c r="AKN74" s="18"/>
      <c r="AKO74" s="18"/>
      <c r="AKP74" s="18"/>
      <c r="AKQ74" s="18"/>
      <c r="AKR74" s="18"/>
      <c r="AKS74" s="18"/>
      <c r="AKT74" s="18"/>
      <c r="AKU74" s="18"/>
      <c r="AKV74" s="18"/>
      <c r="AKW74" s="18"/>
      <c r="AKX74" s="18"/>
      <c r="AKY74" s="18"/>
      <c r="AKZ74" s="18"/>
      <c r="ALA74" s="18"/>
      <c r="ALB74" s="18"/>
      <c r="ALC74" s="18"/>
      <c r="ALD74" s="18"/>
      <c r="ALE74" s="18"/>
      <c r="ALF74" s="18"/>
      <c r="ALG74" s="18"/>
      <c r="ALH74" s="18"/>
      <c r="ALI74" s="18"/>
      <c r="ALJ74" s="18"/>
      <c r="ALK74" s="18"/>
      <c r="ALL74" s="18"/>
      <c r="ALM74" s="18"/>
      <c r="ALN74" s="18"/>
      <c r="ALO74" s="18"/>
      <c r="ALP74" s="18"/>
      <c r="ALQ74" s="18"/>
      <c r="ALR74" s="18"/>
      <c r="ALS74" s="18"/>
      <c r="ALT74" s="18"/>
      <c r="ALU74" s="18"/>
      <c r="ALV74" s="18"/>
      <c r="ALW74" s="18"/>
      <c r="ALX74" s="18"/>
      <c r="ALY74" s="18"/>
      <c r="ALZ74" s="18"/>
      <c r="AMA74" s="18"/>
      <c r="AMB74" s="18"/>
      <c r="AMC74" s="18"/>
      <c r="AMD74" s="18"/>
      <c r="AME74" s="18"/>
      <c r="AMF74" s="18"/>
      <c r="AMG74" s="18"/>
      <c r="AMH74" s="18"/>
      <c r="AMI74" s="18"/>
      <c r="AMJ74" s="18"/>
      <c r="AMK74" s="18"/>
      <c r="AML74" s="18"/>
      <c r="AMM74" s="18"/>
    </row>
    <row r="75" spans="1:1027" s="18" customFormat="1" x14ac:dyDescent="0.2">
      <c r="A75" s="1">
        <v>2</v>
      </c>
      <c r="B75" s="1" t="s">
        <v>193</v>
      </c>
      <c r="C75" s="1" t="s">
        <v>195</v>
      </c>
      <c r="D75" s="1">
        <v>259</v>
      </c>
      <c r="E75" s="24" t="s">
        <v>507</v>
      </c>
      <c r="F75" s="24" t="s">
        <v>508</v>
      </c>
      <c r="G75" s="25" t="s">
        <v>508</v>
      </c>
      <c r="H75" s="24"/>
      <c r="I75" s="24"/>
      <c r="J75" s="24" t="s">
        <v>507</v>
      </c>
      <c r="K75" s="12"/>
      <c r="L75" s="26"/>
      <c r="M75" s="1"/>
      <c r="N75" s="1"/>
      <c r="O75" s="1"/>
      <c r="P75" s="1"/>
      <c r="Q75" s="1"/>
      <c r="R75" s="1"/>
      <c r="S75" s="13"/>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row>
    <row r="76" spans="1:1027" x14ac:dyDescent="0.2">
      <c r="A76" s="18">
        <v>4</v>
      </c>
      <c r="B76" s="18" t="s">
        <v>625</v>
      </c>
      <c r="C76" s="18" t="s">
        <v>626</v>
      </c>
      <c r="D76" s="18">
        <v>195</v>
      </c>
      <c r="E76" s="42" t="s">
        <v>507</v>
      </c>
      <c r="F76" s="42" t="s">
        <v>507</v>
      </c>
      <c r="G76" s="43" t="s">
        <v>540</v>
      </c>
      <c r="H76" s="42" t="s">
        <v>507</v>
      </c>
      <c r="I76" s="42" t="s">
        <v>507</v>
      </c>
      <c r="J76" s="42" t="s">
        <v>507</v>
      </c>
      <c r="K76" s="21" t="s">
        <v>509</v>
      </c>
      <c r="L76" s="18"/>
      <c r="M76" s="1" t="s">
        <v>510</v>
      </c>
      <c r="O76" s="18"/>
      <c r="P76" s="18"/>
      <c r="Q76" s="18"/>
      <c r="R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c r="DY76" s="18"/>
      <c r="DZ76" s="18"/>
      <c r="EA76" s="18"/>
      <c r="EB76" s="18"/>
      <c r="EC76" s="18"/>
      <c r="ED76" s="18"/>
      <c r="EE76" s="18"/>
      <c r="EF76" s="18"/>
      <c r="EG76" s="18"/>
      <c r="EH76" s="18"/>
      <c r="EI76" s="18"/>
      <c r="EJ76" s="18"/>
      <c r="EK76" s="18"/>
      <c r="EL76" s="18"/>
      <c r="EM76" s="18"/>
      <c r="EN76" s="18"/>
      <c r="EO76" s="18"/>
      <c r="EP76" s="18"/>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s="18"/>
      <c r="JZ76" s="18"/>
      <c r="KA76" s="18"/>
      <c r="KB76" s="18"/>
      <c r="KC76" s="18"/>
      <c r="KD76" s="18"/>
      <c r="KE76" s="18"/>
      <c r="KF76" s="18"/>
      <c r="KG76" s="18"/>
      <c r="KH76" s="18"/>
      <c r="KI76" s="18"/>
      <c r="KJ76" s="18"/>
      <c r="KK76" s="18"/>
      <c r="KL76" s="18"/>
      <c r="KM76" s="18"/>
      <c r="KN76" s="18"/>
      <c r="KO76" s="18"/>
      <c r="KP76" s="18"/>
      <c r="KQ76" s="18"/>
      <c r="KR76" s="18"/>
      <c r="KS76" s="18"/>
      <c r="KT76" s="18"/>
      <c r="KU76" s="18"/>
      <c r="KV76" s="18"/>
      <c r="KW76" s="18"/>
      <c r="KX76" s="18"/>
      <c r="KY76" s="18"/>
      <c r="KZ76" s="18"/>
      <c r="LA76" s="18"/>
      <c r="LB76" s="18"/>
      <c r="LC76" s="18"/>
      <c r="LD76" s="18"/>
      <c r="LE76" s="18"/>
      <c r="LF76" s="18"/>
      <c r="LG76" s="18"/>
      <c r="LH76" s="18"/>
      <c r="LI76" s="18"/>
      <c r="LJ76" s="18"/>
      <c r="LK76" s="18"/>
      <c r="LL76" s="18"/>
      <c r="LM76" s="18"/>
      <c r="LN76" s="18"/>
      <c r="LO76" s="18"/>
      <c r="LP76" s="18"/>
      <c r="LQ76" s="18"/>
      <c r="LR76" s="18"/>
      <c r="LS76" s="18"/>
      <c r="LT76" s="18"/>
      <c r="LU76" s="18"/>
      <c r="LV76" s="18"/>
      <c r="LW76" s="18"/>
      <c r="LX76" s="18"/>
      <c r="LY76" s="18"/>
      <c r="LZ76" s="18"/>
      <c r="MA76" s="18"/>
      <c r="MB76" s="18"/>
      <c r="MC76" s="18"/>
      <c r="MD76" s="18"/>
      <c r="ME76" s="18"/>
      <c r="MF76" s="18"/>
      <c r="MG76" s="18"/>
      <c r="MH76" s="18"/>
      <c r="MI76" s="18"/>
      <c r="MJ76" s="18"/>
      <c r="MK76" s="18"/>
      <c r="ML76" s="18"/>
      <c r="MM76" s="18"/>
      <c r="MN76" s="18"/>
      <c r="MO76" s="18"/>
      <c r="MP76" s="18"/>
      <c r="MQ76" s="18"/>
      <c r="MR76" s="18"/>
      <c r="MS76" s="18"/>
      <c r="MT76" s="18"/>
      <c r="MU76" s="18"/>
      <c r="MV76" s="18"/>
      <c r="MW76" s="18"/>
      <c r="MX76" s="18"/>
      <c r="MY76" s="18"/>
      <c r="MZ76" s="18"/>
      <c r="NA76" s="18"/>
      <c r="NB76" s="18"/>
      <c r="NC76" s="18"/>
      <c r="ND76" s="18"/>
      <c r="NE76" s="18"/>
      <c r="NF76" s="18"/>
      <c r="NG76" s="18"/>
      <c r="NH76" s="18"/>
      <c r="NI76" s="18"/>
      <c r="NJ76" s="18"/>
      <c r="NK76" s="18"/>
      <c r="NL76" s="18"/>
      <c r="NM76" s="18"/>
      <c r="NN76" s="18"/>
      <c r="NO76" s="18"/>
      <c r="NP76" s="18"/>
      <c r="NQ76" s="18"/>
      <c r="NR76" s="18"/>
      <c r="NS76" s="18"/>
      <c r="NT76" s="18"/>
      <c r="NU76" s="18"/>
      <c r="NV76" s="18"/>
      <c r="NW76" s="18"/>
      <c r="NX76" s="18"/>
      <c r="NY76" s="18"/>
      <c r="NZ76" s="18"/>
      <c r="OA76" s="18"/>
      <c r="OB76" s="18"/>
      <c r="OC76" s="18"/>
      <c r="OD76" s="18"/>
      <c r="OE76" s="18"/>
      <c r="OF76" s="18"/>
      <c r="OG76" s="18"/>
      <c r="OH76" s="18"/>
      <c r="OI76" s="18"/>
      <c r="OJ76" s="18"/>
      <c r="OK76" s="18"/>
      <c r="OL76" s="18"/>
      <c r="OM76" s="18"/>
      <c r="ON76" s="18"/>
      <c r="OO76" s="18"/>
      <c r="OP76" s="18"/>
      <c r="OQ76" s="18"/>
      <c r="OR76" s="18"/>
      <c r="OS76" s="18"/>
      <c r="OT76" s="18"/>
      <c r="OU76" s="18"/>
      <c r="OV76" s="18"/>
      <c r="OW76" s="18"/>
      <c r="OX76" s="18"/>
      <c r="OY76" s="18"/>
      <c r="OZ76" s="18"/>
      <c r="PA76" s="18"/>
      <c r="PB76" s="18"/>
      <c r="PC76" s="18"/>
      <c r="PD76" s="18"/>
      <c r="PE76" s="18"/>
      <c r="PF76" s="18"/>
      <c r="PG76" s="18"/>
      <c r="PH76" s="18"/>
      <c r="PI76" s="18"/>
      <c r="PJ76" s="18"/>
      <c r="PK76" s="18"/>
      <c r="PL76" s="18"/>
      <c r="PM76" s="18"/>
      <c r="PN76" s="18"/>
      <c r="PO76" s="18"/>
      <c r="PP76" s="18"/>
      <c r="PQ76" s="18"/>
      <c r="PR76" s="18"/>
      <c r="PS76" s="18"/>
      <c r="PT76" s="18"/>
      <c r="PU76" s="18"/>
      <c r="PV76" s="18"/>
      <c r="PW76" s="18"/>
      <c r="PX76" s="18"/>
      <c r="PY76" s="18"/>
      <c r="PZ76" s="18"/>
      <c r="QA76" s="18"/>
      <c r="QB76" s="18"/>
      <c r="QC76" s="18"/>
      <c r="QD76" s="18"/>
      <c r="QE76" s="18"/>
      <c r="QF76" s="18"/>
      <c r="QG76" s="18"/>
      <c r="QH76" s="18"/>
      <c r="QI76" s="18"/>
      <c r="QJ76" s="18"/>
      <c r="QK76" s="18"/>
      <c r="QL76" s="18"/>
      <c r="QM76" s="18"/>
      <c r="QN76" s="18"/>
      <c r="QO76" s="18"/>
      <c r="QP76" s="18"/>
      <c r="QQ76" s="18"/>
      <c r="QR76" s="18"/>
      <c r="QS76" s="18"/>
      <c r="QT76" s="18"/>
      <c r="QU76" s="18"/>
      <c r="QV76" s="18"/>
      <c r="QW76" s="18"/>
      <c r="QX76" s="18"/>
      <c r="QY76" s="18"/>
      <c r="QZ76" s="18"/>
      <c r="RA76" s="18"/>
      <c r="RB76" s="18"/>
      <c r="RC76" s="18"/>
      <c r="RD76" s="18"/>
      <c r="RE76" s="18"/>
      <c r="RF76" s="18"/>
      <c r="RG76" s="18"/>
      <c r="RH76" s="18"/>
      <c r="RI76" s="18"/>
      <c r="RJ76" s="18"/>
      <c r="RK76" s="18"/>
      <c r="RL76" s="18"/>
      <c r="RM76" s="18"/>
      <c r="RN76" s="18"/>
      <c r="RO76" s="18"/>
      <c r="RP76" s="18"/>
      <c r="RQ76" s="18"/>
      <c r="RR76" s="18"/>
      <c r="RS76" s="18"/>
      <c r="RT76" s="18"/>
      <c r="RU76" s="18"/>
      <c r="RV76" s="18"/>
      <c r="RW76" s="18"/>
      <c r="RX76" s="18"/>
      <c r="RY76" s="18"/>
      <c r="RZ76" s="18"/>
      <c r="SA76" s="18"/>
      <c r="SB76" s="18"/>
      <c r="SC76" s="18"/>
      <c r="SD76" s="18"/>
      <c r="SE76" s="18"/>
      <c r="SF76" s="18"/>
      <c r="SG76" s="18"/>
      <c r="SH76" s="18"/>
      <c r="SI76" s="18"/>
      <c r="SJ76" s="18"/>
      <c r="SK76" s="18"/>
      <c r="SL76" s="18"/>
      <c r="SM76" s="18"/>
      <c r="SN76" s="18"/>
      <c r="SO76" s="18"/>
      <c r="SP76" s="18"/>
      <c r="SQ76" s="18"/>
      <c r="SR76" s="18"/>
      <c r="SS76" s="18"/>
      <c r="ST76" s="18"/>
      <c r="SU76" s="18"/>
      <c r="SV76" s="18"/>
      <c r="SW76" s="18"/>
      <c r="SX76" s="18"/>
      <c r="SY76" s="18"/>
      <c r="SZ76" s="18"/>
      <c r="TA76" s="18"/>
      <c r="TB76" s="18"/>
      <c r="TC76" s="18"/>
      <c r="TD76" s="18"/>
      <c r="TE76" s="18"/>
      <c r="TF76" s="18"/>
      <c r="TG76" s="18"/>
      <c r="TH76" s="18"/>
      <c r="TI76" s="18"/>
      <c r="TJ76" s="18"/>
      <c r="TK76" s="18"/>
      <c r="TL76" s="18"/>
      <c r="TM76" s="18"/>
      <c r="TN76" s="18"/>
      <c r="TO76" s="18"/>
      <c r="TP76" s="18"/>
      <c r="TQ76" s="18"/>
      <c r="TR76" s="18"/>
      <c r="TS76" s="18"/>
      <c r="TT76" s="18"/>
      <c r="TU76" s="18"/>
      <c r="TV76" s="18"/>
      <c r="TW76" s="18"/>
      <c r="TX76" s="18"/>
      <c r="TY76" s="18"/>
      <c r="TZ76" s="18"/>
      <c r="UA76" s="18"/>
      <c r="UB76" s="18"/>
      <c r="UC76" s="18"/>
      <c r="UD76" s="18"/>
      <c r="UE76" s="18"/>
      <c r="UF76" s="18"/>
      <c r="UG76" s="18"/>
      <c r="UH76" s="18"/>
      <c r="UI76" s="18"/>
      <c r="UJ76" s="18"/>
      <c r="UK76" s="18"/>
      <c r="UL76" s="18"/>
      <c r="UM76" s="18"/>
      <c r="UN76" s="18"/>
      <c r="UO76" s="18"/>
      <c r="UP76" s="18"/>
      <c r="UQ76" s="18"/>
      <c r="UR76" s="18"/>
      <c r="US76" s="18"/>
      <c r="UT76" s="18"/>
      <c r="UU76" s="18"/>
      <c r="UV76" s="18"/>
      <c r="UW76" s="18"/>
      <c r="UX76" s="18"/>
      <c r="UY76" s="18"/>
      <c r="UZ76" s="18"/>
      <c r="VA76" s="18"/>
      <c r="VB76" s="18"/>
      <c r="VC76" s="18"/>
      <c r="VD76" s="18"/>
      <c r="VE76" s="18"/>
      <c r="VF76" s="18"/>
      <c r="VG76" s="18"/>
      <c r="VH76" s="18"/>
      <c r="VI76" s="18"/>
      <c r="VJ76" s="18"/>
      <c r="VK76" s="18"/>
      <c r="VL76" s="18"/>
      <c r="VM76" s="18"/>
      <c r="VN76" s="18"/>
      <c r="VO76" s="18"/>
      <c r="VP76" s="18"/>
      <c r="VQ76" s="18"/>
      <c r="VR76" s="18"/>
      <c r="VS76" s="18"/>
      <c r="VT76" s="18"/>
      <c r="VU76" s="18"/>
      <c r="VV76" s="18"/>
      <c r="VW76" s="18"/>
      <c r="VX76" s="18"/>
      <c r="VY76" s="18"/>
      <c r="VZ76" s="18"/>
      <c r="WA76" s="18"/>
      <c r="WB76" s="18"/>
      <c r="WC76" s="18"/>
      <c r="WD76" s="18"/>
      <c r="WE76" s="18"/>
      <c r="WF76" s="18"/>
      <c r="WG76" s="18"/>
      <c r="WH76" s="18"/>
      <c r="WI76" s="18"/>
      <c r="WJ76" s="18"/>
      <c r="WK76" s="18"/>
      <c r="WL76" s="18"/>
      <c r="WM76" s="18"/>
      <c r="WN76" s="18"/>
      <c r="WO76" s="18"/>
      <c r="WP76" s="18"/>
      <c r="WQ76" s="18"/>
      <c r="WR76" s="18"/>
      <c r="WS76" s="18"/>
      <c r="WT76" s="18"/>
      <c r="WU76" s="18"/>
      <c r="WV76" s="18"/>
      <c r="WW76" s="18"/>
      <c r="WX76" s="18"/>
      <c r="WY76" s="18"/>
      <c r="WZ76" s="18"/>
      <c r="XA76" s="18"/>
      <c r="XB76" s="18"/>
      <c r="XC76" s="18"/>
      <c r="XD76" s="18"/>
      <c r="XE76" s="18"/>
      <c r="XF76" s="18"/>
      <c r="XG76" s="18"/>
      <c r="XH76" s="18"/>
      <c r="XI76" s="18"/>
      <c r="XJ76" s="18"/>
      <c r="XK76" s="18"/>
      <c r="XL76" s="18"/>
      <c r="XM76" s="18"/>
      <c r="XN76" s="18"/>
      <c r="XO76" s="18"/>
      <c r="XP76" s="18"/>
      <c r="XQ76" s="18"/>
      <c r="XR76" s="18"/>
      <c r="XS76" s="18"/>
      <c r="XT76" s="18"/>
      <c r="XU76" s="18"/>
      <c r="XV76" s="18"/>
      <c r="XW76" s="18"/>
      <c r="XX76" s="18"/>
      <c r="XY76" s="18"/>
      <c r="XZ76" s="18"/>
      <c r="YA76" s="18"/>
      <c r="YB76" s="18"/>
      <c r="YC76" s="18"/>
      <c r="YD76" s="18"/>
      <c r="YE76" s="18"/>
      <c r="YF76" s="18"/>
      <c r="YG76" s="18"/>
      <c r="YH76" s="18"/>
      <c r="YI76" s="18"/>
      <c r="YJ76" s="18"/>
      <c r="YK76" s="18"/>
      <c r="YL76" s="18"/>
      <c r="YM76" s="18"/>
      <c r="YN76" s="18"/>
      <c r="YO76" s="18"/>
      <c r="YP76" s="18"/>
      <c r="YQ76" s="18"/>
      <c r="YR76" s="18"/>
      <c r="YS76" s="18"/>
      <c r="YT76" s="18"/>
      <c r="YU76" s="18"/>
      <c r="YV76" s="18"/>
      <c r="YW76" s="18"/>
      <c r="YX76" s="18"/>
      <c r="YY76" s="18"/>
      <c r="YZ76" s="18"/>
      <c r="ZA76" s="18"/>
      <c r="ZB76" s="18"/>
      <c r="ZC76" s="18"/>
      <c r="ZD76" s="18"/>
      <c r="ZE76" s="18"/>
      <c r="ZF76" s="18"/>
      <c r="ZG76" s="18"/>
      <c r="ZH76" s="18"/>
      <c r="ZI76" s="18"/>
      <c r="ZJ76" s="18"/>
      <c r="ZK76" s="18"/>
      <c r="ZL76" s="18"/>
      <c r="ZM76" s="18"/>
      <c r="ZN76" s="18"/>
      <c r="ZO76" s="18"/>
      <c r="ZP76" s="18"/>
      <c r="ZQ76" s="18"/>
      <c r="ZR76" s="18"/>
      <c r="ZS76" s="18"/>
      <c r="ZT76" s="18"/>
      <c r="ZU76" s="18"/>
      <c r="ZV76" s="18"/>
      <c r="ZW76" s="18"/>
      <c r="ZX76" s="18"/>
      <c r="ZY76" s="18"/>
      <c r="ZZ76" s="18"/>
      <c r="AAA76" s="18"/>
      <c r="AAB76" s="18"/>
      <c r="AAC76" s="18"/>
      <c r="AAD76" s="18"/>
      <c r="AAE76" s="18"/>
      <c r="AAF76" s="18"/>
      <c r="AAG76" s="18"/>
      <c r="AAH76" s="18"/>
      <c r="AAI76" s="18"/>
      <c r="AAJ76" s="18"/>
      <c r="AAK76" s="18"/>
      <c r="AAL76" s="18"/>
      <c r="AAM76" s="18"/>
      <c r="AAN76" s="18"/>
      <c r="AAO76" s="18"/>
      <c r="AAP76" s="18"/>
      <c r="AAQ76" s="18"/>
      <c r="AAR76" s="18"/>
      <c r="AAS76" s="18"/>
      <c r="AAT76" s="18"/>
      <c r="AAU76" s="18"/>
      <c r="AAV76" s="18"/>
      <c r="AAW76" s="18"/>
      <c r="AAX76" s="18"/>
      <c r="AAY76" s="18"/>
      <c r="AAZ76" s="18"/>
      <c r="ABA76" s="18"/>
      <c r="ABB76" s="18"/>
      <c r="ABC76" s="18"/>
      <c r="ABD76" s="18"/>
      <c r="ABE76" s="18"/>
      <c r="ABF76" s="18"/>
      <c r="ABG76" s="18"/>
      <c r="ABH76" s="18"/>
      <c r="ABI76" s="18"/>
      <c r="ABJ76" s="18"/>
      <c r="ABK76" s="18"/>
      <c r="ABL76" s="18"/>
      <c r="ABM76" s="18"/>
      <c r="ABN76" s="18"/>
      <c r="ABO76" s="18"/>
      <c r="ABP76" s="18"/>
      <c r="ABQ76" s="18"/>
      <c r="ABR76" s="18"/>
      <c r="ABS76" s="18"/>
      <c r="ABT76" s="18"/>
      <c r="ABU76" s="18"/>
      <c r="ABV76" s="18"/>
      <c r="ABW76" s="18"/>
      <c r="ABX76" s="18"/>
      <c r="ABY76" s="18"/>
      <c r="ABZ76" s="18"/>
      <c r="ACA76" s="18"/>
      <c r="ACB76" s="18"/>
      <c r="ACC76" s="18"/>
      <c r="ACD76" s="18"/>
      <c r="ACE76" s="18"/>
      <c r="ACF76" s="18"/>
      <c r="ACG76" s="18"/>
      <c r="ACH76" s="18"/>
      <c r="ACI76" s="18"/>
      <c r="ACJ76" s="18"/>
      <c r="ACK76" s="18"/>
      <c r="ACL76" s="18"/>
      <c r="ACM76" s="18"/>
      <c r="ACN76" s="18"/>
      <c r="ACO76" s="18"/>
      <c r="ACP76" s="18"/>
      <c r="ACQ76" s="18"/>
      <c r="ACR76" s="18"/>
      <c r="ACS76" s="18"/>
      <c r="ACT76" s="18"/>
      <c r="ACU76" s="18"/>
      <c r="ACV76" s="18"/>
      <c r="ACW76" s="18"/>
      <c r="ACX76" s="18"/>
      <c r="ACY76" s="18"/>
      <c r="ACZ76" s="18"/>
      <c r="ADA76" s="18"/>
      <c r="ADB76" s="18"/>
      <c r="ADC76" s="18"/>
      <c r="ADD76" s="18"/>
      <c r="ADE76" s="18"/>
      <c r="ADF76" s="18"/>
      <c r="ADG76" s="18"/>
      <c r="ADH76" s="18"/>
      <c r="ADI76" s="18"/>
      <c r="ADJ76" s="18"/>
      <c r="ADK76" s="18"/>
      <c r="ADL76" s="18"/>
      <c r="ADM76" s="18"/>
      <c r="ADN76" s="18"/>
      <c r="ADO76" s="18"/>
      <c r="ADP76" s="18"/>
      <c r="ADQ76" s="18"/>
      <c r="ADR76" s="18"/>
      <c r="ADS76" s="18"/>
      <c r="ADT76" s="18"/>
      <c r="ADU76" s="18"/>
      <c r="ADV76" s="18"/>
      <c r="ADW76" s="18"/>
      <c r="ADX76" s="18"/>
      <c r="ADY76" s="18"/>
      <c r="ADZ76" s="18"/>
      <c r="AEA76" s="18"/>
      <c r="AEB76" s="18"/>
      <c r="AEC76" s="18"/>
      <c r="AED76" s="18"/>
      <c r="AEE76" s="18"/>
      <c r="AEF76" s="18"/>
      <c r="AEG76" s="18"/>
      <c r="AEH76" s="18"/>
      <c r="AEI76" s="18"/>
      <c r="AEJ76" s="18"/>
      <c r="AEK76" s="18"/>
      <c r="AEL76" s="18"/>
      <c r="AEM76" s="18"/>
      <c r="AEN76" s="18"/>
      <c r="AEO76" s="18"/>
      <c r="AEP76" s="18"/>
      <c r="AEQ76" s="18"/>
      <c r="AER76" s="18"/>
      <c r="AES76" s="18"/>
      <c r="AET76" s="18"/>
      <c r="AEU76" s="18"/>
      <c r="AEV76" s="18"/>
      <c r="AEW76" s="18"/>
      <c r="AEX76" s="18"/>
      <c r="AEY76" s="18"/>
      <c r="AEZ76" s="18"/>
      <c r="AFA76" s="18"/>
      <c r="AFB76" s="18"/>
      <c r="AFC76" s="18"/>
      <c r="AFD76" s="18"/>
      <c r="AFE76" s="18"/>
      <c r="AFF76" s="18"/>
      <c r="AFG76" s="18"/>
      <c r="AFH76" s="18"/>
      <c r="AFI76" s="18"/>
      <c r="AFJ76" s="18"/>
      <c r="AFK76" s="18"/>
      <c r="AFL76" s="18"/>
      <c r="AFM76" s="18"/>
      <c r="AFN76" s="18"/>
      <c r="AFO76" s="18"/>
      <c r="AFP76" s="18"/>
      <c r="AFQ76" s="18"/>
      <c r="AFR76" s="18"/>
      <c r="AFS76" s="18"/>
      <c r="AFT76" s="18"/>
      <c r="AFU76" s="18"/>
      <c r="AFV76" s="18"/>
      <c r="AFW76" s="18"/>
      <c r="AFX76" s="18"/>
      <c r="AFY76" s="18"/>
      <c r="AFZ76" s="18"/>
      <c r="AGA76" s="18"/>
      <c r="AGB76" s="18"/>
      <c r="AGC76" s="18"/>
      <c r="AGD76" s="18"/>
      <c r="AGE76" s="18"/>
      <c r="AGF76" s="18"/>
      <c r="AGG76" s="18"/>
      <c r="AGH76" s="18"/>
      <c r="AGI76" s="18"/>
      <c r="AGJ76" s="18"/>
      <c r="AGK76" s="18"/>
      <c r="AGL76" s="18"/>
      <c r="AGM76" s="18"/>
      <c r="AGN76" s="18"/>
      <c r="AGO76" s="18"/>
      <c r="AGP76" s="18"/>
      <c r="AGQ76" s="18"/>
      <c r="AGR76" s="18"/>
      <c r="AGS76" s="18"/>
      <c r="AGT76" s="18"/>
      <c r="AGU76" s="18"/>
      <c r="AGV76" s="18"/>
      <c r="AGW76" s="18"/>
      <c r="AGX76" s="18"/>
      <c r="AGY76" s="18"/>
      <c r="AGZ76" s="18"/>
      <c r="AHA76" s="18"/>
      <c r="AHB76" s="18"/>
      <c r="AHC76" s="18"/>
      <c r="AHD76" s="18"/>
      <c r="AHE76" s="18"/>
      <c r="AHF76" s="18"/>
      <c r="AHG76" s="18"/>
      <c r="AHH76" s="18"/>
      <c r="AHI76" s="18"/>
      <c r="AHJ76" s="18"/>
      <c r="AHK76" s="18"/>
      <c r="AHL76" s="18"/>
      <c r="AHM76" s="18"/>
      <c r="AHN76" s="18"/>
      <c r="AHO76" s="18"/>
      <c r="AHP76" s="18"/>
      <c r="AHQ76" s="18"/>
      <c r="AHR76" s="18"/>
      <c r="AHS76" s="18"/>
      <c r="AHT76" s="18"/>
      <c r="AHU76" s="18"/>
      <c r="AHV76" s="18"/>
      <c r="AHW76" s="18"/>
      <c r="AHX76" s="18"/>
      <c r="AHY76" s="18"/>
      <c r="AHZ76" s="18"/>
      <c r="AIA76" s="18"/>
      <c r="AIB76" s="18"/>
      <c r="AIC76" s="18"/>
      <c r="AID76" s="18"/>
      <c r="AIE76" s="18"/>
      <c r="AIF76" s="18"/>
      <c r="AIG76" s="18"/>
      <c r="AIH76" s="18"/>
      <c r="AII76" s="18"/>
      <c r="AIJ76" s="18"/>
      <c r="AIK76" s="18"/>
      <c r="AIL76" s="18"/>
      <c r="AIM76" s="18"/>
      <c r="AIN76" s="18"/>
      <c r="AIO76" s="18"/>
      <c r="AIP76" s="18"/>
      <c r="AIQ76" s="18"/>
      <c r="AIR76" s="18"/>
      <c r="AIS76" s="18"/>
      <c r="AIT76" s="18"/>
      <c r="AIU76" s="18"/>
      <c r="AIV76" s="18"/>
      <c r="AIW76" s="18"/>
      <c r="AIX76" s="18"/>
      <c r="AIY76" s="18"/>
      <c r="AIZ76" s="18"/>
      <c r="AJA76" s="18"/>
      <c r="AJB76" s="18"/>
      <c r="AJC76" s="18"/>
      <c r="AJD76" s="18"/>
      <c r="AJE76" s="18"/>
      <c r="AJF76" s="18"/>
      <c r="AJG76" s="18"/>
      <c r="AJH76" s="18"/>
      <c r="AJI76" s="18"/>
      <c r="AJJ76" s="18"/>
      <c r="AJK76" s="18"/>
      <c r="AJL76" s="18"/>
      <c r="AJM76" s="18"/>
      <c r="AJN76" s="18"/>
      <c r="AJO76" s="18"/>
      <c r="AJP76" s="18"/>
      <c r="AJQ76" s="18"/>
      <c r="AJR76" s="18"/>
      <c r="AJS76" s="18"/>
      <c r="AJT76" s="18"/>
      <c r="AJU76" s="18"/>
      <c r="AJV76" s="18"/>
      <c r="AJW76" s="18"/>
      <c r="AJX76" s="18"/>
      <c r="AJY76" s="18"/>
      <c r="AJZ76" s="18"/>
      <c r="AKA76" s="18"/>
      <c r="AKB76" s="18"/>
      <c r="AKC76" s="18"/>
      <c r="AKD76" s="18"/>
      <c r="AKE76" s="18"/>
      <c r="AKF76" s="18"/>
      <c r="AKG76" s="18"/>
      <c r="AKH76" s="18"/>
      <c r="AKI76" s="18"/>
      <c r="AKJ76" s="18"/>
      <c r="AKK76" s="18"/>
      <c r="AKL76" s="18"/>
      <c r="AKM76" s="18"/>
      <c r="AKN76" s="18"/>
      <c r="AKO76" s="18"/>
      <c r="AKP76" s="18"/>
      <c r="AKQ76" s="18"/>
      <c r="AKR76" s="18"/>
      <c r="AKS76" s="18"/>
      <c r="AKT76" s="18"/>
      <c r="AKU76" s="18"/>
      <c r="AKV76" s="18"/>
      <c r="AKW76" s="18"/>
      <c r="AKX76" s="18"/>
      <c r="AKY76" s="18"/>
      <c r="AKZ76" s="18"/>
      <c r="ALA76" s="18"/>
      <c r="ALB76" s="18"/>
      <c r="ALC76" s="18"/>
      <c r="ALD76" s="18"/>
      <c r="ALE76" s="18"/>
      <c r="ALF76" s="18"/>
      <c r="ALG76" s="18"/>
      <c r="ALH76" s="18"/>
      <c r="ALI76" s="18"/>
      <c r="ALJ76" s="18"/>
      <c r="ALK76" s="18"/>
      <c r="ALL76" s="18"/>
      <c r="ALM76" s="18"/>
      <c r="ALN76" s="18"/>
      <c r="ALO76" s="18"/>
      <c r="ALP76" s="18"/>
      <c r="ALQ76" s="18"/>
      <c r="ALR76" s="18"/>
      <c r="ALS76" s="18"/>
      <c r="ALT76" s="18"/>
      <c r="ALU76" s="18"/>
      <c r="ALV76" s="18"/>
      <c r="ALW76" s="18"/>
      <c r="ALX76" s="18"/>
      <c r="ALY76" s="18"/>
      <c r="ALZ76" s="18"/>
      <c r="AMA76" s="18"/>
      <c r="AMB76" s="18"/>
      <c r="AMC76" s="18"/>
      <c r="AMD76" s="18"/>
      <c r="AME76" s="18"/>
      <c r="AMF76" s="18"/>
      <c r="AMG76" s="18"/>
      <c r="AMH76" s="18"/>
      <c r="AMI76" s="18"/>
      <c r="AMJ76" s="18"/>
      <c r="AMK76" s="18"/>
      <c r="AML76" s="18"/>
      <c r="AMM76" s="18"/>
    </row>
    <row r="77" spans="1:1027" s="18" customFormat="1" x14ac:dyDescent="0.2">
      <c r="A77" s="18">
        <v>4</v>
      </c>
      <c r="B77" s="18" t="s">
        <v>627</v>
      </c>
      <c r="C77" s="18" t="s">
        <v>628</v>
      </c>
      <c r="D77" s="18">
        <v>194</v>
      </c>
      <c r="E77" s="19" t="s">
        <v>507</v>
      </c>
      <c r="F77" s="19" t="s">
        <v>507</v>
      </c>
      <c r="G77" s="20" t="s">
        <v>508</v>
      </c>
      <c r="H77" s="19" t="s">
        <v>507</v>
      </c>
      <c r="I77" s="19" t="s">
        <v>507</v>
      </c>
      <c r="J77" s="19" t="s">
        <v>507</v>
      </c>
      <c r="K77" s="21" t="s">
        <v>509</v>
      </c>
      <c r="M77" s="1" t="s">
        <v>510</v>
      </c>
      <c r="N77" s="1"/>
      <c r="S77" s="13"/>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row>
    <row r="78" spans="1:1027" s="28" customFormat="1" x14ac:dyDescent="0.2">
      <c r="A78" s="1">
        <v>4</v>
      </c>
      <c r="B78" s="1" t="s">
        <v>629</v>
      </c>
      <c r="C78" s="1" t="s">
        <v>630</v>
      </c>
      <c r="D78" s="1">
        <v>201</v>
      </c>
      <c r="E78" s="10" t="s">
        <v>507</v>
      </c>
      <c r="F78" s="10" t="s">
        <v>508</v>
      </c>
      <c r="G78" s="11" t="s">
        <v>508</v>
      </c>
      <c r="H78" s="10" t="s">
        <v>507</v>
      </c>
      <c r="I78" s="10"/>
      <c r="J78" s="10" t="s">
        <v>507</v>
      </c>
      <c r="K78" s="12"/>
      <c r="L78" s="26"/>
      <c r="M78" s="1"/>
      <c r="N78" s="1"/>
      <c r="O78" s="1"/>
      <c r="P78" s="1"/>
      <c r="Q78" s="1"/>
      <c r="R78" s="1"/>
      <c r="S78" s="13"/>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8"/>
      <c r="PO78" s="18"/>
      <c r="PP78" s="18"/>
      <c r="PQ78" s="18"/>
      <c r="PR78" s="18"/>
      <c r="PS78" s="18"/>
      <c r="PT78" s="18"/>
      <c r="PU78" s="18"/>
      <c r="PV78" s="18"/>
      <c r="PW78" s="18"/>
      <c r="PX78" s="18"/>
      <c r="PY78" s="18"/>
      <c r="PZ78" s="18"/>
      <c r="QA78" s="18"/>
      <c r="QB78" s="18"/>
      <c r="QC78" s="18"/>
      <c r="QD78" s="18"/>
      <c r="QE78" s="18"/>
      <c r="QF78" s="18"/>
      <c r="QG78" s="18"/>
      <c r="QH78" s="18"/>
      <c r="QI78" s="18"/>
      <c r="QJ78" s="18"/>
      <c r="QK78" s="18"/>
      <c r="QL78" s="18"/>
      <c r="QM78" s="18"/>
      <c r="QN78" s="18"/>
      <c r="QO78" s="18"/>
      <c r="QP78" s="18"/>
      <c r="QQ78" s="18"/>
      <c r="QR78" s="18"/>
      <c r="QS78" s="18"/>
      <c r="QT78" s="18"/>
      <c r="QU78" s="18"/>
      <c r="QV78" s="18"/>
      <c r="QW78" s="18"/>
      <c r="QX78" s="18"/>
      <c r="QY78" s="18"/>
      <c r="QZ78" s="18"/>
      <c r="RA78" s="18"/>
      <c r="RB78" s="18"/>
      <c r="RC78" s="18"/>
      <c r="RD78" s="18"/>
      <c r="RE78" s="18"/>
      <c r="RF78" s="18"/>
      <c r="RG78" s="18"/>
      <c r="RH78" s="18"/>
      <c r="RI78" s="18"/>
      <c r="RJ78" s="18"/>
      <c r="RK78" s="18"/>
      <c r="RL78" s="18"/>
      <c r="RM78" s="18"/>
      <c r="RN78" s="18"/>
      <c r="RO78" s="18"/>
      <c r="RP78" s="18"/>
      <c r="RQ78" s="18"/>
      <c r="RR78" s="18"/>
      <c r="RS78" s="18"/>
      <c r="RT78" s="18"/>
      <c r="RU78" s="18"/>
      <c r="RV78" s="18"/>
      <c r="RW78" s="18"/>
      <c r="RX78" s="18"/>
      <c r="RY78" s="18"/>
      <c r="RZ78" s="18"/>
      <c r="SA78" s="18"/>
      <c r="SB78" s="18"/>
      <c r="SC78" s="18"/>
      <c r="SD78" s="18"/>
      <c r="SE78" s="18"/>
      <c r="SF78" s="18"/>
      <c r="SG78" s="18"/>
      <c r="SH78" s="18"/>
      <c r="SI78" s="18"/>
      <c r="SJ78" s="18"/>
      <c r="SK78" s="18"/>
      <c r="SL78" s="18"/>
      <c r="SM78" s="18"/>
      <c r="SN78" s="18"/>
      <c r="SO78" s="18"/>
      <c r="SP78" s="18"/>
      <c r="SQ78" s="18"/>
      <c r="SR78" s="18"/>
      <c r="SS78" s="18"/>
      <c r="ST78" s="18"/>
      <c r="SU78" s="18"/>
      <c r="SV78" s="18"/>
      <c r="SW78" s="18"/>
      <c r="SX78" s="18"/>
      <c r="SY78" s="18"/>
      <c r="SZ78" s="18"/>
      <c r="TA78" s="18"/>
      <c r="TB78" s="18"/>
      <c r="TC78" s="18"/>
      <c r="TD78" s="18"/>
      <c r="TE78" s="18"/>
      <c r="TF78" s="18"/>
      <c r="TG78" s="18"/>
      <c r="TH78" s="18"/>
      <c r="TI78" s="18"/>
      <c r="TJ78" s="18"/>
      <c r="TK78" s="18"/>
      <c r="TL78" s="18"/>
      <c r="TM78" s="18"/>
      <c r="TN78" s="18"/>
      <c r="TO78" s="18"/>
      <c r="TP78" s="18"/>
      <c r="TQ78" s="18"/>
      <c r="TR78" s="18"/>
      <c r="TS78" s="18"/>
      <c r="TT78" s="18"/>
      <c r="TU78" s="18"/>
      <c r="TV78" s="18"/>
      <c r="TW78" s="18"/>
      <c r="TX78" s="18"/>
      <c r="TY78" s="18"/>
      <c r="TZ78" s="18"/>
      <c r="UA78" s="18"/>
      <c r="UB78" s="18"/>
      <c r="UC78" s="18"/>
      <c r="UD78" s="18"/>
      <c r="UE78" s="18"/>
      <c r="UF78" s="18"/>
      <c r="UG78" s="18"/>
      <c r="UH78" s="18"/>
      <c r="UI78" s="18"/>
      <c r="UJ78" s="18"/>
      <c r="UK78" s="18"/>
      <c r="UL78" s="18"/>
      <c r="UM78" s="18"/>
      <c r="UN78" s="18"/>
      <c r="UO78" s="18"/>
      <c r="UP78" s="18"/>
      <c r="UQ78" s="18"/>
      <c r="UR78" s="18"/>
      <c r="US78" s="18"/>
      <c r="UT78" s="18"/>
      <c r="UU78" s="18"/>
      <c r="UV78" s="18"/>
      <c r="UW78" s="18"/>
      <c r="UX78" s="18"/>
      <c r="UY78" s="18"/>
      <c r="UZ78" s="18"/>
      <c r="VA78" s="18"/>
      <c r="VB78" s="18"/>
      <c r="VC78" s="18"/>
      <c r="VD78" s="18"/>
      <c r="VE78" s="18"/>
      <c r="VF78" s="18"/>
      <c r="VG78" s="18"/>
      <c r="VH78" s="18"/>
      <c r="VI78" s="18"/>
      <c r="VJ78" s="18"/>
      <c r="VK78" s="18"/>
      <c r="VL78" s="18"/>
      <c r="VM78" s="18"/>
      <c r="VN78" s="18"/>
      <c r="VO78" s="18"/>
      <c r="VP78" s="18"/>
      <c r="VQ78" s="18"/>
      <c r="VR78" s="18"/>
      <c r="VS78" s="18"/>
      <c r="VT78" s="18"/>
      <c r="VU78" s="18"/>
      <c r="VV78" s="18"/>
      <c r="VW78" s="18"/>
      <c r="VX78" s="18"/>
      <c r="VY78" s="18"/>
      <c r="VZ78" s="18"/>
      <c r="WA78" s="18"/>
      <c r="WB78" s="18"/>
      <c r="WC78" s="18"/>
      <c r="WD78" s="18"/>
      <c r="WE78" s="18"/>
      <c r="WF78" s="18"/>
      <c r="WG78" s="18"/>
      <c r="WH78" s="18"/>
      <c r="WI78" s="18"/>
      <c r="WJ78" s="18"/>
      <c r="WK78" s="18"/>
      <c r="WL78" s="18"/>
      <c r="WM78" s="18"/>
      <c r="WN78" s="18"/>
      <c r="WO78" s="18"/>
      <c r="WP78" s="18"/>
      <c r="WQ78" s="18"/>
      <c r="WR78" s="18"/>
      <c r="WS78" s="18"/>
      <c r="WT78" s="18"/>
      <c r="WU78" s="18"/>
      <c r="WV78" s="18"/>
      <c r="WW78" s="18"/>
      <c r="WX78" s="18"/>
      <c r="WY78" s="18"/>
      <c r="WZ78" s="18"/>
      <c r="XA78" s="18"/>
      <c r="XB78" s="18"/>
      <c r="XC78" s="18"/>
      <c r="XD78" s="18"/>
      <c r="XE78" s="18"/>
      <c r="XF78" s="18"/>
      <c r="XG78" s="18"/>
      <c r="XH78" s="18"/>
      <c r="XI78" s="18"/>
      <c r="XJ78" s="18"/>
      <c r="XK78" s="18"/>
      <c r="XL78" s="18"/>
      <c r="XM78" s="18"/>
      <c r="XN78" s="18"/>
      <c r="XO78" s="18"/>
      <c r="XP78" s="18"/>
      <c r="XQ78" s="18"/>
      <c r="XR78" s="18"/>
      <c r="XS78" s="18"/>
      <c r="XT78" s="18"/>
      <c r="XU78" s="18"/>
      <c r="XV78" s="18"/>
      <c r="XW78" s="18"/>
      <c r="XX78" s="18"/>
      <c r="XY78" s="18"/>
      <c r="XZ78" s="18"/>
      <c r="YA78" s="18"/>
      <c r="YB78" s="18"/>
      <c r="YC78" s="18"/>
      <c r="YD78" s="18"/>
      <c r="YE78" s="18"/>
      <c r="YF78" s="18"/>
      <c r="YG78" s="18"/>
      <c r="YH78" s="18"/>
      <c r="YI78" s="18"/>
      <c r="YJ78" s="18"/>
      <c r="YK78" s="18"/>
      <c r="YL78" s="18"/>
      <c r="YM78" s="18"/>
      <c r="YN78" s="18"/>
      <c r="YO78" s="18"/>
      <c r="YP78" s="18"/>
      <c r="YQ78" s="18"/>
      <c r="YR78" s="18"/>
      <c r="YS78" s="18"/>
      <c r="YT78" s="18"/>
      <c r="YU78" s="18"/>
      <c r="YV78" s="18"/>
      <c r="YW78" s="18"/>
      <c r="YX78" s="18"/>
      <c r="YY78" s="18"/>
      <c r="YZ78" s="18"/>
      <c r="ZA78" s="18"/>
      <c r="ZB78" s="18"/>
      <c r="ZC78" s="18"/>
      <c r="ZD78" s="18"/>
      <c r="ZE78" s="18"/>
      <c r="ZF78" s="18"/>
      <c r="ZG78" s="18"/>
      <c r="ZH78" s="18"/>
      <c r="ZI78" s="18"/>
      <c r="ZJ78" s="18"/>
      <c r="ZK78" s="18"/>
      <c r="ZL78" s="18"/>
      <c r="ZM78" s="18"/>
      <c r="ZN78" s="18"/>
      <c r="ZO78" s="18"/>
      <c r="ZP78" s="18"/>
      <c r="ZQ78" s="18"/>
      <c r="ZR78" s="18"/>
      <c r="ZS78" s="18"/>
      <c r="ZT78" s="18"/>
      <c r="ZU78" s="18"/>
      <c r="ZV78" s="18"/>
      <c r="ZW78" s="18"/>
      <c r="ZX78" s="18"/>
      <c r="ZY78" s="18"/>
      <c r="ZZ78" s="18"/>
      <c r="AAA78" s="18"/>
      <c r="AAB78" s="18"/>
      <c r="AAC78" s="18"/>
      <c r="AAD78" s="18"/>
      <c r="AAE78" s="18"/>
      <c r="AAF78" s="18"/>
      <c r="AAG78" s="18"/>
      <c r="AAH78" s="18"/>
      <c r="AAI78" s="18"/>
      <c r="AAJ78" s="18"/>
      <c r="AAK78" s="18"/>
      <c r="AAL78" s="18"/>
      <c r="AAM78" s="18"/>
      <c r="AAN78" s="18"/>
      <c r="AAO78" s="18"/>
      <c r="AAP78" s="18"/>
      <c r="AAQ78" s="18"/>
      <c r="AAR78" s="18"/>
      <c r="AAS78" s="18"/>
      <c r="AAT78" s="18"/>
      <c r="AAU78" s="18"/>
      <c r="AAV78" s="18"/>
      <c r="AAW78" s="18"/>
      <c r="AAX78" s="18"/>
      <c r="AAY78" s="18"/>
      <c r="AAZ78" s="18"/>
      <c r="ABA78" s="18"/>
      <c r="ABB78" s="18"/>
      <c r="ABC78" s="18"/>
      <c r="ABD78" s="18"/>
      <c r="ABE78" s="18"/>
      <c r="ABF78" s="18"/>
      <c r="ABG78" s="18"/>
      <c r="ABH78" s="18"/>
      <c r="ABI78" s="18"/>
      <c r="ABJ78" s="18"/>
      <c r="ABK78" s="18"/>
      <c r="ABL78" s="18"/>
      <c r="ABM78" s="18"/>
      <c r="ABN78" s="18"/>
      <c r="ABO78" s="18"/>
      <c r="ABP78" s="18"/>
      <c r="ABQ78" s="18"/>
      <c r="ABR78" s="18"/>
      <c r="ABS78" s="18"/>
      <c r="ABT78" s="18"/>
      <c r="ABU78" s="18"/>
      <c r="ABV78" s="18"/>
      <c r="ABW78" s="18"/>
      <c r="ABX78" s="18"/>
      <c r="ABY78" s="18"/>
      <c r="ABZ78" s="18"/>
      <c r="ACA78" s="18"/>
      <c r="ACB78" s="18"/>
      <c r="ACC78" s="18"/>
      <c r="ACD78" s="18"/>
      <c r="ACE78" s="18"/>
      <c r="ACF78" s="18"/>
      <c r="ACG78" s="18"/>
      <c r="ACH78" s="18"/>
      <c r="ACI78" s="18"/>
      <c r="ACJ78" s="18"/>
      <c r="ACK78" s="18"/>
      <c r="ACL78" s="18"/>
      <c r="ACM78" s="18"/>
      <c r="ACN78" s="18"/>
      <c r="ACO78" s="18"/>
      <c r="ACP78" s="18"/>
      <c r="ACQ78" s="18"/>
      <c r="ACR78" s="18"/>
      <c r="ACS78" s="18"/>
      <c r="ACT78" s="18"/>
      <c r="ACU78" s="18"/>
      <c r="ACV78" s="18"/>
      <c r="ACW78" s="18"/>
      <c r="ACX78" s="18"/>
      <c r="ACY78" s="18"/>
      <c r="ACZ78" s="18"/>
      <c r="ADA78" s="18"/>
      <c r="ADB78" s="18"/>
      <c r="ADC78" s="18"/>
      <c r="ADD78" s="18"/>
      <c r="ADE78" s="18"/>
      <c r="ADF78" s="18"/>
      <c r="ADG78" s="18"/>
      <c r="ADH78" s="18"/>
      <c r="ADI78" s="18"/>
      <c r="ADJ78" s="18"/>
      <c r="ADK78" s="18"/>
      <c r="ADL78" s="18"/>
      <c r="ADM78" s="18"/>
      <c r="ADN78" s="18"/>
      <c r="ADO78" s="18"/>
      <c r="ADP78" s="18"/>
      <c r="ADQ78" s="18"/>
      <c r="ADR78" s="18"/>
      <c r="ADS78" s="18"/>
      <c r="ADT78" s="18"/>
      <c r="ADU78" s="18"/>
      <c r="ADV78" s="18"/>
      <c r="ADW78" s="18"/>
      <c r="ADX78" s="18"/>
      <c r="ADY78" s="18"/>
      <c r="ADZ78" s="18"/>
      <c r="AEA78" s="18"/>
      <c r="AEB78" s="18"/>
      <c r="AEC78" s="18"/>
      <c r="AED78" s="18"/>
      <c r="AEE78" s="18"/>
      <c r="AEF78" s="18"/>
      <c r="AEG78" s="18"/>
      <c r="AEH78" s="18"/>
      <c r="AEI78" s="18"/>
      <c r="AEJ78" s="18"/>
      <c r="AEK78" s="18"/>
      <c r="AEL78" s="18"/>
      <c r="AEM78" s="18"/>
      <c r="AEN78" s="18"/>
      <c r="AEO78" s="18"/>
      <c r="AEP78" s="18"/>
      <c r="AEQ78" s="18"/>
      <c r="AER78" s="18"/>
      <c r="AES78" s="18"/>
      <c r="AET78" s="18"/>
      <c r="AEU78" s="18"/>
      <c r="AEV78" s="18"/>
      <c r="AEW78" s="18"/>
      <c r="AEX78" s="18"/>
      <c r="AEY78" s="18"/>
      <c r="AEZ78" s="18"/>
      <c r="AFA78" s="18"/>
      <c r="AFB78" s="18"/>
      <c r="AFC78" s="18"/>
      <c r="AFD78" s="18"/>
      <c r="AFE78" s="18"/>
      <c r="AFF78" s="18"/>
      <c r="AFG78" s="18"/>
      <c r="AFH78" s="18"/>
      <c r="AFI78" s="18"/>
      <c r="AFJ78" s="18"/>
      <c r="AFK78" s="18"/>
      <c r="AFL78" s="18"/>
      <c r="AFM78" s="18"/>
      <c r="AFN78" s="18"/>
      <c r="AFO78" s="18"/>
      <c r="AFP78" s="18"/>
      <c r="AFQ78" s="18"/>
      <c r="AFR78" s="18"/>
      <c r="AFS78" s="18"/>
      <c r="AFT78" s="18"/>
      <c r="AFU78" s="18"/>
      <c r="AFV78" s="18"/>
      <c r="AFW78" s="18"/>
      <c r="AFX78" s="18"/>
      <c r="AFY78" s="18"/>
      <c r="AFZ78" s="18"/>
      <c r="AGA78" s="18"/>
      <c r="AGB78" s="18"/>
      <c r="AGC78" s="18"/>
      <c r="AGD78" s="18"/>
      <c r="AGE78" s="18"/>
      <c r="AGF78" s="18"/>
      <c r="AGG78" s="18"/>
      <c r="AGH78" s="18"/>
      <c r="AGI78" s="18"/>
      <c r="AGJ78" s="18"/>
      <c r="AGK78" s="18"/>
      <c r="AGL78" s="18"/>
      <c r="AGM78" s="18"/>
      <c r="AGN78" s="18"/>
      <c r="AGO78" s="18"/>
      <c r="AGP78" s="18"/>
      <c r="AGQ78" s="18"/>
      <c r="AGR78" s="18"/>
      <c r="AGS78" s="18"/>
      <c r="AGT78" s="18"/>
      <c r="AGU78" s="18"/>
      <c r="AGV78" s="18"/>
      <c r="AGW78" s="18"/>
      <c r="AGX78" s="18"/>
      <c r="AGY78" s="18"/>
      <c r="AGZ78" s="18"/>
      <c r="AHA78" s="18"/>
      <c r="AHB78" s="18"/>
      <c r="AHC78" s="18"/>
      <c r="AHD78" s="18"/>
      <c r="AHE78" s="18"/>
      <c r="AHF78" s="18"/>
      <c r="AHG78" s="18"/>
      <c r="AHH78" s="18"/>
      <c r="AHI78" s="18"/>
      <c r="AHJ78" s="18"/>
      <c r="AHK78" s="18"/>
      <c r="AHL78" s="18"/>
      <c r="AHM78" s="18"/>
      <c r="AHN78" s="18"/>
      <c r="AHO78" s="18"/>
      <c r="AHP78" s="18"/>
      <c r="AHQ78" s="18"/>
      <c r="AHR78" s="18"/>
      <c r="AHS78" s="18"/>
      <c r="AHT78" s="18"/>
      <c r="AHU78" s="18"/>
      <c r="AHV78" s="18"/>
      <c r="AHW78" s="18"/>
      <c r="AHX78" s="18"/>
      <c r="AHY78" s="18"/>
      <c r="AHZ78" s="18"/>
      <c r="AIA78" s="18"/>
      <c r="AIB78" s="18"/>
      <c r="AIC78" s="18"/>
      <c r="AID78" s="18"/>
      <c r="AIE78" s="18"/>
      <c r="AIF78" s="18"/>
      <c r="AIG78" s="18"/>
      <c r="AIH78" s="18"/>
      <c r="AII78" s="18"/>
      <c r="AIJ78" s="18"/>
      <c r="AIK78" s="18"/>
      <c r="AIL78" s="18"/>
      <c r="AIM78" s="18"/>
      <c r="AIN78" s="18"/>
      <c r="AIO78" s="18"/>
      <c r="AIP78" s="18"/>
      <c r="AIQ78" s="18"/>
      <c r="AIR78" s="18"/>
      <c r="AIS78" s="18"/>
      <c r="AIT78" s="18"/>
      <c r="AIU78" s="18"/>
      <c r="AIV78" s="18"/>
      <c r="AIW78" s="18"/>
      <c r="AIX78" s="18"/>
      <c r="AIY78" s="18"/>
      <c r="AIZ78" s="18"/>
      <c r="AJA78" s="18"/>
      <c r="AJB78" s="18"/>
      <c r="AJC78" s="18"/>
      <c r="AJD78" s="18"/>
      <c r="AJE78" s="18"/>
      <c r="AJF78" s="18"/>
      <c r="AJG78" s="18"/>
      <c r="AJH78" s="18"/>
      <c r="AJI78" s="18"/>
      <c r="AJJ78" s="18"/>
      <c r="AJK78" s="18"/>
      <c r="AJL78" s="18"/>
      <c r="AJM78" s="18"/>
      <c r="AJN78" s="18"/>
      <c r="AJO78" s="18"/>
      <c r="AJP78" s="18"/>
      <c r="AJQ78" s="18"/>
      <c r="AJR78" s="18"/>
      <c r="AJS78" s="18"/>
      <c r="AJT78" s="18"/>
      <c r="AJU78" s="18"/>
      <c r="AJV78" s="18"/>
      <c r="AJW78" s="18"/>
      <c r="AJX78" s="18"/>
      <c r="AJY78" s="18"/>
      <c r="AJZ78" s="18"/>
      <c r="AKA78" s="18"/>
      <c r="AKB78" s="18"/>
      <c r="AKC78" s="18"/>
      <c r="AKD78" s="18"/>
      <c r="AKE78" s="18"/>
      <c r="AKF78" s="18"/>
      <c r="AKG78" s="18"/>
      <c r="AKH78" s="18"/>
      <c r="AKI78" s="18"/>
      <c r="AKJ78" s="18"/>
      <c r="AKK78" s="18"/>
      <c r="AKL78" s="18"/>
      <c r="AKM78" s="18"/>
      <c r="AKN78" s="18"/>
      <c r="AKO78" s="18"/>
      <c r="AKP78" s="18"/>
      <c r="AKQ78" s="18"/>
      <c r="AKR78" s="18"/>
      <c r="AKS78" s="18"/>
      <c r="AKT78" s="18"/>
      <c r="AKU78" s="18"/>
      <c r="AKV78" s="18"/>
      <c r="AKW78" s="18"/>
      <c r="AKX78" s="18"/>
      <c r="AKY78" s="18"/>
      <c r="AKZ78" s="18"/>
      <c r="ALA78" s="18"/>
      <c r="ALB78" s="18"/>
      <c r="ALC78" s="18"/>
      <c r="ALD78" s="18"/>
      <c r="ALE78" s="18"/>
      <c r="ALF78" s="18"/>
      <c r="ALG78" s="18"/>
      <c r="ALH78" s="18"/>
      <c r="ALI78" s="18"/>
      <c r="ALJ78" s="18"/>
      <c r="ALK78" s="18"/>
      <c r="ALL78" s="18"/>
      <c r="ALM78" s="18"/>
      <c r="ALN78" s="18"/>
      <c r="ALO78" s="18"/>
      <c r="ALP78" s="18"/>
      <c r="ALQ78" s="18"/>
      <c r="ALR78" s="18"/>
      <c r="ALS78" s="18"/>
      <c r="ALT78" s="18"/>
      <c r="ALU78" s="18"/>
      <c r="ALV78" s="18"/>
      <c r="ALW78" s="18"/>
      <c r="ALX78" s="18"/>
      <c r="ALY78" s="18"/>
      <c r="ALZ78" s="18"/>
      <c r="AMA78" s="18"/>
      <c r="AMB78" s="18"/>
      <c r="AMC78" s="18"/>
      <c r="AMD78" s="18"/>
      <c r="AME78" s="18"/>
      <c r="AMF78" s="18"/>
      <c r="AMG78" s="18"/>
      <c r="AMH78" s="18"/>
      <c r="AMI78" s="18"/>
      <c r="AMJ78" s="18"/>
      <c r="AMK78" s="18"/>
      <c r="AML78" s="18"/>
      <c r="AMM78" s="18"/>
    </row>
    <row r="79" spans="1:1027" x14ac:dyDescent="0.2">
      <c r="A79" s="18">
        <v>2</v>
      </c>
      <c r="B79" s="18" t="s">
        <v>631</v>
      </c>
      <c r="C79" s="18" t="s">
        <v>200</v>
      </c>
      <c r="D79" s="18">
        <v>199</v>
      </c>
      <c r="E79" s="42" t="s">
        <v>507</v>
      </c>
      <c r="F79" s="42" t="s">
        <v>507</v>
      </c>
      <c r="G79" s="43" t="s">
        <v>507</v>
      </c>
      <c r="H79" s="42" t="s">
        <v>507</v>
      </c>
      <c r="I79" s="42" t="s">
        <v>507</v>
      </c>
      <c r="J79" s="42" t="s">
        <v>507</v>
      </c>
      <c r="K79" s="21" t="s">
        <v>509</v>
      </c>
      <c r="L79" s="18"/>
      <c r="M79" s="1" t="s">
        <v>510</v>
      </c>
      <c r="O79" s="18"/>
      <c r="P79" s="18"/>
      <c r="Q79" s="18"/>
      <c r="R79" s="18"/>
      <c r="S79" s="50" t="s">
        <v>632</v>
      </c>
      <c r="AA79" s="30"/>
      <c r="AB79" s="30"/>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c r="HL79" s="28"/>
      <c r="HM79" s="28"/>
      <c r="HN79" s="28"/>
      <c r="HO79" s="28"/>
      <c r="HP79" s="28"/>
      <c r="HQ79" s="28"/>
      <c r="HR79" s="28"/>
      <c r="HS79" s="28"/>
      <c r="HT79" s="28"/>
      <c r="HU79" s="28"/>
      <c r="HV79" s="28"/>
      <c r="HW79" s="28"/>
      <c r="HX79" s="28"/>
      <c r="HY79" s="28"/>
      <c r="HZ79" s="28"/>
      <c r="IA79" s="28"/>
      <c r="IB79" s="28"/>
      <c r="IC79" s="28"/>
      <c r="ID79" s="28"/>
      <c r="IE79" s="28"/>
      <c r="IF79" s="28"/>
      <c r="IG79" s="28"/>
      <c r="IH79" s="28"/>
      <c r="II79" s="28"/>
      <c r="IJ79" s="28"/>
      <c r="IK79" s="28"/>
      <c r="IL79" s="28"/>
      <c r="IM79" s="28"/>
      <c r="IN79" s="28"/>
      <c r="IO79" s="28"/>
      <c r="IP79" s="28"/>
      <c r="IQ79" s="28"/>
      <c r="IR79" s="28"/>
      <c r="IS79" s="28"/>
      <c r="IT79" s="28"/>
      <c r="IU79" s="28"/>
      <c r="IV79" s="28"/>
      <c r="IW79" s="28"/>
      <c r="IX79" s="28"/>
      <c r="IY79" s="28"/>
      <c r="IZ79" s="28"/>
      <c r="JA79" s="28"/>
      <c r="JB79" s="28"/>
      <c r="JC79" s="28"/>
      <c r="JD79" s="28"/>
      <c r="JE79" s="28"/>
      <c r="JF79" s="28"/>
      <c r="JG79" s="28"/>
      <c r="JH79" s="28"/>
      <c r="JI79" s="28"/>
      <c r="JJ79" s="28"/>
      <c r="JK79" s="28"/>
      <c r="JL79" s="28"/>
      <c r="JM79" s="28"/>
      <c r="JN79" s="28"/>
      <c r="JO79" s="28"/>
      <c r="JP79" s="28"/>
      <c r="JQ79" s="28"/>
      <c r="JR79" s="28"/>
      <c r="JS79" s="28"/>
      <c r="JT79" s="28"/>
      <c r="JU79" s="28"/>
      <c r="JV79" s="28"/>
      <c r="JW79" s="28"/>
      <c r="JX79" s="28"/>
      <c r="JY79" s="28"/>
      <c r="JZ79" s="28"/>
      <c r="KA79" s="28"/>
      <c r="KB79" s="28"/>
      <c r="KC79" s="28"/>
      <c r="KD79" s="28"/>
      <c r="KE79" s="28"/>
      <c r="KF79" s="28"/>
      <c r="KG79" s="28"/>
      <c r="KH79" s="28"/>
      <c r="KI79" s="28"/>
      <c r="KJ79" s="28"/>
      <c r="KK79" s="28"/>
      <c r="KL79" s="28"/>
      <c r="KM79" s="28"/>
      <c r="KN79" s="28"/>
      <c r="KO79" s="28"/>
      <c r="KP79" s="28"/>
      <c r="KQ79" s="28"/>
      <c r="KR79" s="28"/>
      <c r="KS79" s="28"/>
      <c r="KT79" s="28"/>
      <c r="KU79" s="28"/>
      <c r="KV79" s="28"/>
      <c r="KW79" s="28"/>
      <c r="KX79" s="28"/>
      <c r="KY79" s="28"/>
      <c r="KZ79" s="28"/>
      <c r="LA79" s="28"/>
      <c r="LB79" s="28"/>
      <c r="LC79" s="28"/>
      <c r="LD79" s="28"/>
      <c r="LE79" s="28"/>
      <c r="LF79" s="28"/>
      <c r="LG79" s="28"/>
      <c r="LH79" s="28"/>
      <c r="LI79" s="28"/>
      <c r="LJ79" s="28"/>
      <c r="LK79" s="28"/>
      <c r="LL79" s="28"/>
      <c r="LM79" s="28"/>
      <c r="LN79" s="28"/>
      <c r="LO79" s="28"/>
      <c r="LP79" s="28"/>
      <c r="LQ79" s="28"/>
      <c r="LR79" s="28"/>
      <c r="LS79" s="28"/>
      <c r="LT79" s="28"/>
      <c r="LU79" s="28"/>
      <c r="LV79" s="28"/>
      <c r="LW79" s="28"/>
      <c r="LX79" s="28"/>
      <c r="LY79" s="28"/>
      <c r="LZ79" s="28"/>
      <c r="MA79" s="28"/>
      <c r="MB79" s="28"/>
      <c r="MC79" s="28"/>
      <c r="MD79" s="28"/>
      <c r="ME79" s="28"/>
      <c r="MF79" s="28"/>
      <c r="MG79" s="28"/>
      <c r="MH79" s="28"/>
      <c r="MI79" s="28"/>
      <c r="MJ79" s="28"/>
      <c r="MK79" s="28"/>
      <c r="ML79" s="28"/>
      <c r="MM79" s="28"/>
      <c r="MN79" s="28"/>
      <c r="MO79" s="28"/>
      <c r="MP79" s="28"/>
      <c r="MQ79" s="28"/>
      <c r="MR79" s="28"/>
      <c r="MS79" s="28"/>
      <c r="MT79" s="28"/>
      <c r="MU79" s="28"/>
      <c r="MV79" s="28"/>
      <c r="MW79" s="28"/>
      <c r="MX79" s="28"/>
      <c r="MY79" s="28"/>
      <c r="MZ79" s="28"/>
      <c r="NA79" s="28"/>
      <c r="NB79" s="28"/>
      <c r="NC79" s="28"/>
      <c r="ND79" s="28"/>
      <c r="NE79" s="28"/>
      <c r="NF79" s="28"/>
      <c r="NG79" s="28"/>
      <c r="NH79" s="28"/>
      <c r="NI79" s="28"/>
      <c r="NJ79" s="28"/>
      <c r="NK79" s="28"/>
      <c r="NL79" s="28"/>
      <c r="NM79" s="28"/>
      <c r="NN79" s="28"/>
      <c r="NO79" s="28"/>
      <c r="NP79" s="28"/>
      <c r="NQ79" s="28"/>
      <c r="NR79" s="28"/>
      <c r="NS79" s="28"/>
      <c r="NT79" s="28"/>
      <c r="NU79" s="28"/>
      <c r="NV79" s="28"/>
      <c r="NW79" s="28"/>
      <c r="NX79" s="28"/>
      <c r="NY79" s="28"/>
      <c r="NZ79" s="28"/>
      <c r="OA79" s="28"/>
      <c r="OB79" s="28"/>
      <c r="OC79" s="28"/>
      <c r="OD79" s="28"/>
      <c r="OE79" s="28"/>
      <c r="OF79" s="28"/>
      <c r="OG79" s="28"/>
      <c r="OH79" s="28"/>
      <c r="OI79" s="28"/>
      <c r="OJ79" s="28"/>
      <c r="OK79" s="28"/>
      <c r="OL79" s="28"/>
      <c r="OM79" s="28"/>
      <c r="ON79" s="28"/>
      <c r="OO79" s="28"/>
      <c r="OP79" s="28"/>
      <c r="OQ79" s="28"/>
      <c r="OR79" s="28"/>
      <c r="OS79" s="28"/>
      <c r="OT79" s="28"/>
      <c r="OU79" s="28"/>
      <c r="OV79" s="28"/>
      <c r="OW79" s="28"/>
      <c r="OX79" s="28"/>
      <c r="OY79" s="28"/>
      <c r="OZ79" s="28"/>
      <c r="PA79" s="28"/>
      <c r="PB79" s="28"/>
      <c r="PC79" s="28"/>
      <c r="PD79" s="28"/>
      <c r="PE79" s="28"/>
      <c r="PF79" s="28"/>
      <c r="PG79" s="28"/>
      <c r="PH79" s="28"/>
      <c r="PI79" s="28"/>
      <c r="PJ79" s="28"/>
      <c r="PK79" s="28"/>
      <c r="PL79" s="28"/>
      <c r="PM79" s="28"/>
      <c r="PN79" s="28"/>
      <c r="PO79" s="28"/>
      <c r="PP79" s="28"/>
      <c r="PQ79" s="28"/>
      <c r="PR79" s="28"/>
      <c r="PS79" s="28"/>
      <c r="PT79" s="28"/>
      <c r="PU79" s="28"/>
      <c r="PV79" s="28"/>
      <c r="PW79" s="28"/>
      <c r="PX79" s="28"/>
      <c r="PY79" s="28"/>
      <c r="PZ79" s="28"/>
      <c r="QA79" s="28"/>
      <c r="QB79" s="28"/>
      <c r="QC79" s="28"/>
      <c r="QD79" s="28"/>
      <c r="QE79" s="28"/>
      <c r="QF79" s="28"/>
      <c r="QG79" s="28"/>
      <c r="QH79" s="28"/>
      <c r="QI79" s="28"/>
      <c r="QJ79" s="28"/>
      <c r="QK79" s="28"/>
      <c r="QL79" s="28"/>
      <c r="QM79" s="28"/>
      <c r="QN79" s="28"/>
      <c r="QO79" s="28"/>
      <c r="QP79" s="28"/>
      <c r="QQ79" s="28"/>
      <c r="QR79" s="28"/>
      <c r="QS79" s="28"/>
      <c r="QT79" s="28"/>
      <c r="QU79" s="28"/>
      <c r="QV79" s="28"/>
      <c r="QW79" s="28"/>
      <c r="QX79" s="28"/>
      <c r="QY79" s="28"/>
      <c r="QZ79" s="28"/>
      <c r="RA79" s="28"/>
      <c r="RB79" s="28"/>
      <c r="RC79" s="28"/>
      <c r="RD79" s="28"/>
      <c r="RE79" s="28"/>
      <c r="RF79" s="28"/>
      <c r="RG79" s="28"/>
      <c r="RH79" s="28"/>
      <c r="RI79" s="28"/>
      <c r="RJ79" s="28"/>
      <c r="RK79" s="28"/>
      <c r="RL79" s="28"/>
      <c r="RM79" s="28"/>
      <c r="RN79" s="28"/>
      <c r="RO79" s="28"/>
      <c r="RP79" s="28"/>
      <c r="RQ79" s="28"/>
      <c r="RR79" s="28"/>
      <c r="RS79" s="28"/>
      <c r="RT79" s="28"/>
      <c r="RU79" s="28"/>
      <c r="RV79" s="28"/>
      <c r="RW79" s="28"/>
      <c r="RX79" s="28"/>
      <c r="RY79" s="28"/>
      <c r="RZ79" s="28"/>
      <c r="SA79" s="28"/>
      <c r="SB79" s="28"/>
      <c r="SC79" s="28"/>
      <c r="SD79" s="28"/>
      <c r="SE79" s="28"/>
      <c r="SF79" s="28"/>
      <c r="SG79" s="28"/>
      <c r="SH79" s="28"/>
      <c r="SI79" s="28"/>
      <c r="SJ79" s="28"/>
      <c r="SK79" s="28"/>
      <c r="SL79" s="28"/>
      <c r="SM79" s="28"/>
      <c r="SN79" s="28"/>
      <c r="SO79" s="28"/>
      <c r="SP79" s="28"/>
      <c r="SQ79" s="28"/>
      <c r="SR79" s="28"/>
      <c r="SS79" s="28"/>
      <c r="ST79" s="28"/>
      <c r="SU79" s="28"/>
      <c r="SV79" s="28"/>
      <c r="SW79" s="28"/>
      <c r="SX79" s="28"/>
      <c r="SY79" s="28"/>
      <c r="SZ79" s="28"/>
      <c r="TA79" s="28"/>
      <c r="TB79" s="28"/>
      <c r="TC79" s="28"/>
      <c r="TD79" s="28"/>
      <c r="TE79" s="28"/>
      <c r="TF79" s="28"/>
      <c r="TG79" s="28"/>
      <c r="TH79" s="28"/>
      <c r="TI79" s="28"/>
      <c r="TJ79" s="28"/>
      <c r="TK79" s="28"/>
      <c r="TL79" s="28"/>
      <c r="TM79" s="28"/>
      <c r="TN79" s="28"/>
      <c r="TO79" s="28"/>
      <c r="TP79" s="28"/>
      <c r="TQ79" s="28"/>
      <c r="TR79" s="28"/>
      <c r="TS79" s="28"/>
      <c r="TT79" s="28"/>
      <c r="TU79" s="28"/>
      <c r="TV79" s="28"/>
      <c r="TW79" s="28"/>
      <c r="TX79" s="28"/>
      <c r="TY79" s="28"/>
      <c r="TZ79" s="28"/>
      <c r="UA79" s="28"/>
      <c r="UB79" s="28"/>
      <c r="UC79" s="28"/>
      <c r="UD79" s="28"/>
      <c r="UE79" s="28"/>
      <c r="UF79" s="28"/>
      <c r="UG79" s="28"/>
      <c r="UH79" s="28"/>
      <c r="UI79" s="28"/>
      <c r="UJ79" s="28"/>
      <c r="UK79" s="28"/>
      <c r="UL79" s="28"/>
      <c r="UM79" s="28"/>
      <c r="UN79" s="28"/>
      <c r="UO79" s="28"/>
      <c r="UP79" s="28"/>
      <c r="UQ79" s="28"/>
      <c r="UR79" s="28"/>
      <c r="US79" s="28"/>
      <c r="UT79" s="28"/>
      <c r="UU79" s="28"/>
      <c r="UV79" s="28"/>
      <c r="UW79" s="28"/>
      <c r="UX79" s="28"/>
      <c r="UY79" s="28"/>
      <c r="UZ79" s="28"/>
      <c r="VA79" s="28"/>
      <c r="VB79" s="28"/>
      <c r="VC79" s="28"/>
      <c r="VD79" s="28"/>
      <c r="VE79" s="28"/>
      <c r="VF79" s="28"/>
      <c r="VG79" s="28"/>
      <c r="VH79" s="28"/>
      <c r="VI79" s="28"/>
      <c r="VJ79" s="28"/>
      <c r="VK79" s="28"/>
      <c r="VL79" s="28"/>
      <c r="VM79" s="28"/>
      <c r="VN79" s="28"/>
      <c r="VO79" s="28"/>
      <c r="VP79" s="28"/>
      <c r="VQ79" s="28"/>
      <c r="VR79" s="28"/>
      <c r="VS79" s="28"/>
      <c r="VT79" s="28"/>
      <c r="VU79" s="28"/>
      <c r="VV79" s="28"/>
      <c r="VW79" s="28"/>
      <c r="VX79" s="28"/>
      <c r="VY79" s="28"/>
      <c r="VZ79" s="28"/>
      <c r="WA79" s="28"/>
      <c r="WB79" s="28"/>
      <c r="WC79" s="28"/>
      <c r="WD79" s="28"/>
      <c r="WE79" s="28"/>
      <c r="WF79" s="28"/>
      <c r="WG79" s="28"/>
      <c r="WH79" s="28"/>
      <c r="WI79" s="28"/>
      <c r="WJ79" s="28"/>
      <c r="WK79" s="28"/>
      <c r="WL79" s="28"/>
      <c r="WM79" s="28"/>
      <c r="WN79" s="28"/>
      <c r="WO79" s="28"/>
      <c r="WP79" s="28"/>
      <c r="WQ79" s="28"/>
      <c r="WR79" s="28"/>
      <c r="WS79" s="28"/>
      <c r="WT79" s="28"/>
      <c r="WU79" s="28"/>
      <c r="WV79" s="28"/>
      <c r="WW79" s="28"/>
      <c r="WX79" s="28"/>
      <c r="WY79" s="28"/>
      <c r="WZ79" s="28"/>
      <c r="XA79" s="28"/>
      <c r="XB79" s="28"/>
      <c r="XC79" s="28"/>
      <c r="XD79" s="28"/>
      <c r="XE79" s="28"/>
      <c r="XF79" s="28"/>
      <c r="XG79" s="28"/>
      <c r="XH79" s="28"/>
      <c r="XI79" s="28"/>
      <c r="XJ79" s="28"/>
      <c r="XK79" s="28"/>
      <c r="XL79" s="28"/>
      <c r="XM79" s="28"/>
      <c r="XN79" s="28"/>
      <c r="XO79" s="28"/>
      <c r="XP79" s="28"/>
      <c r="XQ79" s="28"/>
      <c r="XR79" s="28"/>
      <c r="XS79" s="28"/>
      <c r="XT79" s="28"/>
      <c r="XU79" s="28"/>
      <c r="XV79" s="28"/>
      <c r="XW79" s="28"/>
      <c r="XX79" s="28"/>
      <c r="XY79" s="28"/>
      <c r="XZ79" s="28"/>
      <c r="YA79" s="28"/>
      <c r="YB79" s="28"/>
      <c r="YC79" s="28"/>
      <c r="YD79" s="28"/>
      <c r="YE79" s="28"/>
      <c r="YF79" s="28"/>
      <c r="YG79" s="28"/>
      <c r="YH79" s="28"/>
      <c r="YI79" s="28"/>
      <c r="YJ79" s="28"/>
      <c r="YK79" s="28"/>
      <c r="YL79" s="28"/>
      <c r="YM79" s="28"/>
      <c r="YN79" s="28"/>
      <c r="YO79" s="28"/>
      <c r="YP79" s="28"/>
      <c r="YQ79" s="28"/>
      <c r="YR79" s="28"/>
      <c r="YS79" s="28"/>
      <c r="YT79" s="28"/>
      <c r="YU79" s="28"/>
      <c r="YV79" s="28"/>
      <c r="YW79" s="28"/>
      <c r="YX79" s="28"/>
      <c r="YY79" s="28"/>
      <c r="YZ79" s="28"/>
      <c r="ZA79" s="28"/>
      <c r="ZB79" s="28"/>
      <c r="ZC79" s="28"/>
      <c r="ZD79" s="28"/>
      <c r="ZE79" s="28"/>
      <c r="ZF79" s="28"/>
      <c r="ZG79" s="28"/>
      <c r="ZH79" s="28"/>
      <c r="ZI79" s="28"/>
      <c r="ZJ79" s="28"/>
      <c r="ZK79" s="28"/>
      <c r="ZL79" s="28"/>
      <c r="ZM79" s="28"/>
      <c r="ZN79" s="28"/>
      <c r="ZO79" s="28"/>
      <c r="ZP79" s="28"/>
      <c r="ZQ79" s="28"/>
      <c r="ZR79" s="28"/>
      <c r="ZS79" s="28"/>
      <c r="ZT79" s="28"/>
      <c r="ZU79" s="28"/>
      <c r="ZV79" s="28"/>
      <c r="ZW79" s="28"/>
      <c r="ZX79" s="28"/>
      <c r="ZY79" s="28"/>
      <c r="ZZ79" s="28"/>
      <c r="AAA79" s="28"/>
      <c r="AAB79" s="28"/>
      <c r="AAC79" s="28"/>
      <c r="AAD79" s="28"/>
      <c r="AAE79" s="28"/>
      <c r="AAF79" s="28"/>
      <c r="AAG79" s="28"/>
      <c r="AAH79" s="28"/>
      <c r="AAI79" s="28"/>
      <c r="AAJ79" s="28"/>
      <c r="AAK79" s="28"/>
      <c r="AAL79" s="28"/>
      <c r="AAM79" s="28"/>
      <c r="AAN79" s="28"/>
      <c r="AAO79" s="28"/>
      <c r="AAP79" s="28"/>
      <c r="AAQ79" s="28"/>
      <c r="AAR79" s="28"/>
      <c r="AAS79" s="28"/>
      <c r="AAT79" s="28"/>
      <c r="AAU79" s="28"/>
      <c r="AAV79" s="28"/>
      <c r="AAW79" s="28"/>
      <c r="AAX79" s="28"/>
      <c r="AAY79" s="28"/>
      <c r="AAZ79" s="28"/>
      <c r="ABA79" s="28"/>
      <c r="ABB79" s="28"/>
      <c r="ABC79" s="28"/>
      <c r="ABD79" s="28"/>
      <c r="ABE79" s="28"/>
      <c r="ABF79" s="28"/>
      <c r="ABG79" s="28"/>
      <c r="ABH79" s="28"/>
      <c r="ABI79" s="28"/>
      <c r="ABJ79" s="28"/>
      <c r="ABK79" s="28"/>
      <c r="ABL79" s="28"/>
      <c r="ABM79" s="28"/>
      <c r="ABN79" s="28"/>
      <c r="ABO79" s="28"/>
      <c r="ABP79" s="28"/>
      <c r="ABQ79" s="28"/>
      <c r="ABR79" s="28"/>
      <c r="ABS79" s="28"/>
      <c r="ABT79" s="28"/>
      <c r="ABU79" s="28"/>
      <c r="ABV79" s="28"/>
      <c r="ABW79" s="28"/>
      <c r="ABX79" s="28"/>
      <c r="ABY79" s="28"/>
      <c r="ABZ79" s="28"/>
      <c r="ACA79" s="28"/>
      <c r="ACB79" s="28"/>
      <c r="ACC79" s="28"/>
      <c r="ACD79" s="28"/>
      <c r="ACE79" s="28"/>
      <c r="ACF79" s="28"/>
      <c r="ACG79" s="28"/>
      <c r="ACH79" s="28"/>
      <c r="ACI79" s="28"/>
      <c r="ACJ79" s="28"/>
      <c r="ACK79" s="28"/>
      <c r="ACL79" s="28"/>
      <c r="ACM79" s="28"/>
      <c r="ACN79" s="28"/>
      <c r="ACO79" s="28"/>
      <c r="ACP79" s="28"/>
      <c r="ACQ79" s="28"/>
      <c r="ACR79" s="28"/>
      <c r="ACS79" s="28"/>
      <c r="ACT79" s="28"/>
      <c r="ACU79" s="28"/>
      <c r="ACV79" s="28"/>
      <c r="ACW79" s="28"/>
      <c r="ACX79" s="28"/>
      <c r="ACY79" s="28"/>
      <c r="ACZ79" s="28"/>
      <c r="ADA79" s="28"/>
      <c r="ADB79" s="28"/>
      <c r="ADC79" s="28"/>
      <c r="ADD79" s="28"/>
      <c r="ADE79" s="28"/>
      <c r="ADF79" s="28"/>
      <c r="ADG79" s="28"/>
      <c r="ADH79" s="28"/>
      <c r="ADI79" s="28"/>
      <c r="ADJ79" s="28"/>
      <c r="ADK79" s="28"/>
      <c r="ADL79" s="28"/>
      <c r="ADM79" s="28"/>
      <c r="ADN79" s="28"/>
      <c r="ADO79" s="28"/>
      <c r="ADP79" s="28"/>
      <c r="ADQ79" s="28"/>
      <c r="ADR79" s="28"/>
      <c r="ADS79" s="28"/>
      <c r="ADT79" s="28"/>
      <c r="ADU79" s="28"/>
      <c r="ADV79" s="28"/>
      <c r="ADW79" s="28"/>
      <c r="ADX79" s="28"/>
      <c r="ADY79" s="28"/>
      <c r="ADZ79" s="28"/>
      <c r="AEA79" s="28"/>
      <c r="AEB79" s="28"/>
      <c r="AEC79" s="28"/>
      <c r="AED79" s="28"/>
      <c r="AEE79" s="28"/>
      <c r="AEF79" s="28"/>
      <c r="AEG79" s="28"/>
      <c r="AEH79" s="28"/>
      <c r="AEI79" s="28"/>
      <c r="AEJ79" s="28"/>
      <c r="AEK79" s="28"/>
      <c r="AEL79" s="28"/>
      <c r="AEM79" s="28"/>
      <c r="AEN79" s="28"/>
      <c r="AEO79" s="28"/>
      <c r="AEP79" s="28"/>
      <c r="AEQ79" s="28"/>
      <c r="AER79" s="28"/>
      <c r="AES79" s="28"/>
      <c r="AET79" s="28"/>
      <c r="AEU79" s="28"/>
      <c r="AEV79" s="28"/>
      <c r="AEW79" s="28"/>
      <c r="AEX79" s="28"/>
      <c r="AEY79" s="28"/>
      <c r="AEZ79" s="28"/>
      <c r="AFA79" s="28"/>
      <c r="AFB79" s="28"/>
      <c r="AFC79" s="28"/>
      <c r="AFD79" s="28"/>
      <c r="AFE79" s="28"/>
      <c r="AFF79" s="28"/>
      <c r="AFG79" s="28"/>
      <c r="AFH79" s="28"/>
      <c r="AFI79" s="28"/>
      <c r="AFJ79" s="28"/>
      <c r="AFK79" s="28"/>
      <c r="AFL79" s="28"/>
      <c r="AFM79" s="28"/>
      <c r="AFN79" s="28"/>
      <c r="AFO79" s="28"/>
      <c r="AFP79" s="28"/>
      <c r="AFQ79" s="28"/>
      <c r="AFR79" s="28"/>
      <c r="AFS79" s="28"/>
      <c r="AFT79" s="28"/>
      <c r="AFU79" s="28"/>
      <c r="AFV79" s="28"/>
      <c r="AFW79" s="28"/>
      <c r="AFX79" s="28"/>
      <c r="AFY79" s="28"/>
      <c r="AFZ79" s="28"/>
      <c r="AGA79" s="28"/>
      <c r="AGB79" s="28"/>
      <c r="AGC79" s="28"/>
      <c r="AGD79" s="28"/>
      <c r="AGE79" s="28"/>
      <c r="AGF79" s="28"/>
      <c r="AGG79" s="28"/>
      <c r="AGH79" s="28"/>
      <c r="AGI79" s="28"/>
      <c r="AGJ79" s="28"/>
      <c r="AGK79" s="28"/>
      <c r="AGL79" s="28"/>
      <c r="AGM79" s="28"/>
      <c r="AGN79" s="28"/>
      <c r="AGO79" s="28"/>
      <c r="AGP79" s="28"/>
      <c r="AGQ79" s="28"/>
      <c r="AGR79" s="28"/>
      <c r="AGS79" s="28"/>
      <c r="AGT79" s="28"/>
      <c r="AGU79" s="28"/>
      <c r="AGV79" s="28"/>
      <c r="AGW79" s="28"/>
      <c r="AGX79" s="28"/>
      <c r="AGY79" s="28"/>
      <c r="AGZ79" s="28"/>
      <c r="AHA79" s="28"/>
      <c r="AHB79" s="28"/>
      <c r="AHC79" s="28"/>
      <c r="AHD79" s="28"/>
      <c r="AHE79" s="28"/>
      <c r="AHF79" s="28"/>
      <c r="AHG79" s="28"/>
      <c r="AHH79" s="28"/>
      <c r="AHI79" s="28"/>
      <c r="AHJ79" s="28"/>
      <c r="AHK79" s="28"/>
      <c r="AHL79" s="28"/>
      <c r="AHM79" s="28"/>
      <c r="AHN79" s="28"/>
      <c r="AHO79" s="28"/>
      <c r="AHP79" s="28"/>
      <c r="AHQ79" s="28"/>
      <c r="AHR79" s="28"/>
      <c r="AHS79" s="28"/>
      <c r="AHT79" s="28"/>
      <c r="AHU79" s="28"/>
      <c r="AHV79" s="28"/>
      <c r="AHW79" s="28"/>
      <c r="AHX79" s="28"/>
      <c r="AHY79" s="28"/>
      <c r="AHZ79" s="28"/>
      <c r="AIA79" s="28"/>
      <c r="AIB79" s="28"/>
      <c r="AIC79" s="28"/>
      <c r="AID79" s="28"/>
      <c r="AIE79" s="28"/>
      <c r="AIF79" s="28"/>
      <c r="AIG79" s="28"/>
      <c r="AIH79" s="28"/>
      <c r="AII79" s="28"/>
      <c r="AIJ79" s="28"/>
      <c r="AIK79" s="28"/>
      <c r="AIL79" s="28"/>
      <c r="AIM79" s="28"/>
      <c r="AIN79" s="28"/>
      <c r="AIO79" s="28"/>
      <c r="AIP79" s="28"/>
      <c r="AIQ79" s="28"/>
      <c r="AIR79" s="28"/>
      <c r="AIS79" s="28"/>
      <c r="AIT79" s="28"/>
      <c r="AIU79" s="28"/>
      <c r="AIV79" s="28"/>
      <c r="AIW79" s="28"/>
      <c r="AIX79" s="28"/>
      <c r="AIY79" s="28"/>
      <c r="AIZ79" s="28"/>
      <c r="AJA79" s="28"/>
      <c r="AJB79" s="28"/>
      <c r="AJC79" s="28"/>
      <c r="AJD79" s="28"/>
      <c r="AJE79" s="28"/>
      <c r="AJF79" s="28"/>
      <c r="AJG79" s="28"/>
      <c r="AJH79" s="28"/>
      <c r="AJI79" s="28"/>
      <c r="AJJ79" s="28"/>
      <c r="AJK79" s="28"/>
      <c r="AJL79" s="28"/>
      <c r="AJM79" s="28"/>
      <c r="AJN79" s="28"/>
      <c r="AJO79" s="28"/>
      <c r="AJP79" s="28"/>
      <c r="AJQ79" s="28"/>
      <c r="AJR79" s="28"/>
      <c r="AJS79" s="28"/>
      <c r="AJT79" s="28"/>
      <c r="AJU79" s="28"/>
      <c r="AJV79" s="28"/>
      <c r="AJW79" s="28"/>
      <c r="AJX79" s="28"/>
      <c r="AJY79" s="28"/>
      <c r="AJZ79" s="28"/>
      <c r="AKA79" s="28"/>
      <c r="AKB79" s="28"/>
      <c r="AKC79" s="28"/>
      <c r="AKD79" s="28"/>
      <c r="AKE79" s="28"/>
      <c r="AKF79" s="28"/>
      <c r="AKG79" s="28"/>
      <c r="AKH79" s="28"/>
      <c r="AKI79" s="28"/>
      <c r="AKJ79" s="28"/>
      <c r="AKK79" s="28"/>
      <c r="AKL79" s="28"/>
      <c r="AKM79" s="28"/>
      <c r="AKN79" s="28"/>
      <c r="AKO79" s="28"/>
      <c r="AKP79" s="28"/>
      <c r="AKQ79" s="28"/>
      <c r="AKR79" s="28"/>
      <c r="AKS79" s="28"/>
      <c r="AKT79" s="28"/>
      <c r="AKU79" s="28"/>
      <c r="AKV79" s="28"/>
      <c r="AKW79" s="28"/>
      <c r="AKX79" s="28"/>
      <c r="AKY79" s="28"/>
      <c r="AKZ79" s="28"/>
      <c r="ALA79" s="28"/>
      <c r="ALB79" s="28"/>
      <c r="ALC79" s="28"/>
      <c r="ALD79" s="28"/>
      <c r="ALE79" s="28"/>
      <c r="ALF79" s="28"/>
      <c r="ALG79" s="28"/>
      <c r="ALH79" s="28"/>
      <c r="ALI79" s="28"/>
      <c r="ALJ79" s="28"/>
      <c r="ALK79" s="28"/>
      <c r="ALL79" s="28"/>
      <c r="ALM79" s="28"/>
      <c r="ALN79" s="28"/>
      <c r="ALO79" s="28"/>
      <c r="ALP79" s="28"/>
      <c r="ALQ79" s="28"/>
      <c r="ALR79" s="28"/>
      <c r="ALS79" s="28"/>
      <c r="ALT79" s="28"/>
      <c r="ALU79" s="28"/>
      <c r="ALV79" s="28"/>
      <c r="ALW79" s="28"/>
      <c r="ALX79" s="28"/>
      <c r="ALY79" s="28"/>
      <c r="ALZ79" s="28"/>
      <c r="AMA79" s="28"/>
      <c r="AMB79" s="28"/>
      <c r="AMC79" s="28"/>
      <c r="AMD79" s="28"/>
      <c r="AME79" s="28"/>
      <c r="AMF79" s="28"/>
      <c r="AMG79" s="28"/>
      <c r="AMH79" s="28"/>
      <c r="AMI79" s="28"/>
      <c r="AMJ79" s="28"/>
      <c r="AMK79" s="28"/>
      <c r="AML79" s="28"/>
      <c r="AMM79" s="28"/>
    </row>
    <row r="80" spans="1:1027" s="51" customFormat="1" x14ac:dyDescent="0.2">
      <c r="A80" s="18">
        <v>4</v>
      </c>
      <c r="B80" s="18" t="s">
        <v>633</v>
      </c>
      <c r="C80" s="18" t="s">
        <v>634</v>
      </c>
      <c r="D80" s="18">
        <v>205</v>
      </c>
      <c r="E80" s="19" t="s">
        <v>507</v>
      </c>
      <c r="F80" s="19" t="s">
        <v>507</v>
      </c>
      <c r="G80" s="20" t="s">
        <v>508</v>
      </c>
      <c r="H80" s="19" t="s">
        <v>507</v>
      </c>
      <c r="I80" s="19"/>
      <c r="J80" s="19" t="s">
        <v>507</v>
      </c>
      <c r="K80" s="23"/>
      <c r="L80" s="18"/>
      <c r="M80" s="1"/>
      <c r="N80" s="1"/>
      <c r="O80" s="18"/>
      <c r="P80" s="18"/>
      <c r="Q80" s="18"/>
      <c r="R80" s="18"/>
      <c r="S80" s="13"/>
      <c r="T80" s="1"/>
      <c r="U80" s="1"/>
      <c r="V80" s="1"/>
      <c r="W80" s="1"/>
      <c r="X80" s="1"/>
      <c r="Y80" s="1"/>
      <c r="Z80" s="1"/>
      <c r="AA80" s="30"/>
      <c r="AB80" s="30"/>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c r="AME80" s="1"/>
      <c r="AMF80" s="1"/>
      <c r="AMG80" s="1"/>
      <c r="AMH80" s="1"/>
      <c r="AMI80" s="1"/>
      <c r="AMJ80" s="1"/>
      <c r="AMK80" s="1"/>
      <c r="AML80" s="28"/>
    </row>
    <row r="81" spans="1:1027" s="33" customFormat="1" x14ac:dyDescent="0.2">
      <c r="A81" s="1" t="s">
        <v>521</v>
      </c>
      <c r="B81" s="1" t="s">
        <v>635</v>
      </c>
      <c r="C81" s="1"/>
      <c r="D81" s="1">
        <v>209</v>
      </c>
      <c r="E81" s="10" t="s">
        <v>506</v>
      </c>
      <c r="F81" s="10" t="s">
        <v>508</v>
      </c>
      <c r="G81" s="11" t="s">
        <v>508</v>
      </c>
      <c r="H81" s="10" t="s">
        <v>507</v>
      </c>
      <c r="I81" s="10"/>
      <c r="J81" s="10" t="s">
        <v>507</v>
      </c>
      <c r="K81" s="12"/>
      <c r="L81" s="26"/>
      <c r="M81" s="1"/>
      <c r="O81" s="29"/>
      <c r="P81" s="29"/>
      <c r="Q81" s="29"/>
      <c r="R81" s="29"/>
      <c r="S81" s="52" t="s">
        <v>636</v>
      </c>
      <c r="T81" s="29" t="s">
        <v>637</v>
      </c>
      <c r="U81" s="29"/>
      <c r="V81" s="29"/>
      <c r="W81" s="29"/>
      <c r="X81" s="29"/>
      <c r="Y81" s="29"/>
      <c r="Z81" s="29"/>
      <c r="AA81" s="53"/>
      <c r="AB81" s="53"/>
      <c r="AC81" s="29"/>
      <c r="AD81" s="29"/>
      <c r="AE81" s="29"/>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c r="HY81" s="51"/>
      <c r="HZ81" s="51"/>
      <c r="IA81" s="51"/>
      <c r="IB81" s="51"/>
      <c r="IC81" s="51"/>
      <c r="ID81" s="51"/>
      <c r="IE81" s="51"/>
      <c r="IF81" s="51"/>
      <c r="IG81" s="51"/>
      <c r="IH81" s="51"/>
      <c r="II81" s="51"/>
      <c r="IJ81" s="51"/>
      <c r="IK81" s="51"/>
      <c r="IL81" s="51"/>
      <c r="IM81" s="51"/>
      <c r="IN81" s="51"/>
      <c r="IO81" s="51"/>
      <c r="IP81" s="51"/>
      <c r="IQ81" s="51"/>
      <c r="IR81" s="51"/>
      <c r="IS81" s="51"/>
      <c r="IT81" s="51"/>
      <c r="IU81" s="51"/>
      <c r="IV81" s="51"/>
      <c r="IW81" s="51"/>
      <c r="IX81" s="51"/>
      <c r="IY81" s="51"/>
      <c r="IZ81" s="51"/>
      <c r="JA81" s="51"/>
      <c r="JB81" s="51"/>
      <c r="JC81" s="51"/>
      <c r="JD81" s="51"/>
      <c r="JE81" s="51"/>
      <c r="JF81" s="51"/>
      <c r="JG81" s="51"/>
      <c r="JH81" s="51"/>
      <c r="JI81" s="51"/>
      <c r="JJ81" s="51"/>
      <c r="JK81" s="51"/>
      <c r="JL81" s="51"/>
      <c r="JM81" s="51"/>
      <c r="JN81" s="51"/>
      <c r="JO81" s="51"/>
      <c r="JP81" s="51"/>
      <c r="JQ81" s="51"/>
      <c r="JR81" s="51"/>
      <c r="JS81" s="51"/>
      <c r="JT81" s="51"/>
      <c r="JU81" s="51"/>
      <c r="JV81" s="51"/>
      <c r="JW81" s="51"/>
      <c r="JX81" s="51"/>
      <c r="JY81" s="51"/>
      <c r="JZ81" s="51"/>
      <c r="KA81" s="51"/>
      <c r="KB81" s="51"/>
      <c r="KC81" s="51"/>
      <c r="KD81" s="51"/>
      <c r="KE81" s="51"/>
      <c r="KF81" s="51"/>
      <c r="KG81" s="51"/>
      <c r="KH81" s="51"/>
      <c r="KI81" s="51"/>
      <c r="KJ81" s="51"/>
      <c r="KK81" s="51"/>
      <c r="KL81" s="51"/>
      <c r="KM81" s="51"/>
      <c r="KN81" s="51"/>
      <c r="KO81" s="51"/>
      <c r="KP81" s="51"/>
      <c r="KQ81" s="51"/>
      <c r="KR81" s="51"/>
      <c r="KS81" s="51"/>
      <c r="KT81" s="51"/>
      <c r="KU81" s="51"/>
      <c r="KV81" s="51"/>
      <c r="KW81" s="51"/>
      <c r="KX81" s="51"/>
      <c r="KY81" s="51"/>
      <c r="KZ81" s="51"/>
      <c r="LA81" s="51"/>
      <c r="LB81" s="51"/>
      <c r="LC81" s="51"/>
      <c r="LD81" s="51"/>
      <c r="LE81" s="51"/>
      <c r="LF81" s="51"/>
      <c r="LG81" s="51"/>
      <c r="LH81" s="51"/>
      <c r="LI81" s="51"/>
      <c r="LJ81" s="51"/>
      <c r="LK81" s="51"/>
      <c r="LL81" s="51"/>
      <c r="LM81" s="51"/>
      <c r="LN81" s="51"/>
      <c r="LO81" s="51"/>
      <c r="LP81" s="51"/>
      <c r="LQ81" s="51"/>
      <c r="LR81" s="51"/>
      <c r="LS81" s="51"/>
      <c r="LT81" s="51"/>
      <c r="LU81" s="51"/>
      <c r="LV81" s="51"/>
      <c r="LW81" s="51"/>
      <c r="LX81" s="51"/>
      <c r="LY81" s="51"/>
      <c r="LZ81" s="51"/>
      <c r="MA81" s="51"/>
      <c r="MB81" s="51"/>
      <c r="MC81" s="51"/>
      <c r="MD81" s="51"/>
      <c r="ME81" s="51"/>
      <c r="MF81" s="51"/>
      <c r="MG81" s="51"/>
      <c r="MH81" s="51"/>
      <c r="MI81" s="51"/>
      <c r="MJ81" s="51"/>
      <c r="MK81" s="51"/>
      <c r="ML81" s="51"/>
      <c r="MM81" s="51"/>
      <c r="MN81" s="51"/>
      <c r="MO81" s="51"/>
      <c r="MP81" s="51"/>
      <c r="MQ81" s="51"/>
      <c r="MR81" s="51"/>
      <c r="MS81" s="51"/>
      <c r="MT81" s="51"/>
      <c r="MU81" s="51"/>
      <c r="MV81" s="51"/>
      <c r="MW81" s="51"/>
      <c r="MX81" s="51"/>
      <c r="MY81" s="51"/>
      <c r="MZ81" s="51"/>
      <c r="NA81" s="51"/>
      <c r="NB81" s="51"/>
      <c r="NC81" s="51"/>
      <c r="ND81" s="51"/>
      <c r="NE81" s="51"/>
      <c r="NF81" s="51"/>
      <c r="NG81" s="51"/>
      <c r="NH81" s="51"/>
      <c r="NI81" s="51"/>
      <c r="NJ81" s="51"/>
      <c r="NK81" s="51"/>
      <c r="NL81" s="51"/>
      <c r="NM81" s="51"/>
      <c r="NN81" s="51"/>
      <c r="NO81" s="51"/>
      <c r="NP81" s="51"/>
      <c r="NQ81" s="51"/>
      <c r="NR81" s="51"/>
      <c r="NS81" s="51"/>
      <c r="NT81" s="51"/>
      <c r="NU81" s="51"/>
      <c r="NV81" s="51"/>
      <c r="NW81" s="51"/>
      <c r="NX81" s="51"/>
      <c r="NY81" s="51"/>
      <c r="NZ81" s="51"/>
      <c r="OA81" s="51"/>
      <c r="OB81" s="51"/>
      <c r="OC81" s="51"/>
      <c r="OD81" s="51"/>
      <c r="OE81" s="51"/>
      <c r="OF81" s="51"/>
      <c r="OG81" s="51"/>
      <c r="OH81" s="51"/>
      <c r="OI81" s="51"/>
      <c r="OJ81" s="51"/>
      <c r="OK81" s="51"/>
      <c r="OL81" s="51"/>
      <c r="OM81" s="51"/>
      <c r="ON81" s="51"/>
      <c r="OO81" s="51"/>
      <c r="OP81" s="51"/>
      <c r="OQ81" s="51"/>
      <c r="OR81" s="51"/>
      <c r="OS81" s="51"/>
      <c r="OT81" s="51"/>
      <c r="OU81" s="51"/>
      <c r="OV81" s="51"/>
      <c r="OW81" s="51"/>
      <c r="OX81" s="51"/>
      <c r="OY81" s="51"/>
      <c r="OZ81" s="51"/>
      <c r="PA81" s="51"/>
      <c r="PB81" s="51"/>
      <c r="PC81" s="51"/>
      <c r="PD81" s="51"/>
      <c r="PE81" s="51"/>
      <c r="PF81" s="51"/>
      <c r="PG81" s="51"/>
      <c r="PH81" s="51"/>
      <c r="PI81" s="51"/>
      <c r="PJ81" s="51"/>
      <c r="PK81" s="51"/>
      <c r="PL81" s="51"/>
      <c r="PM81" s="51"/>
      <c r="PN81" s="51"/>
      <c r="PO81" s="51"/>
      <c r="PP81" s="51"/>
      <c r="PQ81" s="51"/>
      <c r="PR81" s="51"/>
      <c r="PS81" s="51"/>
      <c r="PT81" s="51"/>
      <c r="PU81" s="51"/>
      <c r="PV81" s="51"/>
      <c r="PW81" s="51"/>
      <c r="PX81" s="51"/>
      <c r="PY81" s="51"/>
      <c r="PZ81" s="51"/>
      <c r="QA81" s="51"/>
      <c r="QB81" s="51"/>
      <c r="QC81" s="51"/>
      <c r="QD81" s="51"/>
      <c r="QE81" s="51"/>
      <c r="QF81" s="51"/>
      <c r="QG81" s="51"/>
      <c r="QH81" s="51"/>
      <c r="QI81" s="51"/>
      <c r="QJ81" s="51"/>
      <c r="QK81" s="51"/>
      <c r="QL81" s="51"/>
      <c r="QM81" s="51"/>
      <c r="QN81" s="51"/>
      <c r="QO81" s="51"/>
      <c r="QP81" s="51"/>
      <c r="QQ81" s="51"/>
      <c r="QR81" s="51"/>
      <c r="QS81" s="51"/>
      <c r="QT81" s="51"/>
      <c r="QU81" s="51"/>
      <c r="QV81" s="51"/>
      <c r="QW81" s="51"/>
      <c r="QX81" s="51"/>
      <c r="QY81" s="51"/>
      <c r="QZ81" s="51"/>
      <c r="RA81" s="51"/>
      <c r="RB81" s="51"/>
      <c r="RC81" s="51"/>
      <c r="RD81" s="51"/>
      <c r="RE81" s="51"/>
      <c r="RF81" s="51"/>
      <c r="RG81" s="51"/>
      <c r="RH81" s="51"/>
      <c r="RI81" s="51"/>
      <c r="RJ81" s="51"/>
      <c r="RK81" s="51"/>
      <c r="RL81" s="51"/>
      <c r="RM81" s="51"/>
      <c r="RN81" s="51"/>
      <c r="RO81" s="51"/>
      <c r="RP81" s="51"/>
      <c r="RQ81" s="51"/>
      <c r="RR81" s="51"/>
      <c r="RS81" s="51"/>
      <c r="RT81" s="51"/>
      <c r="RU81" s="51"/>
      <c r="RV81" s="51"/>
      <c r="RW81" s="51"/>
      <c r="RX81" s="51"/>
      <c r="RY81" s="51"/>
      <c r="RZ81" s="51"/>
      <c r="SA81" s="51"/>
      <c r="SB81" s="51"/>
      <c r="SC81" s="51"/>
      <c r="SD81" s="51"/>
      <c r="SE81" s="51"/>
      <c r="SF81" s="51"/>
      <c r="SG81" s="51"/>
      <c r="SH81" s="51"/>
      <c r="SI81" s="51"/>
      <c r="SJ81" s="51"/>
      <c r="SK81" s="51"/>
      <c r="SL81" s="51"/>
      <c r="SM81" s="51"/>
      <c r="SN81" s="51"/>
      <c r="SO81" s="51"/>
      <c r="SP81" s="51"/>
      <c r="SQ81" s="51"/>
      <c r="SR81" s="51"/>
      <c r="SS81" s="51"/>
      <c r="ST81" s="51"/>
      <c r="SU81" s="51"/>
      <c r="SV81" s="51"/>
      <c r="SW81" s="51"/>
      <c r="SX81" s="51"/>
      <c r="SY81" s="51"/>
      <c r="SZ81" s="51"/>
      <c r="TA81" s="51"/>
      <c r="TB81" s="51"/>
      <c r="TC81" s="51"/>
      <c r="TD81" s="51"/>
      <c r="TE81" s="51"/>
      <c r="TF81" s="51"/>
      <c r="TG81" s="51"/>
      <c r="TH81" s="51"/>
      <c r="TI81" s="51"/>
      <c r="TJ81" s="51"/>
      <c r="TK81" s="51"/>
      <c r="TL81" s="51"/>
      <c r="TM81" s="51"/>
      <c r="TN81" s="51"/>
      <c r="TO81" s="51"/>
      <c r="TP81" s="51"/>
      <c r="TQ81" s="51"/>
      <c r="TR81" s="51"/>
      <c r="TS81" s="51"/>
      <c r="TT81" s="51"/>
      <c r="TU81" s="51"/>
      <c r="TV81" s="51"/>
      <c r="TW81" s="51"/>
      <c r="TX81" s="51"/>
      <c r="TY81" s="51"/>
      <c r="TZ81" s="51"/>
      <c r="UA81" s="51"/>
      <c r="UB81" s="51"/>
      <c r="UC81" s="51"/>
      <c r="UD81" s="51"/>
      <c r="UE81" s="51"/>
      <c r="UF81" s="51"/>
      <c r="UG81" s="51"/>
      <c r="UH81" s="51"/>
      <c r="UI81" s="51"/>
      <c r="UJ81" s="51"/>
      <c r="UK81" s="51"/>
      <c r="UL81" s="51"/>
      <c r="UM81" s="51"/>
      <c r="UN81" s="51"/>
      <c r="UO81" s="51"/>
      <c r="UP81" s="51"/>
      <c r="UQ81" s="51"/>
      <c r="UR81" s="51"/>
      <c r="US81" s="51"/>
      <c r="UT81" s="51"/>
      <c r="UU81" s="51"/>
      <c r="UV81" s="51"/>
      <c r="UW81" s="51"/>
      <c r="UX81" s="51"/>
      <c r="UY81" s="51"/>
      <c r="UZ81" s="51"/>
      <c r="VA81" s="51"/>
      <c r="VB81" s="51"/>
      <c r="VC81" s="51"/>
      <c r="VD81" s="51"/>
      <c r="VE81" s="51"/>
      <c r="VF81" s="51"/>
      <c r="VG81" s="51"/>
      <c r="VH81" s="51"/>
      <c r="VI81" s="51"/>
      <c r="VJ81" s="51"/>
      <c r="VK81" s="51"/>
      <c r="VL81" s="51"/>
      <c r="VM81" s="51"/>
      <c r="VN81" s="51"/>
      <c r="VO81" s="51"/>
      <c r="VP81" s="51"/>
      <c r="VQ81" s="51"/>
      <c r="VR81" s="51"/>
      <c r="VS81" s="51"/>
      <c r="VT81" s="51"/>
      <c r="VU81" s="51"/>
      <c r="VV81" s="51"/>
      <c r="VW81" s="51"/>
      <c r="VX81" s="51"/>
      <c r="VY81" s="51"/>
      <c r="VZ81" s="51"/>
      <c r="WA81" s="51"/>
      <c r="WB81" s="51"/>
      <c r="WC81" s="51"/>
      <c r="WD81" s="51"/>
      <c r="WE81" s="51"/>
      <c r="WF81" s="51"/>
      <c r="WG81" s="51"/>
      <c r="WH81" s="51"/>
      <c r="WI81" s="51"/>
      <c r="WJ81" s="51"/>
      <c r="WK81" s="51"/>
      <c r="WL81" s="51"/>
      <c r="WM81" s="51"/>
      <c r="WN81" s="51"/>
      <c r="WO81" s="51"/>
      <c r="WP81" s="51"/>
      <c r="WQ81" s="51"/>
      <c r="WR81" s="51"/>
      <c r="WS81" s="51"/>
      <c r="WT81" s="51"/>
      <c r="WU81" s="51"/>
      <c r="WV81" s="51"/>
      <c r="WW81" s="51"/>
      <c r="WX81" s="51"/>
      <c r="WY81" s="51"/>
      <c r="WZ81" s="51"/>
      <c r="XA81" s="51"/>
      <c r="XB81" s="51"/>
      <c r="XC81" s="51"/>
      <c r="XD81" s="51"/>
      <c r="XE81" s="51"/>
      <c r="XF81" s="51"/>
      <c r="XG81" s="51"/>
      <c r="XH81" s="51"/>
      <c r="XI81" s="51"/>
      <c r="XJ81" s="51"/>
      <c r="XK81" s="51"/>
      <c r="XL81" s="51"/>
      <c r="XM81" s="51"/>
      <c r="XN81" s="51"/>
      <c r="XO81" s="51"/>
      <c r="XP81" s="51"/>
      <c r="XQ81" s="51"/>
      <c r="XR81" s="51"/>
      <c r="XS81" s="51"/>
      <c r="XT81" s="51"/>
      <c r="XU81" s="51"/>
      <c r="XV81" s="51"/>
      <c r="XW81" s="51"/>
      <c r="XX81" s="51"/>
      <c r="XY81" s="51"/>
      <c r="XZ81" s="51"/>
      <c r="YA81" s="51"/>
      <c r="YB81" s="51"/>
      <c r="YC81" s="51"/>
      <c r="YD81" s="51"/>
      <c r="YE81" s="51"/>
      <c r="YF81" s="51"/>
      <c r="YG81" s="51"/>
      <c r="YH81" s="51"/>
      <c r="YI81" s="51"/>
      <c r="YJ81" s="51"/>
      <c r="YK81" s="51"/>
      <c r="YL81" s="51"/>
      <c r="YM81" s="51"/>
      <c r="YN81" s="51"/>
      <c r="YO81" s="51"/>
      <c r="YP81" s="51"/>
      <c r="YQ81" s="51"/>
      <c r="YR81" s="51"/>
      <c r="YS81" s="51"/>
      <c r="YT81" s="51"/>
      <c r="YU81" s="51"/>
      <c r="YV81" s="51"/>
      <c r="YW81" s="51"/>
      <c r="YX81" s="51"/>
      <c r="YY81" s="51"/>
      <c r="YZ81" s="51"/>
      <c r="ZA81" s="51"/>
      <c r="ZB81" s="51"/>
      <c r="ZC81" s="51"/>
      <c r="ZD81" s="51"/>
      <c r="ZE81" s="51"/>
      <c r="ZF81" s="51"/>
      <c r="ZG81" s="51"/>
      <c r="ZH81" s="51"/>
      <c r="ZI81" s="51"/>
      <c r="ZJ81" s="51"/>
      <c r="ZK81" s="51"/>
      <c r="ZL81" s="51"/>
      <c r="ZM81" s="51"/>
      <c r="ZN81" s="51"/>
      <c r="ZO81" s="51"/>
      <c r="ZP81" s="51"/>
      <c r="ZQ81" s="51"/>
      <c r="ZR81" s="51"/>
      <c r="ZS81" s="51"/>
      <c r="ZT81" s="51"/>
      <c r="ZU81" s="51"/>
      <c r="ZV81" s="51"/>
      <c r="ZW81" s="51"/>
      <c r="ZX81" s="51"/>
      <c r="ZY81" s="51"/>
      <c r="ZZ81" s="51"/>
      <c r="AAA81" s="51"/>
      <c r="AAB81" s="51"/>
      <c r="AAC81" s="51"/>
      <c r="AAD81" s="51"/>
      <c r="AAE81" s="51"/>
      <c r="AAF81" s="51"/>
      <c r="AAG81" s="51"/>
      <c r="AAH81" s="51"/>
      <c r="AAI81" s="51"/>
      <c r="AAJ81" s="51"/>
      <c r="AAK81" s="51"/>
      <c r="AAL81" s="51"/>
      <c r="AAM81" s="51"/>
      <c r="AAN81" s="51"/>
      <c r="AAO81" s="51"/>
      <c r="AAP81" s="51"/>
      <c r="AAQ81" s="51"/>
      <c r="AAR81" s="51"/>
      <c r="AAS81" s="51"/>
      <c r="AAT81" s="51"/>
      <c r="AAU81" s="51"/>
      <c r="AAV81" s="51"/>
      <c r="AAW81" s="51"/>
      <c r="AAX81" s="51"/>
      <c r="AAY81" s="51"/>
      <c r="AAZ81" s="51"/>
      <c r="ABA81" s="51"/>
      <c r="ABB81" s="51"/>
      <c r="ABC81" s="51"/>
      <c r="ABD81" s="51"/>
      <c r="ABE81" s="51"/>
      <c r="ABF81" s="51"/>
      <c r="ABG81" s="51"/>
      <c r="ABH81" s="51"/>
      <c r="ABI81" s="51"/>
      <c r="ABJ81" s="51"/>
      <c r="ABK81" s="51"/>
      <c r="ABL81" s="51"/>
      <c r="ABM81" s="51"/>
      <c r="ABN81" s="51"/>
      <c r="ABO81" s="51"/>
      <c r="ABP81" s="51"/>
      <c r="ABQ81" s="51"/>
      <c r="ABR81" s="51"/>
      <c r="ABS81" s="51"/>
      <c r="ABT81" s="51"/>
      <c r="ABU81" s="51"/>
      <c r="ABV81" s="51"/>
      <c r="ABW81" s="51"/>
      <c r="ABX81" s="51"/>
      <c r="ABY81" s="51"/>
      <c r="ABZ81" s="51"/>
      <c r="ACA81" s="51"/>
      <c r="ACB81" s="51"/>
      <c r="ACC81" s="51"/>
      <c r="ACD81" s="51"/>
      <c r="ACE81" s="51"/>
      <c r="ACF81" s="51"/>
      <c r="ACG81" s="51"/>
      <c r="ACH81" s="51"/>
      <c r="ACI81" s="51"/>
      <c r="ACJ81" s="51"/>
      <c r="ACK81" s="51"/>
      <c r="ACL81" s="51"/>
      <c r="ACM81" s="51"/>
      <c r="ACN81" s="51"/>
      <c r="ACO81" s="51"/>
      <c r="ACP81" s="51"/>
      <c r="ACQ81" s="51"/>
      <c r="ACR81" s="51"/>
      <c r="ACS81" s="51"/>
      <c r="ACT81" s="51"/>
      <c r="ACU81" s="51"/>
      <c r="ACV81" s="51"/>
      <c r="ACW81" s="51"/>
      <c r="ACX81" s="51"/>
      <c r="ACY81" s="51"/>
      <c r="ACZ81" s="51"/>
      <c r="ADA81" s="51"/>
      <c r="ADB81" s="51"/>
      <c r="ADC81" s="51"/>
      <c r="ADD81" s="51"/>
      <c r="ADE81" s="51"/>
      <c r="ADF81" s="51"/>
      <c r="ADG81" s="51"/>
      <c r="ADH81" s="51"/>
      <c r="ADI81" s="51"/>
      <c r="ADJ81" s="51"/>
      <c r="ADK81" s="51"/>
      <c r="ADL81" s="51"/>
      <c r="ADM81" s="51"/>
      <c r="ADN81" s="51"/>
      <c r="ADO81" s="51"/>
      <c r="ADP81" s="51"/>
      <c r="ADQ81" s="51"/>
      <c r="ADR81" s="51"/>
      <c r="ADS81" s="51"/>
      <c r="ADT81" s="51"/>
      <c r="ADU81" s="51"/>
      <c r="ADV81" s="51"/>
      <c r="ADW81" s="51"/>
      <c r="ADX81" s="51"/>
      <c r="ADY81" s="51"/>
      <c r="ADZ81" s="51"/>
      <c r="AEA81" s="51"/>
      <c r="AEB81" s="51"/>
      <c r="AEC81" s="51"/>
      <c r="AED81" s="51"/>
      <c r="AEE81" s="51"/>
      <c r="AEF81" s="51"/>
      <c r="AEG81" s="51"/>
      <c r="AEH81" s="51"/>
      <c r="AEI81" s="51"/>
      <c r="AEJ81" s="51"/>
      <c r="AEK81" s="51"/>
      <c r="AEL81" s="51"/>
      <c r="AEM81" s="51"/>
      <c r="AEN81" s="51"/>
      <c r="AEO81" s="51"/>
      <c r="AEP81" s="51"/>
      <c r="AEQ81" s="51"/>
      <c r="AER81" s="51"/>
      <c r="AES81" s="51"/>
      <c r="AET81" s="51"/>
      <c r="AEU81" s="51"/>
      <c r="AEV81" s="51"/>
      <c r="AEW81" s="51"/>
      <c r="AEX81" s="51"/>
      <c r="AEY81" s="51"/>
      <c r="AEZ81" s="51"/>
      <c r="AFA81" s="51"/>
      <c r="AFB81" s="51"/>
      <c r="AFC81" s="51"/>
      <c r="AFD81" s="51"/>
      <c r="AFE81" s="51"/>
      <c r="AFF81" s="51"/>
      <c r="AFG81" s="51"/>
      <c r="AFH81" s="51"/>
      <c r="AFI81" s="51"/>
      <c r="AFJ81" s="51"/>
      <c r="AFK81" s="51"/>
      <c r="AFL81" s="51"/>
      <c r="AFM81" s="51"/>
      <c r="AFN81" s="51"/>
      <c r="AFO81" s="51"/>
      <c r="AFP81" s="51"/>
      <c r="AFQ81" s="51"/>
      <c r="AFR81" s="51"/>
      <c r="AFS81" s="51"/>
      <c r="AFT81" s="51"/>
      <c r="AFU81" s="51"/>
      <c r="AFV81" s="51"/>
      <c r="AFW81" s="51"/>
      <c r="AFX81" s="51"/>
      <c r="AFY81" s="51"/>
      <c r="AFZ81" s="51"/>
      <c r="AGA81" s="51"/>
      <c r="AGB81" s="51"/>
      <c r="AGC81" s="51"/>
      <c r="AGD81" s="51"/>
      <c r="AGE81" s="51"/>
      <c r="AGF81" s="51"/>
      <c r="AGG81" s="51"/>
      <c r="AGH81" s="51"/>
      <c r="AGI81" s="51"/>
      <c r="AGJ81" s="51"/>
      <c r="AGK81" s="51"/>
      <c r="AGL81" s="51"/>
      <c r="AGM81" s="51"/>
      <c r="AGN81" s="51"/>
      <c r="AGO81" s="51"/>
      <c r="AGP81" s="51"/>
      <c r="AGQ81" s="51"/>
      <c r="AGR81" s="51"/>
      <c r="AGS81" s="51"/>
      <c r="AGT81" s="51"/>
      <c r="AGU81" s="51"/>
      <c r="AGV81" s="51"/>
      <c r="AGW81" s="51"/>
      <c r="AGX81" s="51"/>
      <c r="AGY81" s="51"/>
      <c r="AGZ81" s="51"/>
      <c r="AHA81" s="51"/>
      <c r="AHB81" s="51"/>
      <c r="AHC81" s="51"/>
      <c r="AHD81" s="51"/>
      <c r="AHE81" s="51"/>
      <c r="AHF81" s="51"/>
      <c r="AHG81" s="51"/>
      <c r="AHH81" s="51"/>
      <c r="AHI81" s="51"/>
      <c r="AHJ81" s="51"/>
      <c r="AHK81" s="51"/>
      <c r="AHL81" s="51"/>
      <c r="AHM81" s="51"/>
      <c r="AHN81" s="51"/>
      <c r="AHO81" s="51"/>
      <c r="AHP81" s="51"/>
      <c r="AHQ81" s="51"/>
      <c r="AHR81" s="51"/>
      <c r="AHS81" s="51"/>
      <c r="AHT81" s="51"/>
      <c r="AHU81" s="51"/>
      <c r="AHV81" s="51"/>
      <c r="AHW81" s="51"/>
      <c r="AHX81" s="51"/>
      <c r="AHY81" s="51"/>
      <c r="AHZ81" s="51"/>
      <c r="AIA81" s="51"/>
      <c r="AIB81" s="51"/>
      <c r="AIC81" s="51"/>
      <c r="AID81" s="51"/>
      <c r="AIE81" s="51"/>
      <c r="AIF81" s="51"/>
      <c r="AIG81" s="51"/>
      <c r="AIH81" s="51"/>
      <c r="AII81" s="51"/>
      <c r="AIJ81" s="51"/>
      <c r="AIK81" s="51"/>
      <c r="AIL81" s="51"/>
      <c r="AIM81" s="51"/>
      <c r="AIN81" s="51"/>
      <c r="AIO81" s="51"/>
      <c r="AIP81" s="51"/>
      <c r="AIQ81" s="51"/>
      <c r="AIR81" s="51"/>
      <c r="AIS81" s="51"/>
      <c r="AIT81" s="51"/>
      <c r="AIU81" s="51"/>
      <c r="AIV81" s="51"/>
      <c r="AIW81" s="51"/>
      <c r="AIX81" s="51"/>
      <c r="AIY81" s="51"/>
      <c r="AIZ81" s="51"/>
      <c r="AJA81" s="51"/>
      <c r="AJB81" s="51"/>
      <c r="AJC81" s="51"/>
      <c r="AJD81" s="51"/>
      <c r="AJE81" s="51"/>
      <c r="AJF81" s="51"/>
      <c r="AJG81" s="51"/>
      <c r="AJH81" s="51"/>
      <c r="AJI81" s="51"/>
      <c r="AJJ81" s="51"/>
      <c r="AJK81" s="51"/>
      <c r="AJL81" s="51"/>
      <c r="AJM81" s="51"/>
      <c r="AJN81" s="51"/>
      <c r="AJO81" s="51"/>
      <c r="AJP81" s="51"/>
      <c r="AJQ81" s="51"/>
      <c r="AJR81" s="51"/>
      <c r="AJS81" s="51"/>
      <c r="AJT81" s="51"/>
      <c r="AJU81" s="51"/>
      <c r="AJV81" s="51"/>
      <c r="AJW81" s="51"/>
      <c r="AJX81" s="51"/>
      <c r="AJY81" s="51"/>
      <c r="AJZ81" s="51"/>
      <c r="AKA81" s="51"/>
      <c r="AKB81" s="51"/>
      <c r="AKC81" s="51"/>
      <c r="AKD81" s="51"/>
      <c r="AKE81" s="51"/>
      <c r="AKF81" s="51"/>
      <c r="AKG81" s="51"/>
      <c r="AKH81" s="51"/>
      <c r="AKI81" s="51"/>
      <c r="AKJ81" s="51"/>
      <c r="AKK81" s="51"/>
      <c r="AKL81" s="51"/>
      <c r="AKM81" s="51"/>
      <c r="AKN81" s="51"/>
      <c r="AKO81" s="51"/>
      <c r="AKP81" s="51"/>
      <c r="AKQ81" s="51"/>
      <c r="AKR81" s="51"/>
      <c r="AKS81" s="51"/>
      <c r="AKT81" s="51"/>
      <c r="AKU81" s="51"/>
      <c r="AKV81" s="51"/>
      <c r="AKW81" s="51"/>
      <c r="AKX81" s="51"/>
      <c r="AKY81" s="51"/>
      <c r="AKZ81" s="51"/>
      <c r="ALA81" s="51"/>
      <c r="ALB81" s="51"/>
      <c r="ALC81" s="51"/>
      <c r="ALD81" s="51"/>
      <c r="ALE81" s="51"/>
      <c r="ALF81" s="51"/>
      <c r="ALG81" s="51"/>
      <c r="ALH81" s="51"/>
      <c r="ALI81" s="51"/>
      <c r="ALJ81" s="51"/>
      <c r="ALK81" s="51"/>
      <c r="ALL81" s="51"/>
      <c r="ALM81" s="51"/>
      <c r="ALN81" s="51"/>
      <c r="ALO81" s="51"/>
      <c r="ALP81" s="51"/>
      <c r="ALQ81" s="51"/>
      <c r="ALR81" s="51"/>
      <c r="ALS81" s="51"/>
      <c r="ALT81" s="51"/>
      <c r="ALU81" s="51"/>
      <c r="ALV81" s="51"/>
      <c r="ALW81" s="51"/>
      <c r="ALX81" s="51"/>
      <c r="ALY81" s="51"/>
      <c r="ALZ81" s="51"/>
      <c r="AMA81" s="51"/>
      <c r="AMB81" s="51"/>
      <c r="AMC81" s="51"/>
      <c r="AMD81" s="51"/>
      <c r="AME81" s="51"/>
      <c r="AMF81" s="51"/>
      <c r="AMG81" s="51"/>
      <c r="AMH81" s="51"/>
      <c r="AMI81" s="51"/>
      <c r="AMJ81" s="51"/>
      <c r="AMK81" s="51"/>
      <c r="AML81" s="51"/>
      <c r="AMM81" s="51"/>
    </row>
    <row r="82" spans="1:1027" s="47" customFormat="1" ht="16" x14ac:dyDescent="0.2">
      <c r="A82" s="18">
        <v>3</v>
      </c>
      <c r="B82" s="18" t="s">
        <v>638</v>
      </c>
      <c r="C82" s="18" t="s">
        <v>639</v>
      </c>
      <c r="D82" s="18">
        <v>195</v>
      </c>
      <c r="E82" s="48" t="s">
        <v>507</v>
      </c>
      <c r="F82" s="48" t="s">
        <v>507</v>
      </c>
      <c r="G82" s="49" t="s">
        <v>508</v>
      </c>
      <c r="H82" s="48" t="s">
        <v>507</v>
      </c>
      <c r="I82" s="48" t="s">
        <v>507</v>
      </c>
      <c r="J82" s="48" t="s">
        <v>507</v>
      </c>
      <c r="K82" s="21" t="s">
        <v>509</v>
      </c>
      <c r="L82" s="18"/>
      <c r="M82" s="1" t="s">
        <v>510</v>
      </c>
      <c r="N82" s="1"/>
      <c r="O82" s="18"/>
      <c r="P82" s="18"/>
      <c r="Q82" s="18"/>
      <c r="R82" s="18"/>
      <c r="S82" s="13"/>
      <c r="T82" s="1"/>
      <c r="U82" s="1"/>
      <c r="V82" s="1"/>
      <c r="W82" s="1"/>
      <c r="X82" s="1"/>
      <c r="Y82" s="1"/>
      <c r="Z82" s="1"/>
      <c r="AA82" s="30"/>
      <c r="AB82" s="30"/>
      <c r="AC82" s="1"/>
      <c r="AD82" s="1"/>
      <c r="AE82" s="1"/>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3"/>
      <c r="EM82" s="33"/>
      <c r="EN82" s="33"/>
      <c r="EO82" s="33"/>
      <c r="EP82" s="33"/>
      <c r="EQ82" s="33"/>
      <c r="ER82" s="33"/>
      <c r="ES82" s="33"/>
      <c r="ET82" s="33"/>
      <c r="EU82" s="33"/>
      <c r="EV82" s="33"/>
      <c r="EW82" s="33"/>
      <c r="EX82" s="33"/>
      <c r="EY82" s="33"/>
      <c r="EZ82" s="33"/>
      <c r="FA82" s="33"/>
      <c r="FB82" s="33"/>
      <c r="FC82" s="33"/>
      <c r="FD82" s="33"/>
      <c r="FE82" s="33"/>
      <c r="FF82" s="33"/>
      <c r="FG82" s="33"/>
      <c r="FH82" s="33"/>
      <c r="FI82" s="33"/>
      <c r="FJ82" s="33"/>
      <c r="FK82" s="33"/>
      <c r="FL82" s="33"/>
      <c r="FM82" s="33"/>
      <c r="FN82" s="33"/>
      <c r="FO82" s="33"/>
      <c r="FP82" s="33"/>
      <c r="FQ82" s="33"/>
      <c r="FR82" s="33"/>
      <c r="FS82" s="33"/>
      <c r="FT82" s="33"/>
      <c r="FU82" s="33"/>
      <c r="FV82" s="33"/>
      <c r="FW82" s="33"/>
      <c r="FX82" s="33"/>
      <c r="FY82" s="33"/>
      <c r="FZ82" s="33"/>
      <c r="GA82" s="33"/>
      <c r="GB82" s="33"/>
      <c r="GC82" s="33"/>
      <c r="GD82" s="33"/>
      <c r="GE82" s="33"/>
      <c r="GF82" s="33"/>
      <c r="GG82" s="33"/>
      <c r="GH82" s="33"/>
      <c r="GI82" s="33"/>
      <c r="GJ82" s="33"/>
      <c r="GK82" s="33"/>
      <c r="GL82" s="33"/>
      <c r="GM82" s="33"/>
      <c r="GN82" s="33"/>
      <c r="GO82" s="33"/>
      <c r="GP82" s="33"/>
      <c r="GQ82" s="33"/>
      <c r="GR82" s="33"/>
      <c r="GS82" s="33"/>
      <c r="GT82" s="33"/>
      <c r="GU82" s="33"/>
      <c r="GV82" s="33"/>
      <c r="GW82" s="33"/>
      <c r="GX82" s="33"/>
      <c r="GY82" s="33"/>
      <c r="GZ82" s="33"/>
      <c r="HA82" s="33"/>
      <c r="HB82" s="33"/>
      <c r="HC82" s="33"/>
      <c r="HD82" s="33"/>
      <c r="HE82" s="33"/>
      <c r="HF82" s="33"/>
      <c r="HG82" s="33"/>
      <c r="HH82" s="33"/>
      <c r="HI82" s="33"/>
      <c r="HJ82" s="33"/>
      <c r="HK82" s="33"/>
      <c r="HL82" s="33"/>
      <c r="HM82" s="33"/>
      <c r="HN82" s="33"/>
      <c r="HO82" s="33"/>
      <c r="HP82" s="33"/>
      <c r="HQ82" s="33"/>
      <c r="HR82" s="33"/>
      <c r="HS82" s="33"/>
      <c r="HT82" s="33"/>
      <c r="HU82" s="33"/>
      <c r="HV82" s="33"/>
      <c r="HW82" s="33"/>
      <c r="HX82" s="33"/>
      <c r="HY82" s="33"/>
      <c r="HZ82" s="33"/>
      <c r="IA82" s="33"/>
      <c r="IB82" s="33"/>
      <c r="IC82" s="33"/>
      <c r="ID82" s="33"/>
      <c r="IE82" s="33"/>
      <c r="IF82" s="33"/>
      <c r="IG82" s="33"/>
      <c r="IH82" s="33"/>
      <c r="II82" s="33"/>
      <c r="IJ82" s="33"/>
      <c r="IK82" s="33"/>
      <c r="IL82" s="33"/>
      <c r="IM82" s="33"/>
      <c r="IN82" s="33"/>
      <c r="IO82" s="33"/>
      <c r="IP82" s="33"/>
      <c r="IQ82" s="33"/>
      <c r="IR82" s="33"/>
      <c r="IS82" s="33"/>
      <c r="IT82" s="33"/>
      <c r="IU82" s="33"/>
      <c r="IV82" s="33"/>
      <c r="IW82" s="33"/>
      <c r="IX82" s="33"/>
      <c r="IY82" s="33"/>
      <c r="IZ82" s="33"/>
      <c r="JA82" s="33"/>
      <c r="JB82" s="33"/>
      <c r="JC82" s="33"/>
      <c r="JD82" s="33"/>
      <c r="JE82" s="33"/>
      <c r="JF82" s="33"/>
      <c r="JG82" s="33"/>
      <c r="JH82" s="33"/>
      <c r="JI82" s="33"/>
      <c r="JJ82" s="33"/>
      <c r="JK82" s="33"/>
      <c r="JL82" s="33"/>
      <c r="JM82" s="33"/>
      <c r="JN82" s="33"/>
      <c r="JO82" s="33"/>
      <c r="JP82" s="33"/>
      <c r="JQ82" s="33"/>
      <c r="JR82" s="33"/>
      <c r="JS82" s="33"/>
      <c r="JT82" s="33"/>
      <c r="JU82" s="33"/>
      <c r="JV82" s="33"/>
      <c r="JW82" s="33"/>
      <c r="JX82" s="33"/>
      <c r="JY82" s="33"/>
      <c r="JZ82" s="33"/>
      <c r="KA82" s="33"/>
      <c r="KB82" s="33"/>
      <c r="KC82" s="33"/>
      <c r="KD82" s="33"/>
      <c r="KE82" s="33"/>
      <c r="KF82" s="33"/>
      <c r="KG82" s="33"/>
      <c r="KH82" s="33"/>
      <c r="KI82" s="33"/>
      <c r="KJ82" s="33"/>
      <c r="KK82" s="33"/>
      <c r="KL82" s="33"/>
      <c r="KM82" s="33"/>
      <c r="KN82" s="33"/>
      <c r="KO82" s="33"/>
      <c r="KP82" s="33"/>
      <c r="KQ82" s="33"/>
      <c r="KR82" s="33"/>
      <c r="KS82" s="33"/>
      <c r="KT82" s="33"/>
      <c r="KU82" s="33"/>
      <c r="KV82" s="33"/>
      <c r="KW82" s="33"/>
      <c r="KX82" s="33"/>
      <c r="KY82" s="33"/>
      <c r="KZ82" s="33"/>
      <c r="LA82" s="33"/>
      <c r="LB82" s="33"/>
      <c r="LC82" s="33"/>
      <c r="LD82" s="33"/>
      <c r="LE82" s="33"/>
      <c r="LF82" s="33"/>
      <c r="LG82" s="33"/>
      <c r="LH82" s="33"/>
      <c r="LI82" s="33"/>
      <c r="LJ82" s="33"/>
      <c r="LK82" s="33"/>
      <c r="LL82" s="33"/>
      <c r="LM82" s="33"/>
      <c r="LN82" s="33"/>
      <c r="LO82" s="33"/>
      <c r="LP82" s="33"/>
      <c r="LQ82" s="33"/>
      <c r="LR82" s="33"/>
      <c r="LS82" s="33"/>
      <c r="LT82" s="33"/>
      <c r="LU82" s="33"/>
      <c r="LV82" s="33"/>
      <c r="LW82" s="33"/>
      <c r="LX82" s="33"/>
      <c r="LY82" s="33"/>
      <c r="LZ82" s="33"/>
      <c r="MA82" s="33"/>
      <c r="MB82" s="33"/>
      <c r="MC82" s="33"/>
      <c r="MD82" s="33"/>
      <c r="ME82" s="33"/>
      <c r="MF82" s="33"/>
      <c r="MG82" s="33"/>
      <c r="MH82" s="33"/>
      <c r="MI82" s="33"/>
      <c r="MJ82" s="33"/>
      <c r="MK82" s="33"/>
      <c r="ML82" s="33"/>
      <c r="MM82" s="33"/>
      <c r="MN82" s="33"/>
      <c r="MO82" s="33"/>
      <c r="MP82" s="33"/>
      <c r="MQ82" s="33"/>
      <c r="MR82" s="33"/>
      <c r="MS82" s="33"/>
      <c r="MT82" s="33"/>
      <c r="MU82" s="33"/>
      <c r="MV82" s="33"/>
      <c r="MW82" s="33"/>
      <c r="MX82" s="33"/>
      <c r="MY82" s="33"/>
      <c r="MZ82" s="33"/>
      <c r="NA82" s="33"/>
      <c r="NB82" s="33"/>
      <c r="NC82" s="33"/>
      <c r="ND82" s="33"/>
      <c r="NE82" s="33"/>
      <c r="NF82" s="33"/>
      <c r="NG82" s="33"/>
      <c r="NH82" s="33"/>
      <c r="NI82" s="33"/>
      <c r="NJ82" s="33"/>
      <c r="NK82" s="33"/>
      <c r="NL82" s="33"/>
      <c r="NM82" s="33"/>
      <c r="NN82" s="33"/>
      <c r="NO82" s="33"/>
      <c r="NP82" s="33"/>
      <c r="NQ82" s="33"/>
      <c r="NR82" s="33"/>
      <c r="NS82" s="33"/>
      <c r="NT82" s="33"/>
      <c r="NU82" s="33"/>
      <c r="NV82" s="33"/>
      <c r="NW82" s="33"/>
      <c r="NX82" s="33"/>
      <c r="NY82" s="33"/>
      <c r="NZ82" s="33"/>
      <c r="OA82" s="33"/>
      <c r="OB82" s="33"/>
      <c r="OC82" s="33"/>
      <c r="OD82" s="33"/>
      <c r="OE82" s="33"/>
      <c r="OF82" s="33"/>
      <c r="OG82" s="33"/>
      <c r="OH82" s="33"/>
      <c r="OI82" s="33"/>
      <c r="OJ82" s="33"/>
      <c r="OK82" s="33"/>
      <c r="OL82" s="33"/>
      <c r="OM82" s="33"/>
      <c r="ON82" s="33"/>
      <c r="OO82" s="33"/>
      <c r="OP82" s="33"/>
      <c r="OQ82" s="33"/>
      <c r="OR82" s="33"/>
      <c r="OS82" s="33"/>
      <c r="OT82" s="33"/>
      <c r="OU82" s="33"/>
      <c r="OV82" s="33"/>
      <c r="OW82" s="33"/>
      <c r="OX82" s="33"/>
      <c r="OY82" s="33"/>
      <c r="OZ82" s="33"/>
      <c r="PA82" s="33"/>
      <c r="PB82" s="33"/>
      <c r="PC82" s="33"/>
      <c r="PD82" s="33"/>
      <c r="PE82" s="33"/>
      <c r="PF82" s="33"/>
      <c r="PG82" s="33"/>
      <c r="PH82" s="33"/>
      <c r="PI82" s="33"/>
      <c r="PJ82" s="33"/>
      <c r="PK82" s="33"/>
      <c r="PL82" s="33"/>
      <c r="PM82" s="33"/>
      <c r="PN82" s="33"/>
      <c r="PO82" s="33"/>
      <c r="PP82" s="33"/>
      <c r="PQ82" s="33"/>
      <c r="PR82" s="33"/>
      <c r="PS82" s="33"/>
      <c r="PT82" s="33"/>
      <c r="PU82" s="33"/>
      <c r="PV82" s="33"/>
      <c r="PW82" s="33"/>
      <c r="PX82" s="33"/>
      <c r="PY82" s="33"/>
      <c r="PZ82" s="33"/>
      <c r="QA82" s="33"/>
      <c r="QB82" s="33"/>
      <c r="QC82" s="33"/>
      <c r="QD82" s="33"/>
      <c r="QE82" s="33"/>
      <c r="QF82" s="33"/>
      <c r="QG82" s="33"/>
      <c r="QH82" s="33"/>
      <c r="QI82" s="33"/>
      <c r="QJ82" s="33"/>
      <c r="QK82" s="33"/>
      <c r="QL82" s="33"/>
      <c r="QM82" s="33"/>
      <c r="QN82" s="33"/>
      <c r="QO82" s="33"/>
      <c r="QP82" s="33"/>
      <c r="QQ82" s="33"/>
      <c r="QR82" s="33"/>
      <c r="QS82" s="33"/>
      <c r="QT82" s="33"/>
      <c r="QU82" s="33"/>
      <c r="QV82" s="33"/>
      <c r="QW82" s="33"/>
      <c r="QX82" s="33"/>
      <c r="QY82" s="33"/>
      <c r="QZ82" s="33"/>
      <c r="RA82" s="33"/>
      <c r="RB82" s="33"/>
      <c r="RC82" s="33"/>
      <c r="RD82" s="33"/>
      <c r="RE82" s="33"/>
      <c r="RF82" s="33"/>
      <c r="RG82" s="33"/>
      <c r="RH82" s="33"/>
      <c r="RI82" s="33"/>
      <c r="RJ82" s="33"/>
      <c r="RK82" s="33"/>
      <c r="RL82" s="33"/>
      <c r="RM82" s="33"/>
      <c r="RN82" s="33"/>
      <c r="RO82" s="33"/>
      <c r="RP82" s="33"/>
      <c r="RQ82" s="33"/>
      <c r="RR82" s="33"/>
      <c r="RS82" s="33"/>
      <c r="RT82" s="33"/>
      <c r="RU82" s="33"/>
      <c r="RV82" s="33"/>
      <c r="RW82" s="33"/>
      <c r="RX82" s="33"/>
      <c r="RY82" s="33"/>
      <c r="RZ82" s="33"/>
      <c r="SA82" s="33"/>
      <c r="SB82" s="33"/>
      <c r="SC82" s="33"/>
      <c r="SD82" s="33"/>
      <c r="SE82" s="33"/>
      <c r="SF82" s="33"/>
      <c r="SG82" s="33"/>
      <c r="SH82" s="33"/>
      <c r="SI82" s="33"/>
      <c r="SJ82" s="33"/>
      <c r="SK82" s="33"/>
      <c r="SL82" s="33"/>
      <c r="SM82" s="33"/>
      <c r="SN82" s="33"/>
      <c r="SO82" s="33"/>
      <c r="SP82" s="33"/>
      <c r="SQ82" s="33"/>
      <c r="SR82" s="33"/>
      <c r="SS82" s="33"/>
      <c r="ST82" s="33"/>
      <c r="SU82" s="33"/>
      <c r="SV82" s="33"/>
      <c r="SW82" s="33"/>
      <c r="SX82" s="33"/>
      <c r="SY82" s="33"/>
      <c r="SZ82" s="33"/>
      <c r="TA82" s="33"/>
      <c r="TB82" s="33"/>
      <c r="TC82" s="33"/>
      <c r="TD82" s="33"/>
      <c r="TE82" s="33"/>
      <c r="TF82" s="33"/>
      <c r="TG82" s="33"/>
      <c r="TH82" s="33"/>
      <c r="TI82" s="33"/>
      <c r="TJ82" s="33"/>
      <c r="TK82" s="33"/>
      <c r="TL82" s="33"/>
      <c r="TM82" s="33"/>
      <c r="TN82" s="33"/>
      <c r="TO82" s="33"/>
      <c r="TP82" s="33"/>
      <c r="TQ82" s="33"/>
      <c r="TR82" s="33"/>
      <c r="TS82" s="33"/>
      <c r="TT82" s="33"/>
      <c r="TU82" s="33"/>
      <c r="TV82" s="33"/>
      <c r="TW82" s="33"/>
      <c r="TX82" s="33"/>
      <c r="TY82" s="33"/>
      <c r="TZ82" s="33"/>
      <c r="UA82" s="33"/>
      <c r="UB82" s="33"/>
      <c r="UC82" s="33"/>
      <c r="UD82" s="33"/>
      <c r="UE82" s="33"/>
      <c r="UF82" s="33"/>
      <c r="UG82" s="33"/>
      <c r="UH82" s="33"/>
      <c r="UI82" s="33"/>
      <c r="UJ82" s="33"/>
      <c r="UK82" s="33"/>
      <c r="UL82" s="33"/>
      <c r="UM82" s="33"/>
      <c r="UN82" s="33"/>
      <c r="UO82" s="33"/>
      <c r="UP82" s="33"/>
      <c r="UQ82" s="33"/>
      <c r="UR82" s="33"/>
      <c r="US82" s="33"/>
      <c r="UT82" s="33"/>
      <c r="UU82" s="33"/>
      <c r="UV82" s="33"/>
      <c r="UW82" s="33"/>
      <c r="UX82" s="33"/>
      <c r="UY82" s="33"/>
      <c r="UZ82" s="33"/>
      <c r="VA82" s="33"/>
      <c r="VB82" s="33"/>
      <c r="VC82" s="33"/>
      <c r="VD82" s="33"/>
      <c r="VE82" s="33"/>
      <c r="VF82" s="33"/>
      <c r="VG82" s="33"/>
      <c r="VH82" s="33"/>
      <c r="VI82" s="33"/>
      <c r="VJ82" s="33"/>
      <c r="VK82" s="33"/>
      <c r="VL82" s="33"/>
      <c r="VM82" s="33"/>
      <c r="VN82" s="33"/>
      <c r="VO82" s="33"/>
      <c r="VP82" s="33"/>
      <c r="VQ82" s="33"/>
      <c r="VR82" s="33"/>
      <c r="VS82" s="33"/>
      <c r="VT82" s="33"/>
      <c r="VU82" s="33"/>
      <c r="VV82" s="33"/>
      <c r="VW82" s="33"/>
      <c r="VX82" s="33"/>
      <c r="VY82" s="33"/>
      <c r="VZ82" s="33"/>
      <c r="WA82" s="33"/>
      <c r="WB82" s="33"/>
      <c r="WC82" s="33"/>
      <c r="WD82" s="33"/>
      <c r="WE82" s="33"/>
      <c r="WF82" s="33"/>
      <c r="WG82" s="33"/>
      <c r="WH82" s="33"/>
      <c r="WI82" s="33"/>
      <c r="WJ82" s="33"/>
      <c r="WK82" s="33"/>
      <c r="WL82" s="33"/>
      <c r="WM82" s="33"/>
      <c r="WN82" s="33"/>
      <c r="WO82" s="33"/>
      <c r="WP82" s="33"/>
      <c r="WQ82" s="33"/>
      <c r="WR82" s="33"/>
      <c r="WS82" s="33"/>
      <c r="WT82" s="33"/>
      <c r="WU82" s="33"/>
      <c r="WV82" s="33"/>
      <c r="WW82" s="33"/>
      <c r="WX82" s="33"/>
      <c r="WY82" s="33"/>
      <c r="WZ82" s="33"/>
      <c r="XA82" s="33"/>
      <c r="XB82" s="33"/>
      <c r="XC82" s="33"/>
      <c r="XD82" s="33"/>
      <c r="XE82" s="33"/>
      <c r="XF82" s="33"/>
      <c r="XG82" s="33"/>
      <c r="XH82" s="33"/>
      <c r="XI82" s="33"/>
      <c r="XJ82" s="33"/>
      <c r="XK82" s="33"/>
      <c r="XL82" s="33"/>
      <c r="XM82" s="33"/>
      <c r="XN82" s="33"/>
      <c r="XO82" s="33"/>
      <c r="XP82" s="33"/>
      <c r="XQ82" s="33"/>
      <c r="XR82" s="33"/>
      <c r="XS82" s="33"/>
      <c r="XT82" s="33"/>
      <c r="XU82" s="33"/>
      <c r="XV82" s="33"/>
      <c r="XW82" s="33"/>
      <c r="XX82" s="33"/>
      <c r="XY82" s="33"/>
      <c r="XZ82" s="33"/>
      <c r="YA82" s="33"/>
      <c r="YB82" s="33"/>
      <c r="YC82" s="33"/>
      <c r="YD82" s="33"/>
      <c r="YE82" s="33"/>
      <c r="YF82" s="33"/>
      <c r="YG82" s="33"/>
      <c r="YH82" s="33"/>
      <c r="YI82" s="33"/>
      <c r="YJ82" s="33"/>
      <c r="YK82" s="33"/>
      <c r="YL82" s="33"/>
      <c r="YM82" s="33"/>
      <c r="YN82" s="33"/>
      <c r="YO82" s="33"/>
      <c r="YP82" s="33"/>
      <c r="YQ82" s="33"/>
      <c r="YR82" s="33"/>
      <c r="YS82" s="33"/>
      <c r="YT82" s="33"/>
      <c r="YU82" s="33"/>
      <c r="YV82" s="33"/>
      <c r="YW82" s="33"/>
      <c r="YX82" s="33"/>
      <c r="YY82" s="33"/>
      <c r="YZ82" s="33"/>
      <c r="ZA82" s="33"/>
      <c r="ZB82" s="33"/>
      <c r="ZC82" s="33"/>
      <c r="ZD82" s="33"/>
      <c r="ZE82" s="33"/>
      <c r="ZF82" s="33"/>
      <c r="ZG82" s="33"/>
      <c r="ZH82" s="33"/>
      <c r="ZI82" s="33"/>
      <c r="ZJ82" s="33"/>
      <c r="ZK82" s="33"/>
      <c r="ZL82" s="33"/>
      <c r="ZM82" s="33"/>
      <c r="ZN82" s="33"/>
      <c r="ZO82" s="33"/>
      <c r="ZP82" s="33"/>
      <c r="ZQ82" s="33"/>
      <c r="ZR82" s="33"/>
      <c r="ZS82" s="33"/>
      <c r="ZT82" s="33"/>
      <c r="ZU82" s="33"/>
      <c r="ZV82" s="33"/>
      <c r="ZW82" s="33"/>
      <c r="ZX82" s="33"/>
      <c r="ZY82" s="33"/>
      <c r="ZZ82" s="33"/>
      <c r="AAA82" s="33"/>
      <c r="AAB82" s="33"/>
      <c r="AAC82" s="33"/>
      <c r="AAD82" s="33"/>
      <c r="AAE82" s="33"/>
      <c r="AAF82" s="33"/>
      <c r="AAG82" s="33"/>
      <c r="AAH82" s="33"/>
      <c r="AAI82" s="33"/>
      <c r="AAJ82" s="33"/>
      <c r="AAK82" s="33"/>
      <c r="AAL82" s="33"/>
      <c r="AAM82" s="33"/>
      <c r="AAN82" s="33"/>
      <c r="AAO82" s="33"/>
      <c r="AAP82" s="33"/>
      <c r="AAQ82" s="33"/>
      <c r="AAR82" s="33"/>
      <c r="AAS82" s="33"/>
      <c r="AAT82" s="33"/>
      <c r="AAU82" s="33"/>
      <c r="AAV82" s="33"/>
      <c r="AAW82" s="33"/>
      <c r="AAX82" s="33"/>
      <c r="AAY82" s="33"/>
      <c r="AAZ82" s="33"/>
      <c r="ABA82" s="33"/>
      <c r="ABB82" s="33"/>
      <c r="ABC82" s="33"/>
      <c r="ABD82" s="33"/>
      <c r="ABE82" s="33"/>
      <c r="ABF82" s="33"/>
      <c r="ABG82" s="33"/>
      <c r="ABH82" s="33"/>
      <c r="ABI82" s="33"/>
      <c r="ABJ82" s="33"/>
      <c r="ABK82" s="33"/>
      <c r="ABL82" s="33"/>
      <c r="ABM82" s="33"/>
      <c r="ABN82" s="33"/>
      <c r="ABO82" s="33"/>
      <c r="ABP82" s="33"/>
      <c r="ABQ82" s="33"/>
      <c r="ABR82" s="33"/>
      <c r="ABS82" s="33"/>
      <c r="ABT82" s="33"/>
      <c r="ABU82" s="33"/>
      <c r="ABV82" s="33"/>
      <c r="ABW82" s="33"/>
      <c r="ABX82" s="33"/>
      <c r="ABY82" s="33"/>
      <c r="ABZ82" s="33"/>
      <c r="ACA82" s="33"/>
      <c r="ACB82" s="33"/>
      <c r="ACC82" s="33"/>
      <c r="ACD82" s="33"/>
      <c r="ACE82" s="33"/>
      <c r="ACF82" s="33"/>
      <c r="ACG82" s="33"/>
      <c r="ACH82" s="33"/>
      <c r="ACI82" s="33"/>
      <c r="ACJ82" s="33"/>
      <c r="ACK82" s="33"/>
      <c r="ACL82" s="33"/>
      <c r="ACM82" s="33"/>
      <c r="ACN82" s="33"/>
      <c r="ACO82" s="33"/>
      <c r="ACP82" s="33"/>
      <c r="ACQ82" s="33"/>
      <c r="ACR82" s="33"/>
      <c r="ACS82" s="33"/>
      <c r="ACT82" s="33"/>
      <c r="ACU82" s="33"/>
      <c r="ACV82" s="33"/>
      <c r="ACW82" s="33"/>
      <c r="ACX82" s="33"/>
      <c r="ACY82" s="33"/>
      <c r="ACZ82" s="33"/>
      <c r="ADA82" s="33"/>
      <c r="ADB82" s="33"/>
      <c r="ADC82" s="33"/>
      <c r="ADD82" s="33"/>
      <c r="ADE82" s="33"/>
      <c r="ADF82" s="33"/>
      <c r="ADG82" s="33"/>
      <c r="ADH82" s="33"/>
      <c r="ADI82" s="33"/>
      <c r="ADJ82" s="33"/>
      <c r="ADK82" s="33"/>
      <c r="ADL82" s="33"/>
      <c r="ADM82" s="33"/>
      <c r="ADN82" s="33"/>
      <c r="ADO82" s="33"/>
      <c r="ADP82" s="33"/>
      <c r="ADQ82" s="33"/>
      <c r="ADR82" s="33"/>
      <c r="ADS82" s="33"/>
      <c r="ADT82" s="33"/>
      <c r="ADU82" s="33"/>
      <c r="ADV82" s="33"/>
      <c r="ADW82" s="33"/>
      <c r="ADX82" s="33"/>
      <c r="ADY82" s="33"/>
      <c r="ADZ82" s="33"/>
      <c r="AEA82" s="33"/>
      <c r="AEB82" s="33"/>
      <c r="AEC82" s="33"/>
      <c r="AED82" s="33"/>
      <c r="AEE82" s="33"/>
      <c r="AEF82" s="33"/>
      <c r="AEG82" s="33"/>
      <c r="AEH82" s="33"/>
      <c r="AEI82" s="33"/>
      <c r="AEJ82" s="33"/>
      <c r="AEK82" s="33"/>
      <c r="AEL82" s="33"/>
      <c r="AEM82" s="33"/>
      <c r="AEN82" s="33"/>
      <c r="AEO82" s="33"/>
      <c r="AEP82" s="33"/>
      <c r="AEQ82" s="33"/>
      <c r="AER82" s="33"/>
      <c r="AES82" s="33"/>
      <c r="AET82" s="33"/>
      <c r="AEU82" s="33"/>
      <c r="AEV82" s="33"/>
      <c r="AEW82" s="33"/>
      <c r="AEX82" s="33"/>
      <c r="AEY82" s="33"/>
      <c r="AEZ82" s="33"/>
      <c r="AFA82" s="33"/>
      <c r="AFB82" s="33"/>
      <c r="AFC82" s="33"/>
      <c r="AFD82" s="33"/>
      <c r="AFE82" s="33"/>
      <c r="AFF82" s="33"/>
      <c r="AFG82" s="33"/>
      <c r="AFH82" s="33"/>
      <c r="AFI82" s="33"/>
      <c r="AFJ82" s="33"/>
      <c r="AFK82" s="33"/>
      <c r="AFL82" s="33"/>
      <c r="AFM82" s="33"/>
      <c r="AFN82" s="33"/>
      <c r="AFO82" s="33"/>
      <c r="AFP82" s="33"/>
      <c r="AFQ82" s="33"/>
      <c r="AFR82" s="33"/>
      <c r="AFS82" s="33"/>
      <c r="AFT82" s="33"/>
      <c r="AFU82" s="33"/>
      <c r="AFV82" s="33"/>
      <c r="AFW82" s="33"/>
      <c r="AFX82" s="33"/>
      <c r="AFY82" s="33"/>
      <c r="AFZ82" s="33"/>
      <c r="AGA82" s="33"/>
      <c r="AGB82" s="33"/>
      <c r="AGC82" s="33"/>
      <c r="AGD82" s="33"/>
      <c r="AGE82" s="33"/>
      <c r="AGF82" s="33"/>
      <c r="AGG82" s="33"/>
      <c r="AGH82" s="33"/>
      <c r="AGI82" s="33"/>
      <c r="AGJ82" s="33"/>
      <c r="AGK82" s="33"/>
      <c r="AGL82" s="33"/>
      <c r="AGM82" s="33"/>
      <c r="AGN82" s="33"/>
      <c r="AGO82" s="33"/>
      <c r="AGP82" s="33"/>
      <c r="AGQ82" s="33"/>
      <c r="AGR82" s="33"/>
      <c r="AGS82" s="33"/>
      <c r="AGT82" s="33"/>
      <c r="AGU82" s="33"/>
      <c r="AGV82" s="33"/>
      <c r="AGW82" s="33"/>
      <c r="AGX82" s="33"/>
      <c r="AGY82" s="33"/>
      <c r="AGZ82" s="33"/>
      <c r="AHA82" s="33"/>
      <c r="AHB82" s="33"/>
      <c r="AHC82" s="33"/>
      <c r="AHD82" s="33"/>
      <c r="AHE82" s="33"/>
      <c r="AHF82" s="33"/>
      <c r="AHG82" s="33"/>
      <c r="AHH82" s="33"/>
      <c r="AHI82" s="33"/>
      <c r="AHJ82" s="33"/>
      <c r="AHK82" s="33"/>
      <c r="AHL82" s="33"/>
      <c r="AHM82" s="33"/>
      <c r="AHN82" s="33"/>
      <c r="AHO82" s="33"/>
      <c r="AHP82" s="33"/>
      <c r="AHQ82" s="33"/>
      <c r="AHR82" s="33"/>
      <c r="AHS82" s="33"/>
      <c r="AHT82" s="33"/>
      <c r="AHU82" s="33"/>
      <c r="AHV82" s="33"/>
      <c r="AHW82" s="33"/>
      <c r="AHX82" s="33"/>
      <c r="AHY82" s="33"/>
      <c r="AHZ82" s="33"/>
      <c r="AIA82" s="33"/>
      <c r="AIB82" s="33"/>
      <c r="AIC82" s="33"/>
      <c r="AID82" s="33"/>
      <c r="AIE82" s="33"/>
      <c r="AIF82" s="33"/>
      <c r="AIG82" s="33"/>
      <c r="AIH82" s="33"/>
      <c r="AII82" s="33"/>
      <c r="AIJ82" s="33"/>
      <c r="AIK82" s="33"/>
      <c r="AIL82" s="33"/>
      <c r="AIM82" s="33"/>
      <c r="AIN82" s="33"/>
      <c r="AIO82" s="33"/>
      <c r="AIP82" s="33"/>
      <c r="AIQ82" s="33"/>
      <c r="AIR82" s="33"/>
      <c r="AIS82" s="33"/>
      <c r="AIT82" s="33"/>
      <c r="AIU82" s="33"/>
      <c r="AIV82" s="33"/>
      <c r="AIW82" s="33"/>
      <c r="AIX82" s="33"/>
      <c r="AIY82" s="33"/>
      <c r="AIZ82" s="33"/>
      <c r="AJA82" s="33"/>
      <c r="AJB82" s="33"/>
      <c r="AJC82" s="33"/>
      <c r="AJD82" s="33"/>
      <c r="AJE82" s="33"/>
      <c r="AJF82" s="33"/>
      <c r="AJG82" s="33"/>
      <c r="AJH82" s="33"/>
      <c r="AJI82" s="33"/>
      <c r="AJJ82" s="33"/>
      <c r="AJK82" s="33"/>
      <c r="AJL82" s="33"/>
      <c r="AJM82" s="33"/>
      <c r="AJN82" s="33"/>
      <c r="AJO82" s="33"/>
      <c r="AJP82" s="33"/>
      <c r="AJQ82" s="33"/>
      <c r="AJR82" s="33"/>
      <c r="AJS82" s="33"/>
      <c r="AJT82" s="33"/>
      <c r="AJU82" s="33"/>
      <c r="AJV82" s="33"/>
      <c r="AJW82" s="33"/>
      <c r="AJX82" s="33"/>
      <c r="AJY82" s="33"/>
      <c r="AJZ82" s="33"/>
      <c r="AKA82" s="33"/>
      <c r="AKB82" s="33"/>
      <c r="AKC82" s="33"/>
      <c r="AKD82" s="33"/>
      <c r="AKE82" s="33"/>
      <c r="AKF82" s="33"/>
      <c r="AKG82" s="33"/>
      <c r="AKH82" s="33"/>
      <c r="AKI82" s="33"/>
      <c r="AKJ82" s="33"/>
      <c r="AKK82" s="33"/>
      <c r="AKL82" s="33"/>
      <c r="AKM82" s="33"/>
      <c r="AKN82" s="33"/>
      <c r="AKO82" s="33"/>
      <c r="AKP82" s="33"/>
      <c r="AKQ82" s="33"/>
      <c r="AKR82" s="33"/>
      <c r="AKS82" s="33"/>
      <c r="AKT82" s="33"/>
      <c r="AKU82" s="33"/>
      <c r="AKV82" s="33"/>
      <c r="AKW82" s="33"/>
      <c r="AKX82" s="33"/>
      <c r="AKY82" s="33"/>
      <c r="AKZ82" s="33"/>
      <c r="ALA82" s="33"/>
      <c r="ALB82" s="33"/>
      <c r="ALC82" s="33"/>
      <c r="ALD82" s="33"/>
      <c r="ALE82" s="33"/>
      <c r="ALF82" s="33"/>
      <c r="ALG82" s="33"/>
      <c r="ALH82" s="33"/>
      <c r="ALI82" s="33"/>
      <c r="ALJ82" s="33"/>
      <c r="ALK82" s="33"/>
      <c r="ALL82" s="33"/>
      <c r="ALM82" s="33"/>
      <c r="ALN82" s="33"/>
      <c r="ALO82" s="33"/>
      <c r="ALP82" s="33"/>
      <c r="ALQ82" s="33"/>
      <c r="ALR82" s="33"/>
      <c r="ALS82" s="33"/>
      <c r="ALT82" s="33"/>
      <c r="ALU82" s="33"/>
      <c r="ALV82" s="33"/>
      <c r="ALW82" s="33"/>
      <c r="ALX82" s="33"/>
      <c r="ALY82" s="33"/>
      <c r="ALZ82" s="33"/>
      <c r="AMA82" s="33"/>
      <c r="AMB82" s="33"/>
      <c r="AMC82" s="33"/>
      <c r="AMD82" s="33"/>
      <c r="AME82" s="33"/>
      <c r="AMF82" s="33"/>
      <c r="AMG82" s="33"/>
      <c r="AMH82" s="33"/>
      <c r="AMI82" s="33"/>
      <c r="AMJ82" s="33"/>
      <c r="AMK82" s="33"/>
      <c r="AML82" s="33"/>
      <c r="AMM82" s="33"/>
    </row>
    <row r="83" spans="1:1027" x14ac:dyDescent="0.2">
      <c r="A83" s="18">
        <v>2</v>
      </c>
      <c r="B83" s="18" t="s">
        <v>204</v>
      </c>
      <c r="C83" s="18" t="s">
        <v>205</v>
      </c>
      <c r="D83" s="18">
        <v>190</v>
      </c>
      <c r="E83" s="42" t="s">
        <v>507</v>
      </c>
      <c r="F83" s="42" t="s">
        <v>507</v>
      </c>
      <c r="G83" s="43" t="s">
        <v>507</v>
      </c>
      <c r="H83" s="42" t="s">
        <v>507</v>
      </c>
      <c r="I83" s="42" t="s">
        <v>507</v>
      </c>
      <c r="J83" s="42" t="s">
        <v>507</v>
      </c>
      <c r="K83" s="21" t="s">
        <v>509</v>
      </c>
      <c r="L83" s="18"/>
      <c r="M83" s="1" t="s">
        <v>510</v>
      </c>
      <c r="O83" s="18"/>
      <c r="P83" s="18"/>
      <c r="Q83" s="18"/>
      <c r="R83" s="18"/>
      <c r="S83" s="13" t="s">
        <v>640</v>
      </c>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7"/>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c r="IR83" s="47"/>
      <c r="IS83" s="47"/>
      <c r="IT83" s="47"/>
      <c r="IU83" s="47"/>
      <c r="IV83" s="47"/>
      <c r="IW83" s="47"/>
      <c r="IX83" s="47"/>
      <c r="IY83" s="47"/>
      <c r="IZ83" s="47"/>
      <c r="JA83" s="47"/>
      <c r="JB83" s="47"/>
      <c r="JC83" s="47"/>
      <c r="JD83" s="47"/>
      <c r="JE83" s="47"/>
      <c r="JF83" s="47"/>
      <c r="JG83" s="47"/>
      <c r="JH83" s="47"/>
      <c r="JI83" s="47"/>
      <c r="JJ83" s="47"/>
      <c r="JK83" s="47"/>
      <c r="JL83" s="47"/>
      <c r="JM83" s="47"/>
      <c r="JN83" s="47"/>
      <c r="JO83" s="47"/>
      <c r="JP83" s="47"/>
      <c r="JQ83" s="47"/>
      <c r="JR83" s="47"/>
      <c r="JS83" s="47"/>
      <c r="JT83" s="47"/>
      <c r="JU83" s="47"/>
      <c r="JV83" s="47"/>
      <c r="JW83" s="47"/>
      <c r="JX83" s="47"/>
      <c r="JY83" s="47"/>
      <c r="JZ83" s="47"/>
      <c r="KA83" s="47"/>
      <c r="KB83" s="47"/>
      <c r="KC83" s="47"/>
      <c r="KD83" s="47"/>
      <c r="KE83" s="47"/>
      <c r="KF83" s="47"/>
      <c r="KG83" s="47"/>
      <c r="KH83" s="47"/>
      <c r="KI83" s="47"/>
      <c r="KJ83" s="47"/>
      <c r="KK83" s="47"/>
      <c r="KL83" s="47"/>
      <c r="KM83" s="47"/>
      <c r="KN83" s="47"/>
      <c r="KO83" s="47"/>
      <c r="KP83" s="47"/>
      <c r="KQ83" s="47"/>
      <c r="KR83" s="47"/>
      <c r="KS83" s="47"/>
      <c r="KT83" s="47"/>
      <c r="KU83" s="47"/>
      <c r="KV83" s="47"/>
      <c r="KW83" s="47"/>
      <c r="KX83" s="47"/>
      <c r="KY83" s="47"/>
      <c r="KZ83" s="47"/>
      <c r="LA83" s="47"/>
      <c r="LB83" s="47"/>
      <c r="LC83" s="47"/>
      <c r="LD83" s="47"/>
      <c r="LE83" s="47"/>
      <c r="LF83" s="47"/>
      <c r="LG83" s="47"/>
      <c r="LH83" s="47"/>
      <c r="LI83" s="47"/>
      <c r="LJ83" s="47"/>
      <c r="LK83" s="47"/>
      <c r="LL83" s="47"/>
      <c r="LM83" s="47"/>
      <c r="LN83" s="47"/>
      <c r="LO83" s="47"/>
      <c r="LP83" s="47"/>
      <c r="LQ83" s="47"/>
      <c r="LR83" s="47"/>
      <c r="LS83" s="47"/>
      <c r="LT83" s="47"/>
      <c r="LU83" s="47"/>
      <c r="LV83" s="47"/>
      <c r="LW83" s="47"/>
      <c r="LX83" s="47"/>
      <c r="LY83" s="47"/>
      <c r="LZ83" s="47"/>
      <c r="MA83" s="47"/>
      <c r="MB83" s="47"/>
      <c r="MC83" s="47"/>
      <c r="MD83" s="47"/>
      <c r="ME83" s="47"/>
      <c r="MF83" s="47"/>
      <c r="MG83" s="47"/>
      <c r="MH83" s="47"/>
      <c r="MI83" s="47"/>
      <c r="MJ83" s="47"/>
      <c r="MK83" s="47"/>
      <c r="ML83" s="47"/>
      <c r="MM83" s="47"/>
      <c r="MN83" s="47"/>
      <c r="MO83" s="47"/>
      <c r="MP83" s="47"/>
      <c r="MQ83" s="47"/>
      <c r="MR83" s="47"/>
      <c r="MS83" s="47"/>
      <c r="MT83" s="47"/>
      <c r="MU83" s="47"/>
      <c r="MV83" s="47"/>
      <c r="MW83" s="47"/>
      <c r="MX83" s="47"/>
      <c r="MY83" s="47"/>
      <c r="MZ83" s="47"/>
      <c r="NA83" s="47"/>
      <c r="NB83" s="47"/>
      <c r="NC83" s="47"/>
      <c r="ND83" s="47"/>
      <c r="NE83" s="47"/>
      <c r="NF83" s="47"/>
      <c r="NG83" s="47"/>
      <c r="NH83" s="47"/>
      <c r="NI83" s="47"/>
      <c r="NJ83" s="47"/>
      <c r="NK83" s="47"/>
      <c r="NL83" s="47"/>
      <c r="NM83" s="47"/>
      <c r="NN83" s="47"/>
      <c r="NO83" s="47"/>
      <c r="NP83" s="47"/>
      <c r="NQ83" s="47"/>
      <c r="NR83" s="47"/>
      <c r="NS83" s="47"/>
      <c r="NT83" s="47"/>
      <c r="NU83" s="47"/>
      <c r="NV83" s="47"/>
      <c r="NW83" s="47"/>
      <c r="NX83" s="47"/>
      <c r="NY83" s="47"/>
      <c r="NZ83" s="47"/>
      <c r="OA83" s="47"/>
      <c r="OB83" s="47"/>
      <c r="OC83" s="47"/>
      <c r="OD83" s="47"/>
      <c r="OE83" s="47"/>
      <c r="OF83" s="47"/>
      <c r="OG83" s="47"/>
      <c r="OH83" s="47"/>
      <c r="OI83" s="47"/>
      <c r="OJ83" s="47"/>
      <c r="OK83" s="47"/>
      <c r="OL83" s="47"/>
      <c r="OM83" s="47"/>
      <c r="ON83" s="47"/>
      <c r="OO83" s="47"/>
      <c r="OP83" s="47"/>
      <c r="OQ83" s="47"/>
      <c r="OR83" s="47"/>
      <c r="OS83" s="47"/>
      <c r="OT83" s="47"/>
      <c r="OU83" s="47"/>
      <c r="OV83" s="47"/>
      <c r="OW83" s="47"/>
      <c r="OX83" s="47"/>
      <c r="OY83" s="47"/>
      <c r="OZ83" s="47"/>
      <c r="PA83" s="47"/>
      <c r="PB83" s="47"/>
      <c r="PC83" s="47"/>
      <c r="PD83" s="47"/>
      <c r="PE83" s="47"/>
      <c r="PF83" s="47"/>
      <c r="PG83" s="47"/>
      <c r="PH83" s="47"/>
      <c r="PI83" s="47"/>
      <c r="PJ83" s="47"/>
      <c r="PK83" s="47"/>
      <c r="PL83" s="47"/>
      <c r="PM83" s="47"/>
      <c r="PN83" s="47"/>
      <c r="PO83" s="47"/>
      <c r="PP83" s="47"/>
      <c r="PQ83" s="47"/>
      <c r="PR83" s="47"/>
      <c r="PS83" s="47"/>
      <c r="PT83" s="47"/>
      <c r="PU83" s="47"/>
      <c r="PV83" s="47"/>
      <c r="PW83" s="47"/>
      <c r="PX83" s="47"/>
      <c r="PY83" s="47"/>
      <c r="PZ83" s="47"/>
      <c r="QA83" s="47"/>
      <c r="QB83" s="47"/>
      <c r="QC83" s="47"/>
      <c r="QD83" s="47"/>
      <c r="QE83" s="47"/>
      <c r="QF83" s="47"/>
      <c r="QG83" s="47"/>
      <c r="QH83" s="47"/>
      <c r="QI83" s="47"/>
      <c r="QJ83" s="47"/>
      <c r="QK83" s="47"/>
      <c r="QL83" s="47"/>
      <c r="QM83" s="47"/>
      <c r="QN83" s="47"/>
      <c r="QO83" s="47"/>
      <c r="QP83" s="47"/>
      <c r="QQ83" s="47"/>
      <c r="QR83" s="47"/>
      <c r="QS83" s="47"/>
      <c r="QT83" s="47"/>
      <c r="QU83" s="47"/>
      <c r="QV83" s="47"/>
      <c r="QW83" s="47"/>
      <c r="QX83" s="47"/>
      <c r="QY83" s="47"/>
      <c r="QZ83" s="47"/>
      <c r="RA83" s="47"/>
      <c r="RB83" s="47"/>
      <c r="RC83" s="47"/>
      <c r="RD83" s="47"/>
      <c r="RE83" s="47"/>
      <c r="RF83" s="47"/>
      <c r="RG83" s="47"/>
      <c r="RH83" s="47"/>
      <c r="RI83" s="47"/>
      <c r="RJ83" s="47"/>
      <c r="RK83" s="47"/>
      <c r="RL83" s="47"/>
      <c r="RM83" s="47"/>
      <c r="RN83" s="47"/>
      <c r="RO83" s="47"/>
      <c r="RP83" s="47"/>
      <c r="RQ83" s="47"/>
      <c r="RR83" s="47"/>
      <c r="RS83" s="47"/>
      <c r="RT83" s="47"/>
      <c r="RU83" s="47"/>
      <c r="RV83" s="47"/>
      <c r="RW83" s="47"/>
      <c r="RX83" s="47"/>
      <c r="RY83" s="47"/>
      <c r="RZ83" s="47"/>
      <c r="SA83" s="47"/>
      <c r="SB83" s="47"/>
      <c r="SC83" s="47"/>
      <c r="SD83" s="47"/>
      <c r="SE83" s="47"/>
      <c r="SF83" s="47"/>
      <c r="SG83" s="47"/>
      <c r="SH83" s="47"/>
      <c r="SI83" s="47"/>
      <c r="SJ83" s="47"/>
      <c r="SK83" s="47"/>
      <c r="SL83" s="47"/>
      <c r="SM83" s="47"/>
      <c r="SN83" s="47"/>
      <c r="SO83" s="47"/>
      <c r="SP83" s="47"/>
      <c r="SQ83" s="47"/>
      <c r="SR83" s="47"/>
      <c r="SS83" s="47"/>
      <c r="ST83" s="47"/>
      <c r="SU83" s="47"/>
      <c r="SV83" s="47"/>
      <c r="SW83" s="47"/>
      <c r="SX83" s="47"/>
      <c r="SY83" s="47"/>
      <c r="SZ83" s="47"/>
      <c r="TA83" s="47"/>
      <c r="TB83" s="47"/>
      <c r="TC83" s="47"/>
      <c r="TD83" s="47"/>
      <c r="TE83" s="47"/>
      <c r="TF83" s="47"/>
      <c r="TG83" s="47"/>
      <c r="TH83" s="47"/>
      <c r="TI83" s="47"/>
      <c r="TJ83" s="47"/>
      <c r="TK83" s="47"/>
      <c r="TL83" s="47"/>
      <c r="TM83" s="47"/>
      <c r="TN83" s="47"/>
      <c r="TO83" s="47"/>
      <c r="TP83" s="47"/>
      <c r="TQ83" s="47"/>
      <c r="TR83" s="47"/>
      <c r="TS83" s="47"/>
      <c r="TT83" s="47"/>
      <c r="TU83" s="47"/>
      <c r="TV83" s="47"/>
      <c r="TW83" s="47"/>
      <c r="TX83" s="47"/>
      <c r="TY83" s="47"/>
      <c r="TZ83" s="47"/>
      <c r="UA83" s="47"/>
      <c r="UB83" s="47"/>
      <c r="UC83" s="47"/>
      <c r="UD83" s="47"/>
      <c r="UE83" s="47"/>
      <c r="UF83" s="47"/>
      <c r="UG83" s="47"/>
      <c r="UH83" s="47"/>
      <c r="UI83" s="47"/>
      <c r="UJ83" s="47"/>
      <c r="UK83" s="47"/>
      <c r="UL83" s="47"/>
      <c r="UM83" s="47"/>
      <c r="UN83" s="47"/>
      <c r="UO83" s="47"/>
      <c r="UP83" s="47"/>
      <c r="UQ83" s="47"/>
      <c r="UR83" s="47"/>
      <c r="US83" s="47"/>
      <c r="UT83" s="47"/>
      <c r="UU83" s="47"/>
      <c r="UV83" s="47"/>
      <c r="UW83" s="47"/>
      <c r="UX83" s="47"/>
      <c r="UY83" s="47"/>
      <c r="UZ83" s="47"/>
      <c r="VA83" s="47"/>
      <c r="VB83" s="47"/>
      <c r="VC83" s="47"/>
      <c r="VD83" s="47"/>
      <c r="VE83" s="47"/>
      <c r="VF83" s="47"/>
      <c r="VG83" s="47"/>
      <c r="VH83" s="47"/>
      <c r="VI83" s="47"/>
      <c r="VJ83" s="47"/>
      <c r="VK83" s="47"/>
      <c r="VL83" s="47"/>
      <c r="VM83" s="47"/>
      <c r="VN83" s="47"/>
      <c r="VO83" s="47"/>
      <c r="VP83" s="47"/>
      <c r="VQ83" s="47"/>
      <c r="VR83" s="47"/>
      <c r="VS83" s="47"/>
      <c r="VT83" s="47"/>
      <c r="VU83" s="47"/>
      <c r="VV83" s="47"/>
      <c r="VW83" s="47"/>
      <c r="VX83" s="47"/>
      <c r="VY83" s="47"/>
      <c r="VZ83" s="47"/>
      <c r="WA83" s="47"/>
      <c r="WB83" s="47"/>
      <c r="WC83" s="47"/>
      <c r="WD83" s="47"/>
      <c r="WE83" s="47"/>
      <c r="WF83" s="47"/>
      <c r="WG83" s="47"/>
      <c r="WH83" s="47"/>
      <c r="WI83" s="47"/>
      <c r="WJ83" s="47"/>
      <c r="WK83" s="47"/>
      <c r="WL83" s="47"/>
      <c r="WM83" s="47"/>
      <c r="WN83" s="47"/>
      <c r="WO83" s="47"/>
      <c r="WP83" s="47"/>
      <c r="WQ83" s="47"/>
      <c r="WR83" s="47"/>
      <c r="WS83" s="47"/>
      <c r="WT83" s="47"/>
      <c r="WU83" s="47"/>
      <c r="WV83" s="47"/>
      <c r="WW83" s="47"/>
      <c r="WX83" s="47"/>
      <c r="WY83" s="47"/>
      <c r="WZ83" s="47"/>
      <c r="XA83" s="47"/>
      <c r="XB83" s="47"/>
      <c r="XC83" s="47"/>
      <c r="XD83" s="47"/>
      <c r="XE83" s="47"/>
      <c r="XF83" s="47"/>
      <c r="XG83" s="47"/>
      <c r="XH83" s="47"/>
      <c r="XI83" s="47"/>
      <c r="XJ83" s="47"/>
      <c r="XK83" s="47"/>
      <c r="XL83" s="47"/>
      <c r="XM83" s="47"/>
      <c r="XN83" s="47"/>
      <c r="XO83" s="47"/>
      <c r="XP83" s="47"/>
      <c r="XQ83" s="47"/>
      <c r="XR83" s="47"/>
      <c r="XS83" s="47"/>
      <c r="XT83" s="47"/>
      <c r="XU83" s="47"/>
      <c r="XV83" s="47"/>
      <c r="XW83" s="47"/>
      <c r="XX83" s="47"/>
      <c r="XY83" s="47"/>
      <c r="XZ83" s="47"/>
      <c r="YA83" s="47"/>
      <c r="YB83" s="47"/>
      <c r="YC83" s="47"/>
      <c r="YD83" s="47"/>
      <c r="YE83" s="47"/>
      <c r="YF83" s="47"/>
      <c r="YG83" s="47"/>
      <c r="YH83" s="47"/>
      <c r="YI83" s="47"/>
      <c r="YJ83" s="47"/>
      <c r="YK83" s="47"/>
      <c r="YL83" s="47"/>
      <c r="YM83" s="47"/>
      <c r="YN83" s="47"/>
      <c r="YO83" s="47"/>
      <c r="YP83" s="47"/>
      <c r="YQ83" s="47"/>
      <c r="YR83" s="47"/>
      <c r="YS83" s="47"/>
      <c r="YT83" s="47"/>
      <c r="YU83" s="47"/>
      <c r="YV83" s="47"/>
      <c r="YW83" s="47"/>
      <c r="YX83" s="47"/>
      <c r="YY83" s="47"/>
      <c r="YZ83" s="47"/>
      <c r="ZA83" s="47"/>
      <c r="ZB83" s="47"/>
      <c r="ZC83" s="47"/>
      <c r="ZD83" s="47"/>
      <c r="ZE83" s="47"/>
      <c r="ZF83" s="47"/>
      <c r="ZG83" s="47"/>
      <c r="ZH83" s="47"/>
      <c r="ZI83" s="47"/>
      <c r="ZJ83" s="47"/>
      <c r="ZK83" s="47"/>
      <c r="ZL83" s="47"/>
      <c r="ZM83" s="47"/>
      <c r="ZN83" s="47"/>
      <c r="ZO83" s="47"/>
      <c r="ZP83" s="47"/>
      <c r="ZQ83" s="47"/>
      <c r="ZR83" s="47"/>
      <c r="ZS83" s="47"/>
      <c r="ZT83" s="47"/>
      <c r="ZU83" s="47"/>
      <c r="ZV83" s="47"/>
      <c r="ZW83" s="47"/>
      <c r="ZX83" s="47"/>
      <c r="ZY83" s="47"/>
      <c r="ZZ83" s="47"/>
      <c r="AAA83" s="47"/>
      <c r="AAB83" s="47"/>
      <c r="AAC83" s="47"/>
      <c r="AAD83" s="47"/>
      <c r="AAE83" s="47"/>
      <c r="AAF83" s="47"/>
      <c r="AAG83" s="47"/>
      <c r="AAH83" s="47"/>
      <c r="AAI83" s="47"/>
      <c r="AAJ83" s="47"/>
      <c r="AAK83" s="47"/>
      <c r="AAL83" s="47"/>
      <c r="AAM83" s="47"/>
      <c r="AAN83" s="47"/>
      <c r="AAO83" s="47"/>
      <c r="AAP83" s="47"/>
      <c r="AAQ83" s="47"/>
      <c r="AAR83" s="47"/>
      <c r="AAS83" s="47"/>
      <c r="AAT83" s="47"/>
      <c r="AAU83" s="47"/>
      <c r="AAV83" s="47"/>
      <c r="AAW83" s="47"/>
      <c r="AAX83" s="47"/>
      <c r="AAY83" s="47"/>
      <c r="AAZ83" s="47"/>
      <c r="ABA83" s="47"/>
      <c r="ABB83" s="47"/>
      <c r="ABC83" s="47"/>
      <c r="ABD83" s="47"/>
      <c r="ABE83" s="47"/>
      <c r="ABF83" s="47"/>
      <c r="ABG83" s="47"/>
      <c r="ABH83" s="47"/>
      <c r="ABI83" s="47"/>
      <c r="ABJ83" s="47"/>
      <c r="ABK83" s="47"/>
      <c r="ABL83" s="47"/>
      <c r="ABM83" s="47"/>
      <c r="ABN83" s="47"/>
      <c r="ABO83" s="47"/>
      <c r="ABP83" s="47"/>
      <c r="ABQ83" s="47"/>
      <c r="ABR83" s="47"/>
      <c r="ABS83" s="47"/>
      <c r="ABT83" s="47"/>
      <c r="ABU83" s="47"/>
      <c r="ABV83" s="47"/>
      <c r="ABW83" s="47"/>
      <c r="ABX83" s="47"/>
      <c r="ABY83" s="47"/>
      <c r="ABZ83" s="47"/>
      <c r="ACA83" s="47"/>
      <c r="ACB83" s="47"/>
      <c r="ACC83" s="47"/>
      <c r="ACD83" s="47"/>
      <c r="ACE83" s="47"/>
      <c r="ACF83" s="47"/>
      <c r="ACG83" s="47"/>
      <c r="ACH83" s="47"/>
      <c r="ACI83" s="47"/>
      <c r="ACJ83" s="47"/>
      <c r="ACK83" s="47"/>
      <c r="ACL83" s="47"/>
      <c r="ACM83" s="47"/>
      <c r="ACN83" s="47"/>
      <c r="ACO83" s="47"/>
      <c r="ACP83" s="47"/>
      <c r="ACQ83" s="47"/>
      <c r="ACR83" s="47"/>
      <c r="ACS83" s="47"/>
      <c r="ACT83" s="47"/>
      <c r="ACU83" s="47"/>
      <c r="ACV83" s="47"/>
      <c r="ACW83" s="47"/>
      <c r="ACX83" s="47"/>
      <c r="ACY83" s="47"/>
      <c r="ACZ83" s="47"/>
      <c r="ADA83" s="47"/>
      <c r="ADB83" s="47"/>
      <c r="ADC83" s="47"/>
      <c r="ADD83" s="47"/>
      <c r="ADE83" s="47"/>
      <c r="ADF83" s="47"/>
      <c r="ADG83" s="47"/>
      <c r="ADH83" s="47"/>
      <c r="ADI83" s="47"/>
      <c r="ADJ83" s="47"/>
      <c r="ADK83" s="47"/>
      <c r="ADL83" s="47"/>
      <c r="ADM83" s="47"/>
      <c r="ADN83" s="47"/>
      <c r="ADO83" s="47"/>
      <c r="ADP83" s="47"/>
      <c r="ADQ83" s="47"/>
      <c r="ADR83" s="47"/>
      <c r="ADS83" s="47"/>
      <c r="ADT83" s="47"/>
      <c r="ADU83" s="47"/>
      <c r="ADV83" s="47"/>
      <c r="ADW83" s="47"/>
      <c r="ADX83" s="47"/>
      <c r="ADY83" s="47"/>
      <c r="ADZ83" s="47"/>
      <c r="AEA83" s="47"/>
      <c r="AEB83" s="47"/>
      <c r="AEC83" s="47"/>
      <c r="AED83" s="47"/>
      <c r="AEE83" s="47"/>
      <c r="AEF83" s="47"/>
      <c r="AEG83" s="47"/>
      <c r="AEH83" s="47"/>
      <c r="AEI83" s="47"/>
      <c r="AEJ83" s="47"/>
      <c r="AEK83" s="47"/>
      <c r="AEL83" s="47"/>
      <c r="AEM83" s="47"/>
      <c r="AEN83" s="47"/>
      <c r="AEO83" s="47"/>
      <c r="AEP83" s="47"/>
      <c r="AEQ83" s="47"/>
      <c r="AER83" s="47"/>
      <c r="AES83" s="47"/>
      <c r="AET83" s="47"/>
      <c r="AEU83" s="47"/>
      <c r="AEV83" s="47"/>
      <c r="AEW83" s="47"/>
      <c r="AEX83" s="47"/>
      <c r="AEY83" s="47"/>
      <c r="AEZ83" s="47"/>
      <c r="AFA83" s="47"/>
      <c r="AFB83" s="47"/>
      <c r="AFC83" s="47"/>
      <c r="AFD83" s="47"/>
      <c r="AFE83" s="47"/>
      <c r="AFF83" s="47"/>
      <c r="AFG83" s="47"/>
      <c r="AFH83" s="47"/>
      <c r="AFI83" s="47"/>
      <c r="AFJ83" s="47"/>
      <c r="AFK83" s="47"/>
      <c r="AFL83" s="47"/>
      <c r="AFM83" s="47"/>
      <c r="AFN83" s="47"/>
      <c r="AFO83" s="47"/>
      <c r="AFP83" s="47"/>
      <c r="AFQ83" s="47"/>
      <c r="AFR83" s="47"/>
      <c r="AFS83" s="47"/>
      <c r="AFT83" s="47"/>
      <c r="AFU83" s="47"/>
      <c r="AFV83" s="47"/>
      <c r="AFW83" s="47"/>
      <c r="AFX83" s="47"/>
      <c r="AFY83" s="47"/>
      <c r="AFZ83" s="47"/>
      <c r="AGA83" s="47"/>
      <c r="AGB83" s="47"/>
      <c r="AGC83" s="47"/>
      <c r="AGD83" s="47"/>
      <c r="AGE83" s="47"/>
      <c r="AGF83" s="47"/>
      <c r="AGG83" s="47"/>
      <c r="AGH83" s="47"/>
      <c r="AGI83" s="47"/>
      <c r="AGJ83" s="47"/>
      <c r="AGK83" s="47"/>
      <c r="AGL83" s="47"/>
      <c r="AGM83" s="47"/>
      <c r="AGN83" s="47"/>
      <c r="AGO83" s="47"/>
      <c r="AGP83" s="47"/>
      <c r="AGQ83" s="47"/>
      <c r="AGR83" s="47"/>
      <c r="AGS83" s="47"/>
      <c r="AGT83" s="47"/>
      <c r="AGU83" s="47"/>
      <c r="AGV83" s="47"/>
      <c r="AGW83" s="47"/>
      <c r="AGX83" s="47"/>
      <c r="AGY83" s="47"/>
      <c r="AGZ83" s="47"/>
      <c r="AHA83" s="47"/>
      <c r="AHB83" s="47"/>
      <c r="AHC83" s="47"/>
      <c r="AHD83" s="47"/>
      <c r="AHE83" s="47"/>
      <c r="AHF83" s="47"/>
      <c r="AHG83" s="47"/>
      <c r="AHH83" s="47"/>
      <c r="AHI83" s="47"/>
      <c r="AHJ83" s="47"/>
      <c r="AHK83" s="47"/>
      <c r="AHL83" s="47"/>
      <c r="AHM83" s="47"/>
      <c r="AHN83" s="47"/>
      <c r="AHO83" s="47"/>
      <c r="AHP83" s="47"/>
      <c r="AHQ83" s="47"/>
      <c r="AHR83" s="47"/>
      <c r="AHS83" s="47"/>
      <c r="AHT83" s="47"/>
      <c r="AHU83" s="47"/>
      <c r="AHV83" s="47"/>
      <c r="AHW83" s="47"/>
      <c r="AHX83" s="47"/>
      <c r="AHY83" s="47"/>
      <c r="AHZ83" s="47"/>
      <c r="AIA83" s="47"/>
      <c r="AIB83" s="47"/>
      <c r="AIC83" s="47"/>
      <c r="AID83" s="47"/>
      <c r="AIE83" s="47"/>
      <c r="AIF83" s="47"/>
      <c r="AIG83" s="47"/>
      <c r="AIH83" s="47"/>
      <c r="AII83" s="47"/>
      <c r="AIJ83" s="47"/>
      <c r="AIK83" s="47"/>
      <c r="AIL83" s="47"/>
      <c r="AIM83" s="47"/>
      <c r="AIN83" s="47"/>
      <c r="AIO83" s="47"/>
      <c r="AIP83" s="47"/>
      <c r="AIQ83" s="47"/>
      <c r="AIR83" s="47"/>
      <c r="AIS83" s="47"/>
      <c r="AIT83" s="47"/>
      <c r="AIU83" s="47"/>
      <c r="AIV83" s="47"/>
      <c r="AIW83" s="47"/>
      <c r="AIX83" s="47"/>
      <c r="AIY83" s="47"/>
      <c r="AIZ83" s="47"/>
      <c r="AJA83" s="47"/>
      <c r="AJB83" s="47"/>
      <c r="AJC83" s="47"/>
      <c r="AJD83" s="47"/>
      <c r="AJE83" s="47"/>
      <c r="AJF83" s="47"/>
      <c r="AJG83" s="47"/>
      <c r="AJH83" s="47"/>
      <c r="AJI83" s="47"/>
      <c r="AJJ83" s="47"/>
      <c r="AJK83" s="47"/>
      <c r="AJL83" s="47"/>
      <c r="AJM83" s="47"/>
      <c r="AJN83" s="47"/>
      <c r="AJO83" s="47"/>
      <c r="AJP83" s="47"/>
      <c r="AJQ83" s="47"/>
      <c r="AJR83" s="47"/>
      <c r="AJS83" s="47"/>
      <c r="AJT83" s="47"/>
      <c r="AJU83" s="47"/>
      <c r="AJV83" s="47"/>
      <c r="AJW83" s="47"/>
      <c r="AJX83" s="47"/>
      <c r="AJY83" s="47"/>
      <c r="AJZ83" s="47"/>
      <c r="AKA83" s="47"/>
      <c r="AKB83" s="47"/>
      <c r="AKC83" s="47"/>
      <c r="AKD83" s="47"/>
      <c r="AKE83" s="47"/>
      <c r="AKF83" s="47"/>
      <c r="AKG83" s="47"/>
      <c r="AKH83" s="47"/>
      <c r="AKI83" s="47"/>
      <c r="AKJ83" s="47"/>
      <c r="AKK83" s="47"/>
      <c r="AKL83" s="47"/>
      <c r="AKM83" s="47"/>
      <c r="AKN83" s="47"/>
      <c r="AKO83" s="47"/>
      <c r="AKP83" s="47"/>
      <c r="AKQ83" s="47"/>
      <c r="AKR83" s="47"/>
      <c r="AKS83" s="47"/>
      <c r="AKT83" s="47"/>
      <c r="AKU83" s="47"/>
      <c r="AKV83" s="47"/>
      <c r="AKW83" s="47"/>
      <c r="AKX83" s="47"/>
      <c r="AKY83" s="47"/>
      <c r="AKZ83" s="47"/>
      <c r="ALA83" s="47"/>
      <c r="ALB83" s="47"/>
      <c r="ALC83" s="47"/>
      <c r="ALD83" s="47"/>
      <c r="ALE83" s="47"/>
      <c r="ALF83" s="47"/>
      <c r="ALG83" s="47"/>
      <c r="ALH83" s="47"/>
      <c r="ALI83" s="47"/>
      <c r="ALJ83" s="47"/>
      <c r="ALK83" s="47"/>
      <c r="ALL83" s="47"/>
      <c r="ALM83" s="47"/>
      <c r="ALN83" s="47"/>
      <c r="ALO83" s="47"/>
      <c r="ALP83" s="47"/>
      <c r="ALQ83" s="47"/>
      <c r="ALR83" s="47"/>
      <c r="ALS83" s="47"/>
      <c r="ALT83" s="47"/>
      <c r="ALU83" s="47"/>
      <c r="ALV83" s="47"/>
      <c r="ALW83" s="47"/>
      <c r="ALX83" s="47"/>
      <c r="ALY83" s="47"/>
      <c r="ALZ83" s="47"/>
      <c r="AMA83" s="47"/>
      <c r="AMB83" s="47"/>
      <c r="AMC83" s="47"/>
      <c r="AMD83" s="47"/>
      <c r="AME83" s="47"/>
      <c r="AMF83" s="47"/>
      <c r="AMG83" s="47"/>
      <c r="AMH83" s="47"/>
      <c r="AMI83" s="47"/>
      <c r="AMJ83" s="47"/>
      <c r="AMK83" s="47"/>
      <c r="AML83" s="47"/>
      <c r="AMM83" s="47"/>
    </row>
    <row r="84" spans="1:1027" s="18" customFormat="1" x14ac:dyDescent="0.2">
      <c r="A84" s="18">
        <v>3</v>
      </c>
      <c r="B84" s="18" t="s">
        <v>641</v>
      </c>
      <c r="C84" s="18" t="s">
        <v>642</v>
      </c>
      <c r="D84" s="18">
        <v>197</v>
      </c>
      <c r="E84" s="42" t="s">
        <v>507</v>
      </c>
      <c r="F84" s="42" t="s">
        <v>507</v>
      </c>
      <c r="G84" s="43" t="s">
        <v>508</v>
      </c>
      <c r="H84" s="42" t="s">
        <v>507</v>
      </c>
      <c r="I84" s="42" t="s">
        <v>507</v>
      </c>
      <c r="J84" s="42" t="s">
        <v>507</v>
      </c>
      <c r="K84" s="21" t="s">
        <v>509</v>
      </c>
      <c r="M84" s="1" t="s">
        <v>510</v>
      </c>
      <c r="N84" s="1"/>
      <c r="S84" s="13"/>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c r="AMK84" s="1"/>
      <c r="AML84" s="47"/>
    </row>
    <row r="85" spans="1:1027" x14ac:dyDescent="0.2">
      <c r="A85" s="18">
        <v>2</v>
      </c>
      <c r="B85" s="18" t="s">
        <v>206</v>
      </c>
      <c r="C85" s="18" t="s">
        <v>207</v>
      </c>
      <c r="D85" s="18">
        <v>198</v>
      </c>
      <c r="E85" s="42" t="s">
        <v>507</v>
      </c>
      <c r="F85" s="42" t="s">
        <v>507</v>
      </c>
      <c r="G85" s="43" t="s">
        <v>540</v>
      </c>
      <c r="H85" s="42" t="s">
        <v>507</v>
      </c>
      <c r="I85" s="42" t="s">
        <v>507</v>
      </c>
      <c r="J85" s="42" t="s">
        <v>507</v>
      </c>
      <c r="K85" s="21" t="s">
        <v>509</v>
      </c>
      <c r="L85" s="18"/>
      <c r="M85" s="1" t="s">
        <v>510</v>
      </c>
      <c r="O85" s="18"/>
      <c r="P85" s="18"/>
      <c r="Q85" s="18"/>
      <c r="R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c r="PB85" s="18"/>
      <c r="PC85" s="18"/>
      <c r="PD85" s="18"/>
      <c r="PE85" s="18"/>
      <c r="PF85" s="18"/>
      <c r="PG85" s="18"/>
      <c r="PH85" s="18"/>
      <c r="PI85" s="18"/>
      <c r="PJ85" s="18"/>
      <c r="PK85" s="18"/>
      <c r="PL85" s="18"/>
      <c r="PM85" s="18"/>
      <c r="PN85" s="18"/>
      <c r="PO85" s="18"/>
      <c r="PP85" s="18"/>
      <c r="PQ85" s="18"/>
      <c r="PR85" s="18"/>
      <c r="PS85" s="18"/>
      <c r="PT85" s="18"/>
      <c r="PU85" s="18"/>
      <c r="PV85" s="18"/>
      <c r="PW85" s="18"/>
      <c r="PX85" s="18"/>
      <c r="PY85" s="18"/>
      <c r="PZ85" s="18"/>
      <c r="QA85" s="18"/>
      <c r="QB85" s="18"/>
      <c r="QC85" s="18"/>
      <c r="QD85" s="18"/>
      <c r="QE85" s="18"/>
      <c r="QF85" s="18"/>
      <c r="QG85" s="18"/>
      <c r="QH85" s="18"/>
      <c r="QI85" s="18"/>
      <c r="QJ85" s="18"/>
      <c r="QK85" s="18"/>
      <c r="QL85" s="18"/>
      <c r="QM85" s="18"/>
      <c r="QN85" s="18"/>
      <c r="QO85" s="18"/>
      <c r="QP85" s="18"/>
      <c r="QQ85" s="18"/>
      <c r="QR85" s="18"/>
      <c r="QS85" s="18"/>
      <c r="QT85" s="18"/>
      <c r="QU85" s="18"/>
      <c r="QV85" s="18"/>
      <c r="QW85" s="18"/>
      <c r="QX85" s="18"/>
      <c r="QY85" s="18"/>
      <c r="QZ85" s="18"/>
      <c r="RA85" s="18"/>
      <c r="RB85" s="18"/>
      <c r="RC85" s="18"/>
      <c r="RD85" s="18"/>
      <c r="RE85" s="18"/>
      <c r="RF85" s="18"/>
      <c r="RG85" s="18"/>
      <c r="RH85" s="18"/>
      <c r="RI85" s="18"/>
      <c r="RJ85" s="18"/>
      <c r="RK85" s="18"/>
      <c r="RL85" s="18"/>
      <c r="RM85" s="18"/>
      <c r="RN85" s="18"/>
      <c r="RO85" s="18"/>
      <c r="RP85" s="18"/>
      <c r="RQ85" s="18"/>
      <c r="RR85" s="18"/>
      <c r="RS85" s="18"/>
      <c r="RT85" s="18"/>
      <c r="RU85" s="18"/>
      <c r="RV85" s="18"/>
      <c r="RW85" s="18"/>
      <c r="RX85" s="18"/>
      <c r="RY85" s="18"/>
      <c r="RZ85" s="18"/>
      <c r="SA85" s="18"/>
      <c r="SB85" s="18"/>
      <c r="SC85" s="18"/>
      <c r="SD85" s="18"/>
      <c r="SE85" s="18"/>
      <c r="SF85" s="18"/>
      <c r="SG85" s="18"/>
      <c r="SH85" s="18"/>
      <c r="SI85" s="18"/>
      <c r="SJ85" s="18"/>
      <c r="SK85" s="18"/>
      <c r="SL85" s="18"/>
      <c r="SM85" s="18"/>
      <c r="SN85" s="18"/>
      <c r="SO85" s="18"/>
      <c r="SP85" s="18"/>
      <c r="SQ85" s="18"/>
      <c r="SR85" s="18"/>
      <c r="SS85" s="18"/>
      <c r="ST85" s="18"/>
      <c r="SU85" s="18"/>
      <c r="SV85" s="18"/>
      <c r="SW85" s="18"/>
      <c r="SX85" s="18"/>
      <c r="SY85" s="18"/>
      <c r="SZ85" s="18"/>
      <c r="TA85" s="18"/>
      <c r="TB85" s="18"/>
      <c r="TC85" s="18"/>
      <c r="TD85" s="18"/>
      <c r="TE85" s="18"/>
      <c r="TF85" s="18"/>
      <c r="TG85" s="18"/>
      <c r="TH85" s="18"/>
      <c r="TI85" s="18"/>
      <c r="TJ85" s="18"/>
      <c r="TK85" s="18"/>
      <c r="TL85" s="18"/>
      <c r="TM85" s="18"/>
      <c r="TN85" s="18"/>
      <c r="TO85" s="18"/>
      <c r="TP85" s="18"/>
      <c r="TQ85" s="18"/>
      <c r="TR85" s="18"/>
      <c r="TS85" s="18"/>
      <c r="TT85" s="18"/>
      <c r="TU85" s="18"/>
      <c r="TV85" s="18"/>
      <c r="TW85" s="18"/>
      <c r="TX85" s="18"/>
      <c r="TY85" s="18"/>
      <c r="TZ85" s="18"/>
      <c r="UA85" s="18"/>
      <c r="UB85" s="18"/>
      <c r="UC85" s="18"/>
      <c r="UD85" s="18"/>
      <c r="UE85" s="18"/>
      <c r="UF85" s="18"/>
      <c r="UG85" s="18"/>
      <c r="UH85" s="18"/>
      <c r="UI85" s="18"/>
      <c r="UJ85" s="18"/>
      <c r="UK85" s="18"/>
      <c r="UL85" s="18"/>
      <c r="UM85" s="18"/>
      <c r="UN85" s="18"/>
      <c r="UO85" s="18"/>
      <c r="UP85" s="18"/>
      <c r="UQ85" s="18"/>
      <c r="UR85" s="18"/>
      <c r="US85" s="18"/>
      <c r="UT85" s="18"/>
      <c r="UU85" s="18"/>
      <c r="UV85" s="18"/>
      <c r="UW85" s="18"/>
      <c r="UX85" s="18"/>
      <c r="UY85" s="18"/>
      <c r="UZ85" s="18"/>
      <c r="VA85" s="18"/>
      <c r="VB85" s="18"/>
      <c r="VC85" s="18"/>
      <c r="VD85" s="18"/>
      <c r="VE85" s="18"/>
      <c r="VF85" s="18"/>
      <c r="VG85" s="18"/>
      <c r="VH85" s="18"/>
      <c r="VI85" s="18"/>
      <c r="VJ85" s="18"/>
      <c r="VK85" s="18"/>
      <c r="VL85" s="18"/>
      <c r="VM85" s="18"/>
      <c r="VN85" s="18"/>
      <c r="VO85" s="18"/>
      <c r="VP85" s="18"/>
      <c r="VQ85" s="18"/>
      <c r="VR85" s="18"/>
      <c r="VS85" s="18"/>
      <c r="VT85" s="18"/>
      <c r="VU85" s="18"/>
      <c r="VV85" s="18"/>
      <c r="VW85" s="18"/>
      <c r="VX85" s="18"/>
      <c r="VY85" s="18"/>
      <c r="VZ85" s="18"/>
      <c r="WA85" s="18"/>
      <c r="WB85" s="18"/>
      <c r="WC85" s="18"/>
      <c r="WD85" s="18"/>
      <c r="WE85" s="18"/>
      <c r="WF85" s="18"/>
      <c r="WG85" s="18"/>
      <c r="WH85" s="18"/>
      <c r="WI85" s="18"/>
      <c r="WJ85" s="18"/>
      <c r="WK85" s="18"/>
      <c r="WL85" s="18"/>
      <c r="WM85" s="18"/>
      <c r="WN85" s="18"/>
      <c r="WO85" s="18"/>
      <c r="WP85" s="18"/>
      <c r="WQ85" s="18"/>
      <c r="WR85" s="18"/>
      <c r="WS85" s="18"/>
      <c r="WT85" s="18"/>
      <c r="WU85" s="18"/>
      <c r="WV85" s="18"/>
      <c r="WW85" s="18"/>
      <c r="WX85" s="18"/>
      <c r="WY85" s="18"/>
      <c r="WZ85" s="18"/>
      <c r="XA85" s="18"/>
      <c r="XB85" s="18"/>
      <c r="XC85" s="18"/>
      <c r="XD85" s="18"/>
      <c r="XE85" s="18"/>
      <c r="XF85" s="18"/>
      <c r="XG85" s="18"/>
      <c r="XH85" s="18"/>
      <c r="XI85" s="18"/>
      <c r="XJ85" s="18"/>
      <c r="XK85" s="18"/>
      <c r="XL85" s="18"/>
      <c r="XM85" s="18"/>
      <c r="XN85" s="18"/>
      <c r="XO85" s="18"/>
      <c r="XP85" s="18"/>
      <c r="XQ85" s="18"/>
      <c r="XR85" s="18"/>
      <c r="XS85" s="18"/>
      <c r="XT85" s="18"/>
      <c r="XU85" s="18"/>
      <c r="XV85" s="18"/>
      <c r="XW85" s="18"/>
      <c r="XX85" s="18"/>
      <c r="XY85" s="18"/>
      <c r="XZ85" s="18"/>
      <c r="YA85" s="18"/>
      <c r="YB85" s="18"/>
      <c r="YC85" s="18"/>
      <c r="YD85" s="18"/>
      <c r="YE85" s="18"/>
      <c r="YF85" s="18"/>
      <c r="YG85" s="18"/>
      <c r="YH85" s="18"/>
      <c r="YI85" s="18"/>
      <c r="YJ85" s="18"/>
      <c r="YK85" s="18"/>
      <c r="YL85" s="18"/>
      <c r="YM85" s="18"/>
      <c r="YN85" s="18"/>
      <c r="YO85" s="18"/>
      <c r="YP85" s="18"/>
      <c r="YQ85" s="18"/>
      <c r="YR85" s="18"/>
      <c r="YS85" s="18"/>
      <c r="YT85" s="18"/>
      <c r="YU85" s="18"/>
      <c r="YV85" s="18"/>
      <c r="YW85" s="18"/>
      <c r="YX85" s="18"/>
      <c r="YY85" s="18"/>
      <c r="YZ85" s="18"/>
      <c r="ZA85" s="18"/>
      <c r="ZB85" s="18"/>
      <c r="ZC85" s="18"/>
      <c r="ZD85" s="18"/>
      <c r="ZE85" s="18"/>
      <c r="ZF85" s="18"/>
      <c r="ZG85" s="18"/>
      <c r="ZH85" s="18"/>
      <c r="ZI85" s="18"/>
      <c r="ZJ85" s="18"/>
      <c r="ZK85" s="18"/>
      <c r="ZL85" s="18"/>
      <c r="ZM85" s="18"/>
      <c r="ZN85" s="18"/>
      <c r="ZO85" s="18"/>
      <c r="ZP85" s="18"/>
      <c r="ZQ85" s="18"/>
      <c r="ZR85" s="18"/>
      <c r="ZS85" s="18"/>
      <c r="ZT85" s="18"/>
      <c r="ZU85" s="18"/>
      <c r="ZV85" s="18"/>
      <c r="ZW85" s="18"/>
      <c r="ZX85" s="18"/>
      <c r="ZY85" s="18"/>
      <c r="ZZ85" s="18"/>
      <c r="AAA85" s="18"/>
      <c r="AAB85" s="18"/>
      <c r="AAC85" s="18"/>
      <c r="AAD85" s="18"/>
      <c r="AAE85" s="18"/>
      <c r="AAF85" s="18"/>
      <c r="AAG85" s="18"/>
      <c r="AAH85" s="18"/>
      <c r="AAI85" s="18"/>
      <c r="AAJ85" s="18"/>
      <c r="AAK85" s="18"/>
      <c r="AAL85" s="18"/>
      <c r="AAM85" s="18"/>
      <c r="AAN85" s="18"/>
      <c r="AAO85" s="18"/>
      <c r="AAP85" s="18"/>
      <c r="AAQ85" s="18"/>
      <c r="AAR85" s="18"/>
      <c r="AAS85" s="18"/>
      <c r="AAT85" s="18"/>
      <c r="AAU85" s="18"/>
      <c r="AAV85" s="18"/>
      <c r="AAW85" s="18"/>
      <c r="AAX85" s="18"/>
      <c r="AAY85" s="18"/>
      <c r="AAZ85" s="18"/>
      <c r="ABA85" s="18"/>
      <c r="ABB85" s="18"/>
      <c r="ABC85" s="18"/>
      <c r="ABD85" s="18"/>
      <c r="ABE85" s="18"/>
      <c r="ABF85" s="18"/>
      <c r="ABG85" s="18"/>
      <c r="ABH85" s="18"/>
      <c r="ABI85" s="18"/>
      <c r="ABJ85" s="18"/>
      <c r="ABK85" s="18"/>
      <c r="ABL85" s="18"/>
      <c r="ABM85" s="18"/>
      <c r="ABN85" s="18"/>
      <c r="ABO85" s="18"/>
      <c r="ABP85" s="18"/>
      <c r="ABQ85" s="18"/>
      <c r="ABR85" s="18"/>
      <c r="ABS85" s="18"/>
      <c r="ABT85" s="18"/>
      <c r="ABU85" s="18"/>
      <c r="ABV85" s="18"/>
      <c r="ABW85" s="18"/>
      <c r="ABX85" s="18"/>
      <c r="ABY85" s="18"/>
      <c r="ABZ85" s="18"/>
      <c r="ACA85" s="18"/>
      <c r="ACB85" s="18"/>
      <c r="ACC85" s="18"/>
      <c r="ACD85" s="18"/>
      <c r="ACE85" s="18"/>
      <c r="ACF85" s="18"/>
      <c r="ACG85" s="18"/>
      <c r="ACH85" s="18"/>
      <c r="ACI85" s="18"/>
      <c r="ACJ85" s="18"/>
      <c r="ACK85" s="18"/>
      <c r="ACL85" s="18"/>
      <c r="ACM85" s="18"/>
      <c r="ACN85" s="18"/>
      <c r="ACO85" s="18"/>
      <c r="ACP85" s="18"/>
      <c r="ACQ85" s="18"/>
      <c r="ACR85" s="18"/>
      <c r="ACS85" s="18"/>
      <c r="ACT85" s="18"/>
      <c r="ACU85" s="18"/>
      <c r="ACV85" s="18"/>
      <c r="ACW85" s="18"/>
      <c r="ACX85" s="18"/>
      <c r="ACY85" s="18"/>
      <c r="ACZ85" s="18"/>
      <c r="ADA85" s="18"/>
      <c r="ADB85" s="18"/>
      <c r="ADC85" s="18"/>
      <c r="ADD85" s="18"/>
      <c r="ADE85" s="18"/>
      <c r="ADF85" s="18"/>
      <c r="ADG85" s="18"/>
      <c r="ADH85" s="18"/>
      <c r="ADI85" s="18"/>
      <c r="ADJ85" s="18"/>
      <c r="ADK85" s="18"/>
      <c r="ADL85" s="18"/>
      <c r="ADM85" s="18"/>
      <c r="ADN85" s="18"/>
      <c r="ADO85" s="18"/>
      <c r="ADP85" s="18"/>
      <c r="ADQ85" s="18"/>
      <c r="ADR85" s="18"/>
      <c r="ADS85" s="18"/>
      <c r="ADT85" s="18"/>
      <c r="ADU85" s="18"/>
      <c r="ADV85" s="18"/>
      <c r="ADW85" s="18"/>
      <c r="ADX85" s="18"/>
      <c r="ADY85" s="18"/>
      <c r="ADZ85" s="18"/>
      <c r="AEA85" s="18"/>
      <c r="AEB85" s="18"/>
      <c r="AEC85" s="18"/>
      <c r="AED85" s="18"/>
      <c r="AEE85" s="18"/>
      <c r="AEF85" s="18"/>
      <c r="AEG85" s="18"/>
      <c r="AEH85" s="18"/>
      <c r="AEI85" s="18"/>
      <c r="AEJ85" s="18"/>
      <c r="AEK85" s="18"/>
      <c r="AEL85" s="18"/>
      <c r="AEM85" s="18"/>
      <c r="AEN85" s="18"/>
      <c r="AEO85" s="18"/>
      <c r="AEP85" s="18"/>
      <c r="AEQ85" s="18"/>
      <c r="AER85" s="18"/>
      <c r="AES85" s="18"/>
      <c r="AET85" s="18"/>
      <c r="AEU85" s="18"/>
      <c r="AEV85" s="18"/>
      <c r="AEW85" s="18"/>
      <c r="AEX85" s="18"/>
      <c r="AEY85" s="18"/>
      <c r="AEZ85" s="18"/>
      <c r="AFA85" s="18"/>
      <c r="AFB85" s="18"/>
      <c r="AFC85" s="18"/>
      <c r="AFD85" s="18"/>
      <c r="AFE85" s="18"/>
      <c r="AFF85" s="18"/>
      <c r="AFG85" s="18"/>
      <c r="AFH85" s="18"/>
      <c r="AFI85" s="18"/>
      <c r="AFJ85" s="18"/>
      <c r="AFK85" s="18"/>
      <c r="AFL85" s="18"/>
      <c r="AFM85" s="18"/>
      <c r="AFN85" s="18"/>
      <c r="AFO85" s="18"/>
      <c r="AFP85" s="18"/>
      <c r="AFQ85" s="18"/>
      <c r="AFR85" s="18"/>
      <c r="AFS85" s="18"/>
      <c r="AFT85" s="18"/>
      <c r="AFU85" s="18"/>
      <c r="AFV85" s="18"/>
      <c r="AFW85" s="18"/>
      <c r="AFX85" s="18"/>
      <c r="AFY85" s="18"/>
      <c r="AFZ85" s="18"/>
      <c r="AGA85" s="18"/>
      <c r="AGB85" s="18"/>
      <c r="AGC85" s="18"/>
      <c r="AGD85" s="18"/>
      <c r="AGE85" s="18"/>
      <c r="AGF85" s="18"/>
      <c r="AGG85" s="18"/>
      <c r="AGH85" s="18"/>
      <c r="AGI85" s="18"/>
      <c r="AGJ85" s="18"/>
      <c r="AGK85" s="18"/>
      <c r="AGL85" s="18"/>
      <c r="AGM85" s="18"/>
      <c r="AGN85" s="18"/>
      <c r="AGO85" s="18"/>
      <c r="AGP85" s="18"/>
      <c r="AGQ85" s="18"/>
      <c r="AGR85" s="18"/>
      <c r="AGS85" s="18"/>
      <c r="AGT85" s="18"/>
      <c r="AGU85" s="18"/>
      <c r="AGV85" s="18"/>
      <c r="AGW85" s="18"/>
      <c r="AGX85" s="18"/>
      <c r="AGY85" s="18"/>
      <c r="AGZ85" s="18"/>
      <c r="AHA85" s="18"/>
      <c r="AHB85" s="18"/>
      <c r="AHC85" s="18"/>
      <c r="AHD85" s="18"/>
      <c r="AHE85" s="18"/>
      <c r="AHF85" s="18"/>
      <c r="AHG85" s="18"/>
      <c r="AHH85" s="18"/>
      <c r="AHI85" s="18"/>
      <c r="AHJ85" s="18"/>
      <c r="AHK85" s="18"/>
      <c r="AHL85" s="18"/>
      <c r="AHM85" s="18"/>
      <c r="AHN85" s="18"/>
      <c r="AHO85" s="18"/>
      <c r="AHP85" s="18"/>
      <c r="AHQ85" s="18"/>
      <c r="AHR85" s="18"/>
      <c r="AHS85" s="18"/>
      <c r="AHT85" s="18"/>
      <c r="AHU85" s="18"/>
      <c r="AHV85" s="18"/>
      <c r="AHW85" s="18"/>
      <c r="AHX85" s="18"/>
      <c r="AHY85" s="18"/>
      <c r="AHZ85" s="18"/>
      <c r="AIA85" s="18"/>
      <c r="AIB85" s="18"/>
      <c r="AIC85" s="18"/>
      <c r="AID85" s="18"/>
      <c r="AIE85" s="18"/>
      <c r="AIF85" s="18"/>
      <c r="AIG85" s="18"/>
      <c r="AIH85" s="18"/>
      <c r="AII85" s="18"/>
      <c r="AIJ85" s="18"/>
      <c r="AIK85" s="18"/>
      <c r="AIL85" s="18"/>
      <c r="AIM85" s="18"/>
      <c r="AIN85" s="18"/>
      <c r="AIO85" s="18"/>
      <c r="AIP85" s="18"/>
      <c r="AIQ85" s="18"/>
      <c r="AIR85" s="18"/>
      <c r="AIS85" s="18"/>
      <c r="AIT85" s="18"/>
      <c r="AIU85" s="18"/>
      <c r="AIV85" s="18"/>
      <c r="AIW85" s="18"/>
      <c r="AIX85" s="18"/>
      <c r="AIY85" s="18"/>
      <c r="AIZ85" s="18"/>
      <c r="AJA85" s="18"/>
      <c r="AJB85" s="18"/>
      <c r="AJC85" s="18"/>
      <c r="AJD85" s="18"/>
      <c r="AJE85" s="18"/>
      <c r="AJF85" s="18"/>
      <c r="AJG85" s="18"/>
      <c r="AJH85" s="18"/>
      <c r="AJI85" s="18"/>
      <c r="AJJ85" s="18"/>
      <c r="AJK85" s="18"/>
      <c r="AJL85" s="18"/>
      <c r="AJM85" s="18"/>
      <c r="AJN85" s="18"/>
      <c r="AJO85" s="18"/>
      <c r="AJP85" s="18"/>
      <c r="AJQ85" s="18"/>
      <c r="AJR85" s="18"/>
      <c r="AJS85" s="18"/>
      <c r="AJT85" s="18"/>
      <c r="AJU85" s="18"/>
      <c r="AJV85" s="18"/>
      <c r="AJW85" s="18"/>
      <c r="AJX85" s="18"/>
      <c r="AJY85" s="18"/>
      <c r="AJZ85" s="18"/>
      <c r="AKA85" s="18"/>
      <c r="AKB85" s="18"/>
      <c r="AKC85" s="18"/>
      <c r="AKD85" s="18"/>
      <c r="AKE85" s="18"/>
      <c r="AKF85" s="18"/>
      <c r="AKG85" s="18"/>
      <c r="AKH85" s="18"/>
      <c r="AKI85" s="18"/>
      <c r="AKJ85" s="18"/>
      <c r="AKK85" s="18"/>
      <c r="AKL85" s="18"/>
      <c r="AKM85" s="18"/>
      <c r="AKN85" s="18"/>
      <c r="AKO85" s="18"/>
      <c r="AKP85" s="18"/>
      <c r="AKQ85" s="18"/>
      <c r="AKR85" s="18"/>
      <c r="AKS85" s="18"/>
      <c r="AKT85" s="18"/>
      <c r="AKU85" s="18"/>
      <c r="AKV85" s="18"/>
      <c r="AKW85" s="18"/>
      <c r="AKX85" s="18"/>
      <c r="AKY85" s="18"/>
      <c r="AKZ85" s="18"/>
      <c r="ALA85" s="18"/>
      <c r="ALB85" s="18"/>
      <c r="ALC85" s="18"/>
      <c r="ALD85" s="18"/>
      <c r="ALE85" s="18"/>
      <c r="ALF85" s="18"/>
      <c r="ALG85" s="18"/>
      <c r="ALH85" s="18"/>
      <c r="ALI85" s="18"/>
      <c r="ALJ85" s="18"/>
      <c r="ALK85" s="18"/>
      <c r="ALL85" s="18"/>
      <c r="ALM85" s="18"/>
      <c r="ALN85" s="18"/>
      <c r="ALO85" s="18"/>
      <c r="ALP85" s="18"/>
      <c r="ALQ85" s="18"/>
      <c r="ALR85" s="18"/>
      <c r="ALS85" s="18"/>
      <c r="ALT85" s="18"/>
      <c r="ALU85" s="18"/>
      <c r="ALV85" s="18"/>
      <c r="ALW85" s="18"/>
      <c r="ALX85" s="18"/>
      <c r="ALY85" s="18"/>
      <c r="ALZ85" s="18"/>
      <c r="AMA85" s="18"/>
      <c r="AMB85" s="18"/>
      <c r="AMC85" s="18"/>
      <c r="AMD85" s="18"/>
      <c r="AME85" s="18"/>
      <c r="AMF85" s="18"/>
      <c r="AMG85" s="18"/>
      <c r="AMH85" s="18"/>
      <c r="AMI85" s="18"/>
      <c r="AMJ85" s="18"/>
      <c r="AMK85" s="18"/>
      <c r="AML85" s="18"/>
      <c r="AMM85" s="18"/>
    </row>
    <row r="86" spans="1:1027" s="29" customFormat="1" x14ac:dyDescent="0.2">
      <c r="A86" s="54">
        <v>2</v>
      </c>
      <c r="B86" s="18" t="s">
        <v>208</v>
      </c>
      <c r="C86" s="18" t="s">
        <v>209</v>
      </c>
      <c r="D86" s="18">
        <v>193</v>
      </c>
      <c r="E86" s="42" t="s">
        <v>507</v>
      </c>
      <c r="F86" s="42" t="s">
        <v>507</v>
      </c>
      <c r="G86" s="43" t="s">
        <v>540</v>
      </c>
      <c r="H86" s="42" t="s">
        <v>507</v>
      </c>
      <c r="I86" s="42" t="s">
        <v>507</v>
      </c>
      <c r="J86" s="42" t="s">
        <v>507</v>
      </c>
      <c r="K86" s="21" t="s">
        <v>509</v>
      </c>
      <c r="L86" s="18"/>
      <c r="M86" s="1" t="s">
        <v>510</v>
      </c>
      <c r="N86" s="1"/>
      <c r="O86" s="18"/>
      <c r="P86" s="18"/>
      <c r="Q86" s="18"/>
      <c r="R86" s="18"/>
      <c r="S86" s="13"/>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c r="AMK86" s="1"/>
      <c r="AML86" s="18"/>
    </row>
    <row r="87" spans="1:1027" s="18" customFormat="1" x14ac:dyDescent="0.2">
      <c r="A87" s="29">
        <v>3</v>
      </c>
      <c r="B87" s="29" t="s">
        <v>643</v>
      </c>
      <c r="C87" s="29" t="s">
        <v>644</v>
      </c>
      <c r="D87" s="29">
        <v>185</v>
      </c>
      <c r="E87" s="55" t="s">
        <v>507</v>
      </c>
      <c r="F87" s="55">
        <v>97</v>
      </c>
      <c r="G87" s="56" t="s">
        <v>508</v>
      </c>
      <c r="H87" s="55" t="s">
        <v>507</v>
      </c>
      <c r="I87" s="55"/>
      <c r="J87" s="55" t="s">
        <v>507</v>
      </c>
      <c r="K87" s="23"/>
      <c r="L87" s="29"/>
      <c r="M87" s="1"/>
      <c r="N87" s="1"/>
      <c r="O87" s="29"/>
      <c r="P87" s="29"/>
      <c r="Q87" s="29"/>
      <c r="R87" s="29"/>
      <c r="S87" s="52" t="s">
        <v>640</v>
      </c>
      <c r="T87" s="57"/>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s="29"/>
      <c r="DE87" s="29"/>
      <c r="DF87" s="29"/>
      <c r="DG87" s="29"/>
      <c r="DH87" s="29"/>
      <c r="DI87" s="29"/>
      <c r="DJ87" s="29"/>
      <c r="DK87" s="29"/>
      <c r="DL87" s="29"/>
      <c r="DM87" s="29"/>
      <c r="DN87" s="29"/>
      <c r="DO87" s="29"/>
      <c r="DP87" s="29"/>
      <c r="DQ87" s="29"/>
      <c r="DR87" s="29"/>
      <c r="DS87" s="29"/>
      <c r="DT87" s="29"/>
      <c r="DU87" s="29"/>
      <c r="DV87" s="29"/>
      <c r="DW87" s="29"/>
      <c r="DX87" s="29"/>
      <c r="DY87" s="29"/>
      <c r="DZ87" s="29"/>
      <c r="EA87" s="29"/>
      <c r="EB87" s="29"/>
      <c r="EC87" s="29"/>
      <c r="ED87" s="29"/>
      <c r="EE87" s="29"/>
      <c r="EF87" s="29"/>
      <c r="EG87" s="29"/>
      <c r="EH87" s="29"/>
      <c r="EI87" s="29"/>
      <c r="EJ87" s="29"/>
      <c r="EK87" s="29"/>
      <c r="EL87" s="29"/>
      <c r="EM87" s="29"/>
      <c r="EN87" s="29"/>
      <c r="EO87" s="29"/>
      <c r="EP87" s="29"/>
      <c r="EQ87" s="29"/>
      <c r="ER87" s="29"/>
      <c r="ES87" s="29"/>
      <c r="ET87" s="29"/>
      <c r="EU87" s="29"/>
      <c r="EV87" s="29"/>
      <c r="EW87" s="29"/>
      <c r="EX87" s="29"/>
      <c r="EY87" s="29"/>
      <c r="EZ87" s="29"/>
      <c r="FA87" s="29"/>
      <c r="FB87" s="29"/>
      <c r="FC87" s="29"/>
      <c r="FD87" s="29"/>
      <c r="FE87" s="29"/>
      <c r="FF87" s="29"/>
      <c r="FG87" s="29"/>
      <c r="FH87" s="29"/>
      <c r="FI87" s="29"/>
      <c r="FJ87" s="29"/>
      <c r="FK87" s="29"/>
      <c r="FL87" s="29"/>
      <c r="FM87" s="29"/>
      <c r="FN87" s="29"/>
      <c r="FO87" s="29"/>
      <c r="FP87" s="29"/>
      <c r="FQ87" s="29"/>
      <c r="FR87" s="29"/>
      <c r="FS87" s="29"/>
      <c r="FT87" s="29"/>
      <c r="FU87" s="29"/>
      <c r="FV87" s="29"/>
      <c r="FW87" s="29"/>
      <c r="FX87" s="29"/>
      <c r="FY87" s="29"/>
      <c r="FZ87" s="29"/>
      <c r="GA87" s="29"/>
      <c r="GB87" s="29"/>
      <c r="GC87" s="29"/>
      <c r="GD87" s="29"/>
      <c r="GE87" s="29"/>
      <c r="GF87" s="29"/>
      <c r="GG87" s="29"/>
      <c r="GH87" s="29"/>
      <c r="GI87" s="29"/>
      <c r="GJ87" s="29"/>
      <c r="GK87" s="29"/>
      <c r="GL87" s="29"/>
      <c r="GM87" s="29"/>
      <c r="GN87" s="29"/>
      <c r="GO87" s="29"/>
      <c r="GP87" s="29"/>
      <c r="GQ87" s="29"/>
      <c r="GR87" s="29"/>
      <c r="GS87" s="29"/>
      <c r="GT87" s="29"/>
      <c r="GU87" s="29"/>
      <c r="GV87" s="29"/>
      <c r="GW87" s="29"/>
      <c r="GX87" s="29"/>
      <c r="GY87" s="29"/>
      <c r="GZ87" s="29"/>
      <c r="HA87" s="29"/>
      <c r="HB87" s="29"/>
      <c r="HC87" s="29"/>
      <c r="HD87" s="29"/>
      <c r="HE87" s="29"/>
      <c r="HF87" s="29"/>
      <c r="HG87" s="29"/>
      <c r="HH87" s="29"/>
      <c r="HI87" s="29"/>
      <c r="HJ87" s="29"/>
      <c r="HK87" s="29"/>
      <c r="HL87" s="29"/>
      <c r="HM87" s="29"/>
      <c r="HN87" s="29"/>
      <c r="HO87" s="29"/>
      <c r="HP87" s="29"/>
      <c r="HQ87" s="29"/>
      <c r="HR87" s="29"/>
      <c r="HS87" s="29"/>
      <c r="HT87" s="29"/>
      <c r="HU87" s="29"/>
      <c r="HV87" s="29"/>
      <c r="HW87" s="29"/>
      <c r="HX87" s="29"/>
      <c r="HY87" s="29"/>
      <c r="HZ87" s="29"/>
      <c r="IA87" s="29"/>
      <c r="IB87" s="29"/>
      <c r="IC87" s="29"/>
      <c r="ID87" s="29"/>
      <c r="IE87" s="29"/>
      <c r="IF87" s="29"/>
      <c r="IG87" s="29"/>
      <c r="IH87" s="29"/>
      <c r="II87" s="29"/>
      <c r="IJ87" s="29"/>
      <c r="IK87" s="29"/>
      <c r="IL87" s="29"/>
      <c r="IM87" s="29"/>
      <c r="IN87" s="29"/>
      <c r="IO87" s="29"/>
      <c r="IP87" s="29"/>
      <c r="IQ87" s="29"/>
      <c r="IR87" s="29"/>
      <c r="IS87" s="29"/>
      <c r="IT87" s="29"/>
      <c r="IU87" s="29"/>
      <c r="IV87" s="29"/>
      <c r="IW87" s="29"/>
      <c r="IX87" s="29"/>
      <c r="IY87" s="29"/>
      <c r="IZ87" s="29"/>
      <c r="JA87" s="29"/>
      <c r="JB87" s="29"/>
      <c r="JC87" s="29"/>
      <c r="JD87" s="29"/>
      <c r="JE87" s="29"/>
      <c r="JF87" s="29"/>
      <c r="JG87" s="29"/>
      <c r="JH87" s="29"/>
      <c r="JI87" s="29"/>
      <c r="JJ87" s="29"/>
      <c r="JK87" s="29"/>
      <c r="JL87" s="29"/>
      <c r="JM87" s="29"/>
      <c r="JN87" s="29"/>
      <c r="JO87" s="29"/>
      <c r="JP87" s="29"/>
      <c r="JQ87" s="29"/>
      <c r="JR87" s="29"/>
      <c r="JS87" s="29"/>
      <c r="JT87" s="29"/>
      <c r="JU87" s="29"/>
      <c r="JV87" s="29"/>
      <c r="JW87" s="29"/>
      <c r="JX87" s="29"/>
      <c r="JY87" s="29"/>
      <c r="JZ87" s="29"/>
      <c r="KA87" s="29"/>
      <c r="KB87" s="29"/>
      <c r="KC87" s="29"/>
      <c r="KD87" s="29"/>
      <c r="KE87" s="29"/>
      <c r="KF87" s="29"/>
      <c r="KG87" s="29"/>
      <c r="KH87" s="29"/>
      <c r="KI87" s="29"/>
      <c r="KJ87" s="29"/>
      <c r="KK87" s="29"/>
      <c r="KL87" s="29"/>
      <c r="KM87" s="29"/>
      <c r="KN87" s="29"/>
      <c r="KO87" s="29"/>
      <c r="KP87" s="29"/>
      <c r="KQ87" s="29"/>
      <c r="KR87" s="29"/>
      <c r="KS87" s="29"/>
      <c r="KT87" s="29"/>
      <c r="KU87" s="29"/>
      <c r="KV87" s="29"/>
      <c r="KW87" s="29"/>
      <c r="KX87" s="29"/>
      <c r="KY87" s="29"/>
      <c r="KZ87" s="29"/>
      <c r="LA87" s="29"/>
      <c r="LB87" s="29"/>
      <c r="LC87" s="29"/>
      <c r="LD87" s="29"/>
      <c r="LE87" s="29"/>
      <c r="LF87" s="29"/>
      <c r="LG87" s="29"/>
      <c r="LH87" s="29"/>
      <c r="LI87" s="29"/>
      <c r="LJ87" s="29"/>
      <c r="LK87" s="29"/>
      <c r="LL87" s="29"/>
      <c r="LM87" s="29"/>
      <c r="LN87" s="29"/>
      <c r="LO87" s="29"/>
      <c r="LP87" s="29"/>
      <c r="LQ87" s="29"/>
      <c r="LR87" s="29"/>
      <c r="LS87" s="29"/>
      <c r="LT87" s="29"/>
      <c r="LU87" s="29"/>
      <c r="LV87" s="29"/>
      <c r="LW87" s="29"/>
      <c r="LX87" s="29"/>
      <c r="LY87" s="29"/>
      <c r="LZ87" s="29"/>
      <c r="MA87" s="29"/>
      <c r="MB87" s="29"/>
      <c r="MC87" s="29"/>
      <c r="MD87" s="29"/>
      <c r="ME87" s="29"/>
      <c r="MF87" s="29"/>
      <c r="MG87" s="29"/>
      <c r="MH87" s="29"/>
      <c r="MI87" s="29"/>
      <c r="MJ87" s="29"/>
      <c r="MK87" s="29"/>
      <c r="ML87" s="29"/>
      <c r="MM87" s="29"/>
      <c r="MN87" s="29"/>
      <c r="MO87" s="29"/>
      <c r="MP87" s="29"/>
      <c r="MQ87" s="29"/>
      <c r="MR87" s="29"/>
      <c r="MS87" s="29"/>
      <c r="MT87" s="29"/>
      <c r="MU87" s="29"/>
      <c r="MV87" s="29"/>
      <c r="MW87" s="29"/>
      <c r="MX87" s="29"/>
      <c r="MY87" s="29"/>
      <c r="MZ87" s="29"/>
      <c r="NA87" s="29"/>
      <c r="NB87" s="29"/>
      <c r="NC87" s="29"/>
      <c r="ND87" s="29"/>
      <c r="NE87" s="29"/>
      <c r="NF87" s="29"/>
      <c r="NG87" s="29"/>
      <c r="NH87" s="29"/>
      <c r="NI87" s="29"/>
      <c r="NJ87" s="29"/>
      <c r="NK87" s="29"/>
      <c r="NL87" s="29"/>
      <c r="NM87" s="29"/>
      <c r="NN87" s="29"/>
      <c r="NO87" s="29"/>
      <c r="NP87" s="29"/>
      <c r="NQ87" s="29"/>
      <c r="NR87" s="29"/>
      <c r="NS87" s="29"/>
      <c r="NT87" s="29"/>
      <c r="NU87" s="29"/>
      <c r="NV87" s="29"/>
      <c r="NW87" s="29"/>
      <c r="NX87" s="29"/>
      <c r="NY87" s="29"/>
      <c r="NZ87" s="29"/>
      <c r="OA87" s="29"/>
      <c r="OB87" s="29"/>
      <c r="OC87" s="29"/>
      <c r="OD87" s="29"/>
      <c r="OE87" s="29"/>
      <c r="OF87" s="29"/>
      <c r="OG87" s="29"/>
      <c r="OH87" s="29"/>
      <c r="OI87" s="29"/>
      <c r="OJ87" s="29"/>
      <c r="OK87" s="29"/>
      <c r="OL87" s="29"/>
      <c r="OM87" s="29"/>
      <c r="ON87" s="29"/>
      <c r="OO87" s="29"/>
      <c r="OP87" s="29"/>
      <c r="OQ87" s="29"/>
      <c r="OR87" s="29"/>
      <c r="OS87" s="29"/>
      <c r="OT87" s="29"/>
      <c r="OU87" s="29"/>
      <c r="OV87" s="29"/>
      <c r="OW87" s="29"/>
      <c r="OX87" s="29"/>
      <c r="OY87" s="29"/>
      <c r="OZ87" s="29"/>
      <c r="PA87" s="29"/>
      <c r="PB87" s="29"/>
      <c r="PC87" s="29"/>
      <c r="PD87" s="29"/>
      <c r="PE87" s="29"/>
      <c r="PF87" s="29"/>
      <c r="PG87" s="29"/>
      <c r="PH87" s="29"/>
      <c r="PI87" s="29"/>
      <c r="PJ87" s="29"/>
      <c r="PK87" s="29"/>
      <c r="PL87" s="29"/>
      <c r="PM87" s="29"/>
      <c r="PN87" s="29"/>
      <c r="PO87" s="29"/>
      <c r="PP87" s="29"/>
      <c r="PQ87" s="29"/>
      <c r="PR87" s="29"/>
      <c r="PS87" s="29"/>
      <c r="PT87" s="29"/>
      <c r="PU87" s="29"/>
      <c r="PV87" s="29"/>
      <c r="PW87" s="29"/>
      <c r="PX87" s="29"/>
      <c r="PY87" s="29"/>
      <c r="PZ87" s="29"/>
      <c r="QA87" s="29"/>
      <c r="QB87" s="29"/>
      <c r="QC87" s="29"/>
      <c r="QD87" s="29"/>
      <c r="QE87" s="29"/>
      <c r="QF87" s="29"/>
      <c r="QG87" s="29"/>
      <c r="QH87" s="29"/>
      <c r="QI87" s="29"/>
      <c r="QJ87" s="29"/>
      <c r="QK87" s="29"/>
      <c r="QL87" s="29"/>
      <c r="QM87" s="29"/>
      <c r="QN87" s="29"/>
      <c r="QO87" s="29"/>
      <c r="QP87" s="29"/>
      <c r="QQ87" s="29"/>
      <c r="QR87" s="29"/>
      <c r="QS87" s="29"/>
      <c r="QT87" s="29"/>
      <c r="QU87" s="29"/>
      <c r="QV87" s="29"/>
      <c r="QW87" s="29"/>
      <c r="QX87" s="29"/>
      <c r="QY87" s="29"/>
      <c r="QZ87" s="29"/>
      <c r="RA87" s="29"/>
      <c r="RB87" s="29"/>
      <c r="RC87" s="29"/>
      <c r="RD87" s="29"/>
      <c r="RE87" s="29"/>
      <c r="RF87" s="29"/>
      <c r="RG87" s="29"/>
      <c r="RH87" s="29"/>
      <c r="RI87" s="29"/>
      <c r="RJ87" s="29"/>
      <c r="RK87" s="29"/>
      <c r="RL87" s="29"/>
      <c r="RM87" s="29"/>
      <c r="RN87" s="29"/>
      <c r="RO87" s="29"/>
      <c r="RP87" s="29"/>
      <c r="RQ87" s="29"/>
      <c r="RR87" s="29"/>
      <c r="RS87" s="29"/>
      <c r="RT87" s="29"/>
      <c r="RU87" s="29"/>
      <c r="RV87" s="29"/>
      <c r="RW87" s="29"/>
      <c r="RX87" s="29"/>
      <c r="RY87" s="29"/>
      <c r="RZ87" s="29"/>
      <c r="SA87" s="29"/>
      <c r="SB87" s="29"/>
      <c r="SC87" s="29"/>
      <c r="SD87" s="29"/>
      <c r="SE87" s="29"/>
      <c r="SF87" s="29"/>
      <c r="SG87" s="29"/>
      <c r="SH87" s="29"/>
      <c r="SI87" s="29"/>
      <c r="SJ87" s="29"/>
      <c r="SK87" s="29"/>
      <c r="SL87" s="29"/>
      <c r="SM87" s="29"/>
      <c r="SN87" s="29"/>
      <c r="SO87" s="29"/>
      <c r="SP87" s="29"/>
      <c r="SQ87" s="29"/>
      <c r="SR87" s="29"/>
      <c r="SS87" s="29"/>
      <c r="ST87" s="29"/>
      <c r="SU87" s="29"/>
      <c r="SV87" s="29"/>
      <c r="SW87" s="29"/>
      <c r="SX87" s="29"/>
      <c r="SY87" s="29"/>
      <c r="SZ87" s="29"/>
      <c r="TA87" s="29"/>
      <c r="TB87" s="29"/>
      <c r="TC87" s="29"/>
      <c r="TD87" s="29"/>
      <c r="TE87" s="29"/>
      <c r="TF87" s="29"/>
      <c r="TG87" s="29"/>
      <c r="TH87" s="29"/>
      <c r="TI87" s="29"/>
      <c r="TJ87" s="29"/>
      <c r="TK87" s="29"/>
      <c r="TL87" s="29"/>
      <c r="TM87" s="29"/>
      <c r="TN87" s="29"/>
      <c r="TO87" s="29"/>
      <c r="TP87" s="29"/>
      <c r="TQ87" s="29"/>
      <c r="TR87" s="29"/>
      <c r="TS87" s="29"/>
      <c r="TT87" s="29"/>
      <c r="TU87" s="29"/>
      <c r="TV87" s="29"/>
      <c r="TW87" s="29"/>
      <c r="TX87" s="29"/>
      <c r="TY87" s="29"/>
      <c r="TZ87" s="29"/>
      <c r="UA87" s="29"/>
      <c r="UB87" s="29"/>
      <c r="UC87" s="29"/>
      <c r="UD87" s="29"/>
      <c r="UE87" s="29"/>
      <c r="UF87" s="29"/>
      <c r="UG87" s="29"/>
      <c r="UH87" s="29"/>
      <c r="UI87" s="29"/>
      <c r="UJ87" s="29"/>
      <c r="UK87" s="29"/>
      <c r="UL87" s="29"/>
      <c r="UM87" s="29"/>
      <c r="UN87" s="29"/>
      <c r="UO87" s="29"/>
      <c r="UP87" s="29"/>
      <c r="UQ87" s="29"/>
      <c r="UR87" s="29"/>
      <c r="US87" s="29"/>
      <c r="UT87" s="29"/>
      <c r="UU87" s="29"/>
      <c r="UV87" s="29"/>
      <c r="UW87" s="29"/>
      <c r="UX87" s="29"/>
      <c r="UY87" s="29"/>
      <c r="UZ87" s="29"/>
      <c r="VA87" s="29"/>
      <c r="VB87" s="29"/>
      <c r="VC87" s="29"/>
      <c r="VD87" s="29"/>
      <c r="VE87" s="29"/>
      <c r="VF87" s="29"/>
      <c r="VG87" s="29"/>
      <c r="VH87" s="29"/>
      <c r="VI87" s="29"/>
      <c r="VJ87" s="29"/>
      <c r="VK87" s="29"/>
      <c r="VL87" s="29"/>
      <c r="VM87" s="29"/>
      <c r="VN87" s="29"/>
      <c r="VO87" s="29"/>
      <c r="VP87" s="29"/>
      <c r="VQ87" s="29"/>
      <c r="VR87" s="29"/>
      <c r="VS87" s="29"/>
      <c r="VT87" s="29"/>
      <c r="VU87" s="29"/>
      <c r="VV87" s="29"/>
      <c r="VW87" s="29"/>
      <c r="VX87" s="29"/>
      <c r="VY87" s="29"/>
      <c r="VZ87" s="29"/>
      <c r="WA87" s="29"/>
      <c r="WB87" s="29"/>
      <c r="WC87" s="29"/>
      <c r="WD87" s="29"/>
      <c r="WE87" s="29"/>
      <c r="WF87" s="29"/>
      <c r="WG87" s="29"/>
      <c r="WH87" s="29"/>
      <c r="WI87" s="29"/>
      <c r="WJ87" s="29"/>
      <c r="WK87" s="29"/>
      <c r="WL87" s="29"/>
      <c r="WM87" s="29"/>
      <c r="WN87" s="29"/>
      <c r="WO87" s="29"/>
      <c r="WP87" s="29"/>
      <c r="WQ87" s="29"/>
      <c r="WR87" s="29"/>
      <c r="WS87" s="29"/>
      <c r="WT87" s="29"/>
      <c r="WU87" s="29"/>
      <c r="WV87" s="29"/>
      <c r="WW87" s="29"/>
      <c r="WX87" s="29"/>
      <c r="WY87" s="29"/>
      <c r="WZ87" s="29"/>
      <c r="XA87" s="29"/>
      <c r="XB87" s="29"/>
      <c r="XC87" s="29"/>
      <c r="XD87" s="29"/>
      <c r="XE87" s="29"/>
      <c r="XF87" s="29"/>
      <c r="XG87" s="29"/>
      <c r="XH87" s="29"/>
      <c r="XI87" s="29"/>
      <c r="XJ87" s="29"/>
      <c r="XK87" s="29"/>
      <c r="XL87" s="29"/>
      <c r="XM87" s="29"/>
      <c r="XN87" s="29"/>
      <c r="XO87" s="29"/>
      <c r="XP87" s="29"/>
      <c r="XQ87" s="29"/>
      <c r="XR87" s="29"/>
      <c r="XS87" s="29"/>
      <c r="XT87" s="29"/>
      <c r="XU87" s="29"/>
      <c r="XV87" s="29"/>
      <c r="XW87" s="29"/>
      <c r="XX87" s="29"/>
      <c r="XY87" s="29"/>
      <c r="XZ87" s="29"/>
      <c r="YA87" s="29"/>
      <c r="YB87" s="29"/>
      <c r="YC87" s="29"/>
      <c r="YD87" s="29"/>
      <c r="YE87" s="29"/>
      <c r="YF87" s="29"/>
      <c r="YG87" s="29"/>
      <c r="YH87" s="29"/>
      <c r="YI87" s="29"/>
      <c r="YJ87" s="29"/>
      <c r="YK87" s="29"/>
      <c r="YL87" s="29"/>
      <c r="YM87" s="29"/>
      <c r="YN87" s="29"/>
      <c r="YO87" s="29"/>
      <c r="YP87" s="29"/>
      <c r="YQ87" s="29"/>
      <c r="YR87" s="29"/>
      <c r="YS87" s="29"/>
      <c r="YT87" s="29"/>
      <c r="YU87" s="29"/>
      <c r="YV87" s="29"/>
      <c r="YW87" s="29"/>
      <c r="YX87" s="29"/>
      <c r="YY87" s="29"/>
      <c r="YZ87" s="29"/>
      <c r="ZA87" s="29"/>
      <c r="ZB87" s="29"/>
      <c r="ZC87" s="29"/>
      <c r="ZD87" s="29"/>
      <c r="ZE87" s="29"/>
      <c r="ZF87" s="29"/>
      <c r="ZG87" s="29"/>
      <c r="ZH87" s="29"/>
      <c r="ZI87" s="29"/>
      <c r="ZJ87" s="29"/>
      <c r="ZK87" s="29"/>
      <c r="ZL87" s="29"/>
      <c r="ZM87" s="29"/>
      <c r="ZN87" s="29"/>
      <c r="ZO87" s="29"/>
      <c r="ZP87" s="29"/>
      <c r="ZQ87" s="29"/>
      <c r="ZR87" s="29"/>
      <c r="ZS87" s="29"/>
      <c r="ZT87" s="29"/>
      <c r="ZU87" s="29"/>
      <c r="ZV87" s="29"/>
      <c r="ZW87" s="29"/>
      <c r="ZX87" s="29"/>
      <c r="ZY87" s="29"/>
      <c r="ZZ87" s="29"/>
      <c r="AAA87" s="29"/>
      <c r="AAB87" s="29"/>
      <c r="AAC87" s="29"/>
      <c r="AAD87" s="29"/>
      <c r="AAE87" s="29"/>
      <c r="AAF87" s="29"/>
      <c r="AAG87" s="29"/>
      <c r="AAH87" s="29"/>
      <c r="AAI87" s="29"/>
      <c r="AAJ87" s="29"/>
      <c r="AAK87" s="29"/>
      <c r="AAL87" s="29"/>
      <c r="AAM87" s="29"/>
      <c r="AAN87" s="29"/>
      <c r="AAO87" s="29"/>
      <c r="AAP87" s="29"/>
      <c r="AAQ87" s="29"/>
      <c r="AAR87" s="29"/>
      <c r="AAS87" s="29"/>
      <c r="AAT87" s="29"/>
      <c r="AAU87" s="29"/>
      <c r="AAV87" s="29"/>
      <c r="AAW87" s="29"/>
      <c r="AAX87" s="29"/>
      <c r="AAY87" s="29"/>
      <c r="AAZ87" s="29"/>
      <c r="ABA87" s="29"/>
      <c r="ABB87" s="29"/>
      <c r="ABC87" s="29"/>
      <c r="ABD87" s="29"/>
      <c r="ABE87" s="29"/>
      <c r="ABF87" s="29"/>
      <c r="ABG87" s="29"/>
      <c r="ABH87" s="29"/>
      <c r="ABI87" s="29"/>
      <c r="ABJ87" s="29"/>
      <c r="ABK87" s="29"/>
      <c r="ABL87" s="29"/>
      <c r="ABM87" s="29"/>
      <c r="ABN87" s="29"/>
      <c r="ABO87" s="29"/>
      <c r="ABP87" s="29"/>
      <c r="ABQ87" s="29"/>
      <c r="ABR87" s="29"/>
      <c r="ABS87" s="29"/>
      <c r="ABT87" s="29"/>
      <c r="ABU87" s="29"/>
      <c r="ABV87" s="29"/>
      <c r="ABW87" s="29"/>
      <c r="ABX87" s="29"/>
      <c r="ABY87" s="29"/>
      <c r="ABZ87" s="29"/>
      <c r="ACA87" s="29"/>
      <c r="ACB87" s="29"/>
      <c r="ACC87" s="29"/>
      <c r="ACD87" s="29"/>
      <c r="ACE87" s="29"/>
      <c r="ACF87" s="29"/>
      <c r="ACG87" s="29"/>
      <c r="ACH87" s="29"/>
      <c r="ACI87" s="29"/>
      <c r="ACJ87" s="29"/>
      <c r="ACK87" s="29"/>
      <c r="ACL87" s="29"/>
      <c r="ACM87" s="29"/>
      <c r="ACN87" s="29"/>
      <c r="ACO87" s="29"/>
      <c r="ACP87" s="29"/>
      <c r="ACQ87" s="29"/>
      <c r="ACR87" s="29"/>
      <c r="ACS87" s="29"/>
      <c r="ACT87" s="29"/>
      <c r="ACU87" s="29"/>
      <c r="ACV87" s="29"/>
      <c r="ACW87" s="29"/>
      <c r="ACX87" s="29"/>
      <c r="ACY87" s="29"/>
      <c r="ACZ87" s="29"/>
      <c r="ADA87" s="29"/>
      <c r="ADB87" s="29"/>
      <c r="ADC87" s="29"/>
      <c r="ADD87" s="29"/>
      <c r="ADE87" s="29"/>
      <c r="ADF87" s="29"/>
      <c r="ADG87" s="29"/>
      <c r="ADH87" s="29"/>
      <c r="ADI87" s="29"/>
      <c r="ADJ87" s="29"/>
      <c r="ADK87" s="29"/>
      <c r="ADL87" s="29"/>
      <c r="ADM87" s="29"/>
      <c r="ADN87" s="29"/>
      <c r="ADO87" s="29"/>
      <c r="ADP87" s="29"/>
      <c r="ADQ87" s="29"/>
      <c r="ADR87" s="29"/>
      <c r="ADS87" s="29"/>
      <c r="ADT87" s="29"/>
      <c r="ADU87" s="29"/>
      <c r="ADV87" s="29"/>
      <c r="ADW87" s="29"/>
      <c r="ADX87" s="29"/>
      <c r="ADY87" s="29"/>
      <c r="ADZ87" s="29"/>
      <c r="AEA87" s="29"/>
      <c r="AEB87" s="29"/>
      <c r="AEC87" s="29"/>
      <c r="AED87" s="29"/>
      <c r="AEE87" s="29"/>
      <c r="AEF87" s="29"/>
      <c r="AEG87" s="29"/>
      <c r="AEH87" s="29"/>
      <c r="AEI87" s="29"/>
      <c r="AEJ87" s="29"/>
      <c r="AEK87" s="29"/>
      <c r="AEL87" s="29"/>
      <c r="AEM87" s="29"/>
      <c r="AEN87" s="29"/>
      <c r="AEO87" s="29"/>
      <c r="AEP87" s="29"/>
      <c r="AEQ87" s="29"/>
      <c r="AER87" s="29"/>
      <c r="AES87" s="29"/>
      <c r="AET87" s="29"/>
      <c r="AEU87" s="29"/>
      <c r="AEV87" s="29"/>
      <c r="AEW87" s="29"/>
      <c r="AEX87" s="29"/>
      <c r="AEY87" s="29"/>
      <c r="AEZ87" s="29"/>
      <c r="AFA87" s="29"/>
      <c r="AFB87" s="29"/>
      <c r="AFC87" s="29"/>
      <c r="AFD87" s="29"/>
      <c r="AFE87" s="29"/>
      <c r="AFF87" s="29"/>
      <c r="AFG87" s="29"/>
      <c r="AFH87" s="29"/>
      <c r="AFI87" s="29"/>
      <c r="AFJ87" s="29"/>
      <c r="AFK87" s="29"/>
      <c r="AFL87" s="29"/>
      <c r="AFM87" s="29"/>
      <c r="AFN87" s="29"/>
      <c r="AFO87" s="29"/>
      <c r="AFP87" s="29"/>
      <c r="AFQ87" s="29"/>
      <c r="AFR87" s="29"/>
      <c r="AFS87" s="29"/>
      <c r="AFT87" s="29"/>
      <c r="AFU87" s="29"/>
      <c r="AFV87" s="29"/>
      <c r="AFW87" s="29"/>
      <c r="AFX87" s="29"/>
      <c r="AFY87" s="29"/>
      <c r="AFZ87" s="29"/>
      <c r="AGA87" s="29"/>
      <c r="AGB87" s="29"/>
      <c r="AGC87" s="29"/>
      <c r="AGD87" s="29"/>
      <c r="AGE87" s="29"/>
      <c r="AGF87" s="29"/>
      <c r="AGG87" s="29"/>
      <c r="AGH87" s="29"/>
      <c r="AGI87" s="29"/>
      <c r="AGJ87" s="29"/>
      <c r="AGK87" s="29"/>
      <c r="AGL87" s="29"/>
      <c r="AGM87" s="29"/>
      <c r="AGN87" s="29"/>
      <c r="AGO87" s="29"/>
      <c r="AGP87" s="29"/>
      <c r="AGQ87" s="29"/>
      <c r="AGR87" s="29"/>
      <c r="AGS87" s="29"/>
      <c r="AGT87" s="29"/>
      <c r="AGU87" s="29"/>
      <c r="AGV87" s="29"/>
      <c r="AGW87" s="29"/>
      <c r="AGX87" s="29"/>
      <c r="AGY87" s="29"/>
      <c r="AGZ87" s="29"/>
      <c r="AHA87" s="29"/>
      <c r="AHB87" s="29"/>
      <c r="AHC87" s="29"/>
      <c r="AHD87" s="29"/>
      <c r="AHE87" s="29"/>
      <c r="AHF87" s="29"/>
      <c r="AHG87" s="29"/>
      <c r="AHH87" s="29"/>
      <c r="AHI87" s="29"/>
      <c r="AHJ87" s="29"/>
      <c r="AHK87" s="29"/>
      <c r="AHL87" s="29"/>
      <c r="AHM87" s="29"/>
      <c r="AHN87" s="29"/>
      <c r="AHO87" s="29"/>
      <c r="AHP87" s="29"/>
      <c r="AHQ87" s="29"/>
      <c r="AHR87" s="29"/>
      <c r="AHS87" s="29"/>
      <c r="AHT87" s="29"/>
      <c r="AHU87" s="29"/>
      <c r="AHV87" s="29"/>
      <c r="AHW87" s="29"/>
      <c r="AHX87" s="29"/>
      <c r="AHY87" s="29"/>
      <c r="AHZ87" s="29"/>
      <c r="AIA87" s="29"/>
      <c r="AIB87" s="29"/>
      <c r="AIC87" s="29"/>
      <c r="AID87" s="29"/>
      <c r="AIE87" s="29"/>
      <c r="AIF87" s="29"/>
      <c r="AIG87" s="29"/>
      <c r="AIH87" s="29"/>
      <c r="AII87" s="29"/>
      <c r="AIJ87" s="29"/>
      <c r="AIK87" s="29"/>
      <c r="AIL87" s="29"/>
      <c r="AIM87" s="29"/>
      <c r="AIN87" s="29"/>
      <c r="AIO87" s="29"/>
      <c r="AIP87" s="29"/>
      <c r="AIQ87" s="29"/>
      <c r="AIR87" s="29"/>
      <c r="AIS87" s="29"/>
      <c r="AIT87" s="29"/>
      <c r="AIU87" s="29"/>
      <c r="AIV87" s="29"/>
      <c r="AIW87" s="29"/>
      <c r="AIX87" s="29"/>
      <c r="AIY87" s="29"/>
      <c r="AIZ87" s="29"/>
      <c r="AJA87" s="29"/>
      <c r="AJB87" s="29"/>
      <c r="AJC87" s="29"/>
      <c r="AJD87" s="29"/>
      <c r="AJE87" s="29"/>
      <c r="AJF87" s="29"/>
      <c r="AJG87" s="29"/>
      <c r="AJH87" s="29"/>
      <c r="AJI87" s="29"/>
      <c r="AJJ87" s="29"/>
      <c r="AJK87" s="29"/>
      <c r="AJL87" s="29"/>
      <c r="AJM87" s="29"/>
      <c r="AJN87" s="29"/>
      <c r="AJO87" s="29"/>
      <c r="AJP87" s="29"/>
      <c r="AJQ87" s="29"/>
      <c r="AJR87" s="29"/>
      <c r="AJS87" s="29"/>
      <c r="AJT87" s="29"/>
      <c r="AJU87" s="29"/>
      <c r="AJV87" s="29"/>
      <c r="AJW87" s="29"/>
      <c r="AJX87" s="29"/>
      <c r="AJY87" s="29"/>
      <c r="AJZ87" s="29"/>
      <c r="AKA87" s="29"/>
      <c r="AKB87" s="29"/>
      <c r="AKC87" s="29"/>
      <c r="AKD87" s="29"/>
      <c r="AKE87" s="29"/>
      <c r="AKF87" s="29"/>
      <c r="AKG87" s="29"/>
      <c r="AKH87" s="29"/>
      <c r="AKI87" s="29"/>
      <c r="AKJ87" s="29"/>
      <c r="AKK87" s="29"/>
      <c r="AKL87" s="29"/>
      <c r="AKM87" s="29"/>
      <c r="AKN87" s="29"/>
      <c r="AKO87" s="29"/>
      <c r="AKP87" s="29"/>
      <c r="AKQ87" s="29"/>
      <c r="AKR87" s="29"/>
      <c r="AKS87" s="29"/>
      <c r="AKT87" s="29"/>
      <c r="AKU87" s="29"/>
      <c r="AKV87" s="29"/>
      <c r="AKW87" s="29"/>
      <c r="AKX87" s="29"/>
      <c r="AKY87" s="29"/>
      <c r="AKZ87" s="29"/>
      <c r="ALA87" s="29"/>
      <c r="ALB87" s="29"/>
      <c r="ALC87" s="29"/>
      <c r="ALD87" s="29"/>
      <c r="ALE87" s="29"/>
      <c r="ALF87" s="29"/>
      <c r="ALG87" s="29"/>
      <c r="ALH87" s="29"/>
      <c r="ALI87" s="29"/>
      <c r="ALJ87" s="29"/>
      <c r="ALK87" s="29"/>
      <c r="ALL87" s="29"/>
      <c r="ALM87" s="29"/>
      <c r="ALN87" s="29"/>
      <c r="ALO87" s="29"/>
      <c r="ALP87" s="29"/>
      <c r="ALQ87" s="29"/>
      <c r="ALR87" s="29"/>
      <c r="ALS87" s="29"/>
      <c r="ALT87" s="29"/>
      <c r="ALU87" s="29"/>
      <c r="ALV87" s="29"/>
      <c r="ALW87" s="29"/>
      <c r="ALX87" s="29"/>
      <c r="ALY87" s="29"/>
      <c r="ALZ87" s="29"/>
      <c r="AMA87" s="29"/>
      <c r="AMB87" s="29"/>
      <c r="AMC87" s="29"/>
      <c r="AMD87" s="29"/>
      <c r="AME87" s="29"/>
      <c r="AMF87" s="29"/>
      <c r="AMG87" s="29"/>
      <c r="AMH87" s="29"/>
      <c r="AMI87" s="29"/>
      <c r="AMJ87" s="29"/>
      <c r="AMK87" s="29"/>
      <c r="AML87" s="29"/>
      <c r="AMM87" s="29"/>
    </row>
    <row r="88" spans="1:1027" x14ac:dyDescent="0.2">
      <c r="A88" s="18">
        <v>2</v>
      </c>
      <c r="B88" s="18" t="s">
        <v>210</v>
      </c>
      <c r="C88" s="18" t="s">
        <v>211</v>
      </c>
      <c r="D88" s="18">
        <v>191</v>
      </c>
      <c r="E88" s="42" t="s">
        <v>507</v>
      </c>
      <c r="F88" s="42" t="s">
        <v>507</v>
      </c>
      <c r="G88" s="43" t="s">
        <v>507</v>
      </c>
      <c r="H88" s="42" t="s">
        <v>507</v>
      </c>
      <c r="I88" s="42" t="s">
        <v>507</v>
      </c>
      <c r="J88" s="42" t="s">
        <v>507</v>
      </c>
      <c r="K88" s="21" t="s">
        <v>509</v>
      </c>
      <c r="L88" s="18"/>
      <c r="M88" s="1" t="s">
        <v>510</v>
      </c>
      <c r="O88" s="18"/>
      <c r="P88" s="18"/>
      <c r="Q88" s="18"/>
      <c r="R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c r="GF88" s="18"/>
      <c r="GG88" s="18"/>
      <c r="GH88" s="18"/>
      <c r="GI88" s="18"/>
      <c r="GJ88" s="18"/>
      <c r="GK88" s="18"/>
      <c r="GL88" s="18"/>
      <c r="GM88" s="18"/>
      <c r="GN88" s="18"/>
      <c r="GO88" s="18"/>
      <c r="GP88" s="18"/>
      <c r="GQ88" s="18"/>
      <c r="GR88" s="18"/>
      <c r="GS88" s="18"/>
      <c r="GT88" s="18"/>
      <c r="GU88" s="18"/>
      <c r="GV88" s="18"/>
      <c r="GW88" s="18"/>
      <c r="GX88" s="18"/>
      <c r="GY88" s="18"/>
      <c r="GZ88" s="18"/>
      <c r="HA88" s="18"/>
      <c r="HB88" s="18"/>
      <c r="HC88" s="18"/>
      <c r="HD88" s="18"/>
      <c r="HE88" s="18"/>
      <c r="HF88" s="18"/>
      <c r="HG88" s="18"/>
      <c r="HH88" s="18"/>
      <c r="HI88" s="18"/>
      <c r="HJ88" s="18"/>
      <c r="HK88" s="18"/>
      <c r="HL88" s="18"/>
      <c r="HM88" s="18"/>
      <c r="HN88" s="18"/>
      <c r="HO88" s="18"/>
      <c r="HP88" s="18"/>
      <c r="HQ88" s="18"/>
      <c r="HR88" s="18"/>
      <c r="HS88" s="18"/>
      <c r="HT88" s="18"/>
      <c r="HU88" s="18"/>
      <c r="HV88" s="18"/>
      <c r="HW88" s="18"/>
      <c r="HX88" s="18"/>
      <c r="HY88" s="18"/>
      <c r="HZ88" s="18"/>
      <c r="IA88" s="18"/>
      <c r="IB88" s="18"/>
      <c r="IC88" s="18"/>
      <c r="ID88" s="18"/>
      <c r="IE88" s="18"/>
      <c r="IF88" s="18"/>
      <c r="IG88" s="18"/>
      <c r="IH88" s="18"/>
      <c r="II88" s="18"/>
      <c r="IJ88" s="18"/>
      <c r="IK88" s="18"/>
      <c r="IL88" s="18"/>
      <c r="IM88" s="18"/>
      <c r="IN88" s="18"/>
      <c r="IO88" s="18"/>
      <c r="IP88" s="18"/>
      <c r="IQ88" s="18"/>
      <c r="IR88" s="18"/>
      <c r="IS88" s="18"/>
      <c r="IT88" s="18"/>
      <c r="IU88" s="18"/>
      <c r="IV88" s="18"/>
      <c r="IW88" s="18"/>
      <c r="IX88" s="18"/>
      <c r="IY88" s="18"/>
      <c r="IZ88" s="18"/>
      <c r="JA88" s="18"/>
      <c r="JB88" s="18"/>
      <c r="JC88" s="18"/>
      <c r="JD88" s="18"/>
      <c r="JE88" s="18"/>
      <c r="JF88" s="18"/>
      <c r="JG88" s="18"/>
      <c r="JH88" s="18"/>
      <c r="JI88" s="18"/>
      <c r="JJ88" s="18"/>
      <c r="JK88" s="18"/>
      <c r="JL88" s="18"/>
      <c r="JM88" s="18"/>
      <c r="JN88" s="18"/>
      <c r="JO88" s="18"/>
      <c r="JP88" s="18"/>
      <c r="JQ88" s="18"/>
      <c r="JR88" s="18"/>
      <c r="JS88" s="18"/>
      <c r="JT88" s="18"/>
      <c r="JU88" s="18"/>
      <c r="JV88" s="18"/>
      <c r="JW88" s="18"/>
      <c r="JX88" s="18"/>
      <c r="JY88" s="18"/>
      <c r="JZ88" s="18"/>
      <c r="KA88" s="18"/>
      <c r="KB88" s="18"/>
      <c r="KC88" s="18"/>
      <c r="KD88" s="18"/>
      <c r="KE88" s="18"/>
      <c r="KF88" s="18"/>
      <c r="KG88" s="18"/>
      <c r="KH88" s="18"/>
      <c r="KI88" s="18"/>
      <c r="KJ88" s="18"/>
      <c r="KK88" s="18"/>
      <c r="KL88" s="18"/>
      <c r="KM88" s="18"/>
      <c r="KN88" s="18"/>
      <c r="KO88" s="18"/>
      <c r="KP88" s="18"/>
      <c r="KQ88" s="18"/>
      <c r="KR88" s="18"/>
      <c r="KS88" s="18"/>
      <c r="KT88" s="18"/>
      <c r="KU88" s="18"/>
      <c r="KV88" s="18"/>
      <c r="KW88" s="18"/>
      <c r="KX88" s="18"/>
      <c r="KY88" s="18"/>
      <c r="KZ88" s="18"/>
      <c r="LA88" s="18"/>
      <c r="LB88" s="18"/>
      <c r="LC88" s="18"/>
      <c r="LD88" s="18"/>
      <c r="LE88" s="18"/>
      <c r="LF88" s="18"/>
      <c r="LG88" s="18"/>
      <c r="LH88" s="18"/>
      <c r="LI88" s="18"/>
      <c r="LJ88" s="18"/>
      <c r="LK88" s="18"/>
      <c r="LL88" s="18"/>
      <c r="LM88" s="18"/>
      <c r="LN88" s="18"/>
      <c r="LO88" s="18"/>
      <c r="LP88" s="18"/>
      <c r="LQ88" s="18"/>
      <c r="LR88" s="18"/>
      <c r="LS88" s="18"/>
      <c r="LT88" s="18"/>
      <c r="LU88" s="18"/>
      <c r="LV88" s="18"/>
      <c r="LW88" s="18"/>
      <c r="LX88" s="18"/>
      <c r="LY88" s="18"/>
      <c r="LZ88" s="18"/>
      <c r="MA88" s="18"/>
      <c r="MB88" s="18"/>
      <c r="MC88" s="18"/>
      <c r="MD88" s="18"/>
      <c r="ME88" s="18"/>
      <c r="MF88" s="18"/>
      <c r="MG88" s="18"/>
      <c r="MH88" s="18"/>
      <c r="MI88" s="18"/>
      <c r="MJ88" s="18"/>
      <c r="MK88" s="18"/>
      <c r="ML88" s="18"/>
      <c r="MM88" s="18"/>
      <c r="MN88" s="18"/>
      <c r="MO88" s="18"/>
      <c r="MP88" s="18"/>
      <c r="MQ88" s="18"/>
      <c r="MR88" s="18"/>
      <c r="MS88" s="18"/>
      <c r="MT88" s="18"/>
      <c r="MU88" s="18"/>
      <c r="MV88" s="18"/>
      <c r="MW88" s="18"/>
      <c r="MX88" s="18"/>
      <c r="MY88" s="18"/>
      <c r="MZ88" s="18"/>
      <c r="NA88" s="18"/>
      <c r="NB88" s="18"/>
      <c r="NC88" s="18"/>
      <c r="ND88" s="18"/>
      <c r="NE88" s="18"/>
      <c r="NF88" s="18"/>
      <c r="NG88" s="18"/>
      <c r="NH88" s="18"/>
      <c r="NI88" s="18"/>
      <c r="NJ88" s="18"/>
      <c r="NK88" s="18"/>
      <c r="NL88" s="18"/>
      <c r="NM88" s="18"/>
      <c r="NN88" s="18"/>
      <c r="NO88" s="18"/>
      <c r="NP88" s="18"/>
      <c r="NQ88" s="18"/>
      <c r="NR88" s="18"/>
      <c r="NS88" s="18"/>
      <c r="NT88" s="18"/>
      <c r="NU88" s="18"/>
      <c r="NV88" s="18"/>
      <c r="NW88" s="18"/>
      <c r="NX88" s="18"/>
      <c r="NY88" s="18"/>
      <c r="NZ88" s="18"/>
      <c r="OA88" s="18"/>
      <c r="OB88" s="18"/>
      <c r="OC88" s="18"/>
      <c r="OD88" s="18"/>
      <c r="OE88" s="18"/>
      <c r="OF88" s="18"/>
      <c r="OG88" s="18"/>
      <c r="OH88" s="18"/>
      <c r="OI88" s="18"/>
      <c r="OJ88" s="18"/>
      <c r="OK88" s="18"/>
      <c r="OL88" s="18"/>
      <c r="OM88" s="18"/>
      <c r="ON88" s="18"/>
      <c r="OO88" s="18"/>
      <c r="OP88" s="18"/>
      <c r="OQ88" s="18"/>
      <c r="OR88" s="18"/>
      <c r="OS88" s="18"/>
      <c r="OT88" s="18"/>
      <c r="OU88" s="18"/>
      <c r="OV88" s="18"/>
      <c r="OW88" s="18"/>
      <c r="OX88" s="18"/>
      <c r="OY88" s="18"/>
      <c r="OZ88" s="18"/>
      <c r="PA88" s="18"/>
      <c r="PB88" s="18"/>
      <c r="PC88" s="18"/>
      <c r="PD88" s="18"/>
      <c r="PE88" s="18"/>
      <c r="PF88" s="18"/>
      <c r="PG88" s="18"/>
      <c r="PH88" s="18"/>
      <c r="PI88" s="18"/>
      <c r="PJ88" s="18"/>
      <c r="PK88" s="18"/>
      <c r="PL88" s="18"/>
      <c r="PM88" s="18"/>
      <c r="PN88" s="18"/>
      <c r="PO88" s="18"/>
      <c r="PP88" s="18"/>
      <c r="PQ88" s="18"/>
      <c r="PR88" s="18"/>
      <c r="PS88" s="18"/>
      <c r="PT88" s="18"/>
      <c r="PU88" s="18"/>
      <c r="PV88" s="18"/>
      <c r="PW88" s="18"/>
      <c r="PX88" s="18"/>
      <c r="PY88" s="18"/>
      <c r="PZ88" s="18"/>
      <c r="QA88" s="18"/>
      <c r="QB88" s="18"/>
      <c r="QC88" s="18"/>
      <c r="QD88" s="18"/>
      <c r="QE88" s="18"/>
      <c r="QF88" s="18"/>
      <c r="QG88" s="18"/>
      <c r="QH88" s="18"/>
      <c r="QI88" s="18"/>
      <c r="QJ88" s="18"/>
      <c r="QK88" s="18"/>
      <c r="QL88" s="18"/>
      <c r="QM88" s="18"/>
      <c r="QN88" s="18"/>
      <c r="QO88" s="18"/>
      <c r="QP88" s="18"/>
      <c r="QQ88" s="18"/>
      <c r="QR88" s="18"/>
      <c r="QS88" s="18"/>
      <c r="QT88" s="18"/>
      <c r="QU88" s="18"/>
      <c r="QV88" s="18"/>
      <c r="QW88" s="18"/>
      <c r="QX88" s="18"/>
      <c r="QY88" s="18"/>
      <c r="QZ88" s="18"/>
      <c r="RA88" s="18"/>
      <c r="RB88" s="18"/>
      <c r="RC88" s="18"/>
      <c r="RD88" s="18"/>
      <c r="RE88" s="18"/>
      <c r="RF88" s="18"/>
      <c r="RG88" s="18"/>
      <c r="RH88" s="18"/>
      <c r="RI88" s="18"/>
      <c r="RJ88" s="18"/>
      <c r="RK88" s="18"/>
      <c r="RL88" s="18"/>
      <c r="RM88" s="18"/>
      <c r="RN88" s="18"/>
      <c r="RO88" s="18"/>
      <c r="RP88" s="18"/>
      <c r="RQ88" s="18"/>
      <c r="RR88" s="18"/>
      <c r="RS88" s="18"/>
      <c r="RT88" s="18"/>
      <c r="RU88" s="18"/>
      <c r="RV88" s="18"/>
      <c r="RW88" s="18"/>
      <c r="RX88" s="18"/>
      <c r="RY88" s="18"/>
      <c r="RZ88" s="18"/>
      <c r="SA88" s="18"/>
      <c r="SB88" s="18"/>
      <c r="SC88" s="18"/>
      <c r="SD88" s="18"/>
      <c r="SE88" s="18"/>
      <c r="SF88" s="18"/>
      <c r="SG88" s="18"/>
      <c r="SH88" s="18"/>
      <c r="SI88" s="18"/>
      <c r="SJ88" s="18"/>
      <c r="SK88" s="18"/>
      <c r="SL88" s="18"/>
      <c r="SM88" s="18"/>
      <c r="SN88" s="18"/>
      <c r="SO88" s="18"/>
      <c r="SP88" s="18"/>
      <c r="SQ88" s="18"/>
      <c r="SR88" s="18"/>
      <c r="SS88" s="18"/>
      <c r="ST88" s="18"/>
      <c r="SU88" s="18"/>
      <c r="SV88" s="18"/>
      <c r="SW88" s="18"/>
      <c r="SX88" s="18"/>
      <c r="SY88" s="18"/>
      <c r="SZ88" s="18"/>
      <c r="TA88" s="18"/>
      <c r="TB88" s="18"/>
      <c r="TC88" s="18"/>
      <c r="TD88" s="18"/>
      <c r="TE88" s="18"/>
      <c r="TF88" s="18"/>
      <c r="TG88" s="18"/>
      <c r="TH88" s="18"/>
      <c r="TI88" s="18"/>
      <c r="TJ88" s="18"/>
      <c r="TK88" s="18"/>
      <c r="TL88" s="18"/>
      <c r="TM88" s="18"/>
      <c r="TN88" s="18"/>
      <c r="TO88" s="18"/>
      <c r="TP88" s="18"/>
      <c r="TQ88" s="18"/>
      <c r="TR88" s="18"/>
      <c r="TS88" s="18"/>
      <c r="TT88" s="18"/>
      <c r="TU88" s="18"/>
      <c r="TV88" s="18"/>
      <c r="TW88" s="18"/>
      <c r="TX88" s="18"/>
      <c r="TY88" s="18"/>
      <c r="TZ88" s="18"/>
      <c r="UA88" s="18"/>
      <c r="UB88" s="18"/>
      <c r="UC88" s="18"/>
      <c r="UD88" s="18"/>
      <c r="UE88" s="18"/>
      <c r="UF88" s="18"/>
      <c r="UG88" s="18"/>
      <c r="UH88" s="18"/>
      <c r="UI88" s="18"/>
      <c r="UJ88" s="18"/>
      <c r="UK88" s="18"/>
      <c r="UL88" s="18"/>
      <c r="UM88" s="18"/>
      <c r="UN88" s="18"/>
      <c r="UO88" s="18"/>
      <c r="UP88" s="18"/>
      <c r="UQ88" s="18"/>
      <c r="UR88" s="18"/>
      <c r="US88" s="18"/>
      <c r="UT88" s="18"/>
      <c r="UU88" s="18"/>
      <c r="UV88" s="18"/>
      <c r="UW88" s="18"/>
      <c r="UX88" s="18"/>
      <c r="UY88" s="18"/>
      <c r="UZ88" s="18"/>
      <c r="VA88" s="18"/>
      <c r="VB88" s="18"/>
      <c r="VC88" s="18"/>
      <c r="VD88" s="18"/>
      <c r="VE88" s="18"/>
      <c r="VF88" s="18"/>
      <c r="VG88" s="18"/>
      <c r="VH88" s="18"/>
      <c r="VI88" s="18"/>
      <c r="VJ88" s="18"/>
      <c r="VK88" s="18"/>
      <c r="VL88" s="18"/>
      <c r="VM88" s="18"/>
      <c r="VN88" s="18"/>
      <c r="VO88" s="18"/>
      <c r="VP88" s="18"/>
      <c r="VQ88" s="18"/>
      <c r="VR88" s="18"/>
      <c r="VS88" s="18"/>
      <c r="VT88" s="18"/>
      <c r="VU88" s="18"/>
      <c r="VV88" s="18"/>
      <c r="VW88" s="18"/>
      <c r="VX88" s="18"/>
      <c r="VY88" s="18"/>
      <c r="VZ88" s="18"/>
      <c r="WA88" s="18"/>
      <c r="WB88" s="18"/>
      <c r="WC88" s="18"/>
      <c r="WD88" s="18"/>
      <c r="WE88" s="18"/>
      <c r="WF88" s="18"/>
      <c r="WG88" s="18"/>
      <c r="WH88" s="18"/>
      <c r="WI88" s="18"/>
      <c r="WJ88" s="18"/>
      <c r="WK88" s="18"/>
      <c r="WL88" s="18"/>
      <c r="WM88" s="18"/>
      <c r="WN88" s="18"/>
      <c r="WO88" s="18"/>
      <c r="WP88" s="18"/>
      <c r="WQ88" s="18"/>
      <c r="WR88" s="18"/>
      <c r="WS88" s="18"/>
      <c r="WT88" s="18"/>
      <c r="WU88" s="18"/>
      <c r="WV88" s="18"/>
      <c r="WW88" s="18"/>
      <c r="WX88" s="18"/>
      <c r="WY88" s="18"/>
      <c r="WZ88" s="18"/>
      <c r="XA88" s="18"/>
      <c r="XB88" s="18"/>
      <c r="XC88" s="18"/>
      <c r="XD88" s="18"/>
      <c r="XE88" s="18"/>
      <c r="XF88" s="18"/>
      <c r="XG88" s="18"/>
      <c r="XH88" s="18"/>
      <c r="XI88" s="18"/>
      <c r="XJ88" s="18"/>
      <c r="XK88" s="18"/>
      <c r="XL88" s="18"/>
      <c r="XM88" s="18"/>
      <c r="XN88" s="18"/>
      <c r="XO88" s="18"/>
      <c r="XP88" s="18"/>
      <c r="XQ88" s="18"/>
      <c r="XR88" s="18"/>
      <c r="XS88" s="18"/>
      <c r="XT88" s="18"/>
      <c r="XU88" s="18"/>
      <c r="XV88" s="18"/>
      <c r="XW88" s="18"/>
      <c r="XX88" s="18"/>
      <c r="XY88" s="18"/>
      <c r="XZ88" s="18"/>
      <c r="YA88" s="18"/>
      <c r="YB88" s="18"/>
      <c r="YC88" s="18"/>
      <c r="YD88" s="18"/>
      <c r="YE88" s="18"/>
      <c r="YF88" s="18"/>
      <c r="YG88" s="18"/>
      <c r="YH88" s="18"/>
      <c r="YI88" s="18"/>
      <c r="YJ88" s="18"/>
      <c r="YK88" s="18"/>
      <c r="YL88" s="18"/>
      <c r="YM88" s="18"/>
      <c r="YN88" s="18"/>
      <c r="YO88" s="18"/>
      <c r="YP88" s="18"/>
      <c r="YQ88" s="18"/>
      <c r="YR88" s="18"/>
      <c r="YS88" s="18"/>
      <c r="YT88" s="18"/>
      <c r="YU88" s="18"/>
      <c r="YV88" s="18"/>
      <c r="YW88" s="18"/>
      <c r="YX88" s="18"/>
      <c r="YY88" s="18"/>
      <c r="YZ88" s="18"/>
      <c r="ZA88" s="18"/>
      <c r="ZB88" s="18"/>
      <c r="ZC88" s="18"/>
      <c r="ZD88" s="18"/>
      <c r="ZE88" s="18"/>
      <c r="ZF88" s="18"/>
      <c r="ZG88" s="18"/>
      <c r="ZH88" s="18"/>
      <c r="ZI88" s="18"/>
      <c r="ZJ88" s="18"/>
      <c r="ZK88" s="18"/>
      <c r="ZL88" s="18"/>
      <c r="ZM88" s="18"/>
      <c r="ZN88" s="18"/>
      <c r="ZO88" s="18"/>
      <c r="ZP88" s="18"/>
      <c r="ZQ88" s="18"/>
      <c r="ZR88" s="18"/>
      <c r="ZS88" s="18"/>
      <c r="ZT88" s="18"/>
      <c r="ZU88" s="18"/>
      <c r="ZV88" s="18"/>
      <c r="ZW88" s="18"/>
      <c r="ZX88" s="18"/>
      <c r="ZY88" s="18"/>
      <c r="ZZ88" s="18"/>
      <c r="AAA88" s="18"/>
      <c r="AAB88" s="18"/>
      <c r="AAC88" s="18"/>
      <c r="AAD88" s="18"/>
      <c r="AAE88" s="18"/>
      <c r="AAF88" s="18"/>
      <c r="AAG88" s="18"/>
      <c r="AAH88" s="18"/>
      <c r="AAI88" s="18"/>
      <c r="AAJ88" s="18"/>
      <c r="AAK88" s="18"/>
      <c r="AAL88" s="18"/>
      <c r="AAM88" s="18"/>
      <c r="AAN88" s="18"/>
      <c r="AAO88" s="18"/>
      <c r="AAP88" s="18"/>
      <c r="AAQ88" s="18"/>
      <c r="AAR88" s="18"/>
      <c r="AAS88" s="18"/>
      <c r="AAT88" s="18"/>
      <c r="AAU88" s="18"/>
      <c r="AAV88" s="18"/>
      <c r="AAW88" s="18"/>
      <c r="AAX88" s="18"/>
      <c r="AAY88" s="18"/>
      <c r="AAZ88" s="18"/>
      <c r="ABA88" s="18"/>
      <c r="ABB88" s="18"/>
      <c r="ABC88" s="18"/>
      <c r="ABD88" s="18"/>
      <c r="ABE88" s="18"/>
      <c r="ABF88" s="18"/>
      <c r="ABG88" s="18"/>
      <c r="ABH88" s="18"/>
      <c r="ABI88" s="18"/>
      <c r="ABJ88" s="18"/>
      <c r="ABK88" s="18"/>
      <c r="ABL88" s="18"/>
      <c r="ABM88" s="18"/>
      <c r="ABN88" s="18"/>
      <c r="ABO88" s="18"/>
      <c r="ABP88" s="18"/>
      <c r="ABQ88" s="18"/>
      <c r="ABR88" s="18"/>
      <c r="ABS88" s="18"/>
      <c r="ABT88" s="18"/>
      <c r="ABU88" s="18"/>
      <c r="ABV88" s="18"/>
      <c r="ABW88" s="18"/>
      <c r="ABX88" s="18"/>
      <c r="ABY88" s="18"/>
      <c r="ABZ88" s="18"/>
      <c r="ACA88" s="18"/>
      <c r="ACB88" s="18"/>
      <c r="ACC88" s="18"/>
      <c r="ACD88" s="18"/>
      <c r="ACE88" s="18"/>
      <c r="ACF88" s="18"/>
      <c r="ACG88" s="18"/>
      <c r="ACH88" s="18"/>
      <c r="ACI88" s="18"/>
      <c r="ACJ88" s="18"/>
      <c r="ACK88" s="18"/>
      <c r="ACL88" s="18"/>
      <c r="ACM88" s="18"/>
      <c r="ACN88" s="18"/>
      <c r="ACO88" s="18"/>
      <c r="ACP88" s="18"/>
      <c r="ACQ88" s="18"/>
      <c r="ACR88" s="18"/>
      <c r="ACS88" s="18"/>
      <c r="ACT88" s="18"/>
      <c r="ACU88" s="18"/>
      <c r="ACV88" s="18"/>
      <c r="ACW88" s="18"/>
      <c r="ACX88" s="18"/>
      <c r="ACY88" s="18"/>
      <c r="ACZ88" s="18"/>
      <c r="ADA88" s="18"/>
      <c r="ADB88" s="18"/>
      <c r="ADC88" s="18"/>
      <c r="ADD88" s="18"/>
      <c r="ADE88" s="18"/>
      <c r="ADF88" s="18"/>
      <c r="ADG88" s="18"/>
      <c r="ADH88" s="18"/>
      <c r="ADI88" s="18"/>
      <c r="ADJ88" s="18"/>
      <c r="ADK88" s="18"/>
      <c r="ADL88" s="18"/>
      <c r="ADM88" s="18"/>
      <c r="ADN88" s="18"/>
      <c r="ADO88" s="18"/>
      <c r="ADP88" s="18"/>
      <c r="ADQ88" s="18"/>
      <c r="ADR88" s="18"/>
      <c r="ADS88" s="18"/>
      <c r="ADT88" s="18"/>
      <c r="ADU88" s="18"/>
      <c r="ADV88" s="18"/>
      <c r="ADW88" s="18"/>
      <c r="ADX88" s="18"/>
      <c r="ADY88" s="18"/>
      <c r="ADZ88" s="18"/>
      <c r="AEA88" s="18"/>
      <c r="AEB88" s="18"/>
      <c r="AEC88" s="18"/>
      <c r="AED88" s="18"/>
      <c r="AEE88" s="18"/>
      <c r="AEF88" s="18"/>
      <c r="AEG88" s="18"/>
      <c r="AEH88" s="18"/>
      <c r="AEI88" s="18"/>
      <c r="AEJ88" s="18"/>
      <c r="AEK88" s="18"/>
      <c r="AEL88" s="18"/>
      <c r="AEM88" s="18"/>
      <c r="AEN88" s="18"/>
      <c r="AEO88" s="18"/>
      <c r="AEP88" s="18"/>
      <c r="AEQ88" s="18"/>
      <c r="AER88" s="18"/>
      <c r="AES88" s="18"/>
      <c r="AET88" s="18"/>
      <c r="AEU88" s="18"/>
      <c r="AEV88" s="18"/>
      <c r="AEW88" s="18"/>
      <c r="AEX88" s="18"/>
      <c r="AEY88" s="18"/>
      <c r="AEZ88" s="18"/>
      <c r="AFA88" s="18"/>
      <c r="AFB88" s="18"/>
      <c r="AFC88" s="18"/>
      <c r="AFD88" s="18"/>
      <c r="AFE88" s="18"/>
      <c r="AFF88" s="18"/>
      <c r="AFG88" s="18"/>
      <c r="AFH88" s="18"/>
      <c r="AFI88" s="18"/>
      <c r="AFJ88" s="18"/>
      <c r="AFK88" s="18"/>
      <c r="AFL88" s="18"/>
      <c r="AFM88" s="18"/>
      <c r="AFN88" s="18"/>
      <c r="AFO88" s="18"/>
      <c r="AFP88" s="18"/>
      <c r="AFQ88" s="18"/>
      <c r="AFR88" s="18"/>
      <c r="AFS88" s="18"/>
      <c r="AFT88" s="18"/>
      <c r="AFU88" s="18"/>
      <c r="AFV88" s="18"/>
      <c r="AFW88" s="18"/>
      <c r="AFX88" s="18"/>
      <c r="AFY88" s="18"/>
      <c r="AFZ88" s="18"/>
      <c r="AGA88" s="18"/>
      <c r="AGB88" s="18"/>
      <c r="AGC88" s="18"/>
      <c r="AGD88" s="18"/>
      <c r="AGE88" s="18"/>
      <c r="AGF88" s="18"/>
      <c r="AGG88" s="18"/>
      <c r="AGH88" s="18"/>
      <c r="AGI88" s="18"/>
      <c r="AGJ88" s="18"/>
      <c r="AGK88" s="18"/>
      <c r="AGL88" s="18"/>
      <c r="AGM88" s="18"/>
      <c r="AGN88" s="18"/>
      <c r="AGO88" s="18"/>
      <c r="AGP88" s="18"/>
      <c r="AGQ88" s="18"/>
      <c r="AGR88" s="18"/>
      <c r="AGS88" s="18"/>
      <c r="AGT88" s="18"/>
      <c r="AGU88" s="18"/>
      <c r="AGV88" s="18"/>
      <c r="AGW88" s="18"/>
      <c r="AGX88" s="18"/>
      <c r="AGY88" s="18"/>
      <c r="AGZ88" s="18"/>
      <c r="AHA88" s="18"/>
      <c r="AHB88" s="18"/>
      <c r="AHC88" s="18"/>
      <c r="AHD88" s="18"/>
      <c r="AHE88" s="18"/>
      <c r="AHF88" s="18"/>
      <c r="AHG88" s="18"/>
      <c r="AHH88" s="18"/>
      <c r="AHI88" s="18"/>
      <c r="AHJ88" s="18"/>
      <c r="AHK88" s="18"/>
      <c r="AHL88" s="18"/>
      <c r="AHM88" s="18"/>
      <c r="AHN88" s="18"/>
      <c r="AHO88" s="18"/>
      <c r="AHP88" s="18"/>
      <c r="AHQ88" s="18"/>
      <c r="AHR88" s="18"/>
      <c r="AHS88" s="18"/>
      <c r="AHT88" s="18"/>
      <c r="AHU88" s="18"/>
      <c r="AHV88" s="18"/>
      <c r="AHW88" s="18"/>
      <c r="AHX88" s="18"/>
      <c r="AHY88" s="18"/>
      <c r="AHZ88" s="18"/>
      <c r="AIA88" s="18"/>
      <c r="AIB88" s="18"/>
      <c r="AIC88" s="18"/>
      <c r="AID88" s="18"/>
      <c r="AIE88" s="18"/>
      <c r="AIF88" s="18"/>
      <c r="AIG88" s="18"/>
      <c r="AIH88" s="18"/>
      <c r="AII88" s="18"/>
      <c r="AIJ88" s="18"/>
      <c r="AIK88" s="18"/>
      <c r="AIL88" s="18"/>
      <c r="AIM88" s="18"/>
      <c r="AIN88" s="18"/>
      <c r="AIO88" s="18"/>
      <c r="AIP88" s="18"/>
      <c r="AIQ88" s="18"/>
      <c r="AIR88" s="18"/>
      <c r="AIS88" s="18"/>
      <c r="AIT88" s="18"/>
      <c r="AIU88" s="18"/>
      <c r="AIV88" s="18"/>
      <c r="AIW88" s="18"/>
      <c r="AIX88" s="18"/>
      <c r="AIY88" s="18"/>
      <c r="AIZ88" s="18"/>
      <c r="AJA88" s="18"/>
      <c r="AJB88" s="18"/>
      <c r="AJC88" s="18"/>
      <c r="AJD88" s="18"/>
      <c r="AJE88" s="18"/>
      <c r="AJF88" s="18"/>
      <c r="AJG88" s="18"/>
      <c r="AJH88" s="18"/>
      <c r="AJI88" s="18"/>
      <c r="AJJ88" s="18"/>
      <c r="AJK88" s="18"/>
      <c r="AJL88" s="18"/>
      <c r="AJM88" s="18"/>
      <c r="AJN88" s="18"/>
      <c r="AJO88" s="18"/>
      <c r="AJP88" s="18"/>
      <c r="AJQ88" s="18"/>
      <c r="AJR88" s="18"/>
      <c r="AJS88" s="18"/>
      <c r="AJT88" s="18"/>
      <c r="AJU88" s="18"/>
      <c r="AJV88" s="18"/>
      <c r="AJW88" s="18"/>
      <c r="AJX88" s="18"/>
      <c r="AJY88" s="18"/>
      <c r="AJZ88" s="18"/>
      <c r="AKA88" s="18"/>
      <c r="AKB88" s="18"/>
      <c r="AKC88" s="18"/>
      <c r="AKD88" s="18"/>
      <c r="AKE88" s="18"/>
      <c r="AKF88" s="18"/>
      <c r="AKG88" s="18"/>
      <c r="AKH88" s="18"/>
      <c r="AKI88" s="18"/>
      <c r="AKJ88" s="18"/>
      <c r="AKK88" s="18"/>
      <c r="AKL88" s="18"/>
      <c r="AKM88" s="18"/>
      <c r="AKN88" s="18"/>
      <c r="AKO88" s="18"/>
      <c r="AKP88" s="18"/>
      <c r="AKQ88" s="18"/>
      <c r="AKR88" s="18"/>
      <c r="AKS88" s="18"/>
      <c r="AKT88" s="18"/>
      <c r="AKU88" s="18"/>
      <c r="AKV88" s="18"/>
      <c r="AKW88" s="18"/>
      <c r="AKX88" s="18"/>
      <c r="AKY88" s="18"/>
      <c r="AKZ88" s="18"/>
      <c r="ALA88" s="18"/>
      <c r="ALB88" s="18"/>
      <c r="ALC88" s="18"/>
      <c r="ALD88" s="18"/>
      <c r="ALE88" s="18"/>
      <c r="ALF88" s="18"/>
      <c r="ALG88" s="18"/>
      <c r="ALH88" s="18"/>
      <c r="ALI88" s="18"/>
      <c r="ALJ88" s="18"/>
      <c r="ALK88" s="18"/>
      <c r="ALL88" s="18"/>
      <c r="ALM88" s="18"/>
      <c r="ALN88" s="18"/>
      <c r="ALO88" s="18"/>
      <c r="ALP88" s="18"/>
      <c r="ALQ88" s="18"/>
      <c r="ALR88" s="18"/>
      <c r="ALS88" s="18"/>
      <c r="ALT88" s="18"/>
      <c r="ALU88" s="18"/>
      <c r="ALV88" s="18"/>
      <c r="ALW88" s="18"/>
      <c r="ALX88" s="18"/>
      <c r="ALY88" s="18"/>
      <c r="ALZ88" s="18"/>
      <c r="AMA88" s="18"/>
      <c r="AMB88" s="18"/>
      <c r="AMC88" s="18"/>
      <c r="AMD88" s="18"/>
      <c r="AME88" s="18"/>
      <c r="AMF88" s="18"/>
      <c r="AMG88" s="18"/>
      <c r="AMH88" s="18"/>
      <c r="AMI88" s="18"/>
      <c r="AMJ88" s="18"/>
      <c r="AMK88" s="18"/>
      <c r="AML88" s="18"/>
      <c r="AMM88" s="18"/>
    </row>
    <row r="89" spans="1:1027" s="18" customFormat="1" x14ac:dyDescent="0.2">
      <c r="A89" s="54">
        <v>2</v>
      </c>
      <c r="B89" s="18" t="s">
        <v>212</v>
      </c>
      <c r="C89" s="18" t="s">
        <v>213</v>
      </c>
      <c r="D89" s="18">
        <v>193</v>
      </c>
      <c r="E89" s="42" t="s">
        <v>507</v>
      </c>
      <c r="F89" s="42" t="s">
        <v>507</v>
      </c>
      <c r="G89" s="43" t="s">
        <v>507</v>
      </c>
      <c r="H89" s="42" t="s">
        <v>507</v>
      </c>
      <c r="I89" s="42" t="s">
        <v>507</v>
      </c>
      <c r="J89" s="42" t="s">
        <v>507</v>
      </c>
      <c r="K89" s="21" t="s">
        <v>509</v>
      </c>
      <c r="M89" s="1" t="s">
        <v>510</v>
      </c>
      <c r="N89" s="1"/>
      <c r="S89" s="13"/>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c r="AMK89" s="1"/>
    </row>
    <row r="90" spans="1:1027" s="18" customFormat="1" x14ac:dyDescent="0.2">
      <c r="A90" s="1">
        <v>4</v>
      </c>
      <c r="B90" s="1" t="s">
        <v>645</v>
      </c>
      <c r="C90" s="1" t="s">
        <v>646</v>
      </c>
      <c r="D90" s="1">
        <v>188</v>
      </c>
      <c r="E90" s="10" t="s">
        <v>507</v>
      </c>
      <c r="F90" s="10" t="s">
        <v>508</v>
      </c>
      <c r="G90" s="11" t="s">
        <v>508</v>
      </c>
      <c r="H90" s="10" t="s">
        <v>507</v>
      </c>
      <c r="I90" s="10"/>
      <c r="J90" s="10" t="s">
        <v>507</v>
      </c>
      <c r="K90" s="12"/>
      <c r="L90" s="26"/>
      <c r="M90" s="1"/>
      <c r="N90" s="1"/>
      <c r="O90" s="1"/>
      <c r="P90" s="1"/>
      <c r="Q90" s="1"/>
      <c r="R90" s="1"/>
      <c r="S90" s="13"/>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spans="1:1027" x14ac:dyDescent="0.2">
      <c r="A91" s="18">
        <v>2</v>
      </c>
      <c r="B91" s="18" t="s">
        <v>214</v>
      </c>
      <c r="C91" s="18" t="s">
        <v>215</v>
      </c>
      <c r="D91" s="18">
        <v>193</v>
      </c>
      <c r="E91" s="42" t="s">
        <v>507</v>
      </c>
      <c r="F91" s="42" t="s">
        <v>507</v>
      </c>
      <c r="G91" s="43" t="s">
        <v>507</v>
      </c>
      <c r="H91" s="42" t="s">
        <v>507</v>
      </c>
      <c r="I91" s="42" t="s">
        <v>507</v>
      </c>
      <c r="J91" s="42" t="s">
        <v>507</v>
      </c>
      <c r="K91" s="21" t="s">
        <v>509</v>
      </c>
      <c r="L91" s="18"/>
      <c r="M91" s="1" t="s">
        <v>510</v>
      </c>
      <c r="O91" s="18"/>
      <c r="P91" s="18"/>
      <c r="Q91" s="18"/>
      <c r="R91" s="18"/>
      <c r="T91" s="6"/>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c r="PB91" s="18"/>
      <c r="PC91" s="18"/>
      <c r="PD91" s="18"/>
      <c r="PE91" s="18"/>
      <c r="PF91" s="18"/>
      <c r="PG91" s="18"/>
      <c r="PH91" s="18"/>
      <c r="PI91" s="18"/>
      <c r="PJ91" s="18"/>
      <c r="PK91" s="18"/>
      <c r="PL91" s="18"/>
      <c r="PM91" s="18"/>
      <c r="PN91" s="18"/>
      <c r="PO91" s="18"/>
      <c r="PP91" s="18"/>
      <c r="PQ91" s="18"/>
      <c r="PR91" s="18"/>
      <c r="PS91" s="18"/>
      <c r="PT91" s="18"/>
      <c r="PU91" s="18"/>
      <c r="PV91" s="18"/>
      <c r="PW91" s="18"/>
      <c r="PX91" s="18"/>
      <c r="PY91" s="18"/>
      <c r="PZ91" s="18"/>
      <c r="QA91" s="18"/>
      <c r="QB91" s="18"/>
      <c r="QC91" s="18"/>
      <c r="QD91" s="18"/>
      <c r="QE91" s="18"/>
      <c r="QF91" s="18"/>
      <c r="QG91" s="18"/>
      <c r="QH91" s="18"/>
      <c r="QI91" s="18"/>
      <c r="QJ91" s="18"/>
      <c r="QK91" s="18"/>
      <c r="QL91" s="18"/>
      <c r="QM91" s="18"/>
      <c r="QN91" s="18"/>
      <c r="QO91" s="18"/>
      <c r="QP91" s="18"/>
      <c r="QQ91" s="18"/>
      <c r="QR91" s="18"/>
      <c r="QS91" s="18"/>
      <c r="QT91" s="18"/>
      <c r="QU91" s="18"/>
      <c r="QV91" s="18"/>
      <c r="QW91" s="18"/>
      <c r="QX91" s="18"/>
      <c r="QY91" s="18"/>
      <c r="QZ91" s="18"/>
      <c r="RA91" s="18"/>
      <c r="RB91" s="18"/>
      <c r="RC91" s="18"/>
      <c r="RD91" s="18"/>
      <c r="RE91" s="18"/>
      <c r="RF91" s="18"/>
      <c r="RG91" s="18"/>
      <c r="RH91" s="18"/>
      <c r="RI91" s="18"/>
      <c r="RJ91" s="18"/>
      <c r="RK91" s="18"/>
      <c r="RL91" s="18"/>
      <c r="RM91" s="18"/>
      <c r="RN91" s="18"/>
      <c r="RO91" s="18"/>
      <c r="RP91" s="18"/>
      <c r="RQ91" s="18"/>
      <c r="RR91" s="18"/>
      <c r="RS91" s="18"/>
      <c r="RT91" s="18"/>
      <c r="RU91" s="18"/>
      <c r="RV91" s="18"/>
      <c r="RW91" s="18"/>
      <c r="RX91" s="18"/>
      <c r="RY91" s="18"/>
      <c r="RZ91" s="18"/>
      <c r="SA91" s="18"/>
      <c r="SB91" s="18"/>
      <c r="SC91" s="18"/>
      <c r="SD91" s="18"/>
      <c r="SE91" s="18"/>
      <c r="SF91" s="18"/>
      <c r="SG91" s="18"/>
      <c r="SH91" s="18"/>
      <c r="SI91" s="18"/>
      <c r="SJ91" s="18"/>
      <c r="SK91" s="18"/>
      <c r="SL91" s="18"/>
      <c r="SM91" s="18"/>
      <c r="SN91" s="18"/>
      <c r="SO91" s="18"/>
      <c r="SP91" s="18"/>
      <c r="SQ91" s="18"/>
      <c r="SR91" s="18"/>
      <c r="SS91" s="18"/>
      <c r="ST91" s="18"/>
      <c r="SU91" s="18"/>
      <c r="SV91" s="18"/>
      <c r="SW91" s="18"/>
      <c r="SX91" s="18"/>
      <c r="SY91" s="18"/>
      <c r="SZ91" s="18"/>
      <c r="TA91" s="18"/>
      <c r="TB91" s="18"/>
      <c r="TC91" s="18"/>
      <c r="TD91" s="18"/>
      <c r="TE91" s="18"/>
      <c r="TF91" s="18"/>
      <c r="TG91" s="18"/>
      <c r="TH91" s="18"/>
      <c r="TI91" s="18"/>
      <c r="TJ91" s="18"/>
      <c r="TK91" s="18"/>
      <c r="TL91" s="18"/>
      <c r="TM91" s="18"/>
      <c r="TN91" s="18"/>
      <c r="TO91" s="18"/>
      <c r="TP91" s="18"/>
      <c r="TQ91" s="18"/>
      <c r="TR91" s="18"/>
      <c r="TS91" s="18"/>
      <c r="TT91" s="18"/>
      <c r="TU91" s="18"/>
      <c r="TV91" s="18"/>
      <c r="TW91" s="18"/>
      <c r="TX91" s="18"/>
      <c r="TY91" s="18"/>
      <c r="TZ91" s="18"/>
      <c r="UA91" s="18"/>
      <c r="UB91" s="18"/>
      <c r="UC91" s="18"/>
      <c r="UD91" s="18"/>
      <c r="UE91" s="18"/>
      <c r="UF91" s="18"/>
      <c r="UG91" s="18"/>
      <c r="UH91" s="18"/>
      <c r="UI91" s="18"/>
      <c r="UJ91" s="18"/>
      <c r="UK91" s="18"/>
      <c r="UL91" s="18"/>
      <c r="UM91" s="18"/>
      <c r="UN91" s="18"/>
      <c r="UO91" s="18"/>
      <c r="UP91" s="18"/>
      <c r="UQ91" s="18"/>
      <c r="UR91" s="18"/>
      <c r="US91" s="18"/>
      <c r="UT91" s="18"/>
      <c r="UU91" s="18"/>
      <c r="UV91" s="18"/>
      <c r="UW91" s="18"/>
      <c r="UX91" s="18"/>
      <c r="UY91" s="18"/>
      <c r="UZ91" s="18"/>
      <c r="VA91" s="18"/>
      <c r="VB91" s="18"/>
      <c r="VC91" s="18"/>
      <c r="VD91" s="18"/>
      <c r="VE91" s="18"/>
      <c r="VF91" s="18"/>
      <c r="VG91" s="18"/>
      <c r="VH91" s="18"/>
      <c r="VI91" s="18"/>
      <c r="VJ91" s="18"/>
      <c r="VK91" s="18"/>
      <c r="VL91" s="18"/>
      <c r="VM91" s="18"/>
      <c r="VN91" s="18"/>
      <c r="VO91" s="18"/>
      <c r="VP91" s="18"/>
      <c r="VQ91" s="18"/>
      <c r="VR91" s="18"/>
      <c r="VS91" s="18"/>
      <c r="VT91" s="18"/>
      <c r="VU91" s="18"/>
      <c r="VV91" s="18"/>
      <c r="VW91" s="18"/>
      <c r="VX91" s="18"/>
      <c r="VY91" s="18"/>
      <c r="VZ91" s="18"/>
      <c r="WA91" s="18"/>
      <c r="WB91" s="18"/>
      <c r="WC91" s="18"/>
      <c r="WD91" s="18"/>
      <c r="WE91" s="18"/>
      <c r="WF91" s="18"/>
      <c r="WG91" s="18"/>
      <c r="WH91" s="18"/>
      <c r="WI91" s="18"/>
      <c r="WJ91" s="18"/>
      <c r="WK91" s="18"/>
      <c r="WL91" s="18"/>
      <c r="WM91" s="18"/>
      <c r="WN91" s="18"/>
      <c r="WO91" s="18"/>
      <c r="WP91" s="18"/>
      <c r="WQ91" s="18"/>
      <c r="WR91" s="18"/>
      <c r="WS91" s="18"/>
      <c r="WT91" s="18"/>
      <c r="WU91" s="18"/>
      <c r="WV91" s="18"/>
      <c r="WW91" s="18"/>
      <c r="WX91" s="18"/>
      <c r="WY91" s="18"/>
      <c r="WZ91" s="18"/>
      <c r="XA91" s="18"/>
      <c r="XB91" s="18"/>
      <c r="XC91" s="18"/>
      <c r="XD91" s="18"/>
      <c r="XE91" s="18"/>
      <c r="XF91" s="18"/>
      <c r="XG91" s="18"/>
      <c r="XH91" s="18"/>
      <c r="XI91" s="18"/>
      <c r="XJ91" s="18"/>
      <c r="XK91" s="18"/>
      <c r="XL91" s="18"/>
      <c r="XM91" s="18"/>
      <c r="XN91" s="18"/>
      <c r="XO91" s="18"/>
      <c r="XP91" s="18"/>
      <c r="XQ91" s="18"/>
      <c r="XR91" s="18"/>
      <c r="XS91" s="18"/>
      <c r="XT91" s="18"/>
      <c r="XU91" s="18"/>
      <c r="XV91" s="18"/>
      <c r="XW91" s="18"/>
      <c r="XX91" s="18"/>
      <c r="XY91" s="18"/>
      <c r="XZ91" s="18"/>
      <c r="YA91" s="18"/>
      <c r="YB91" s="18"/>
      <c r="YC91" s="18"/>
      <c r="YD91" s="18"/>
      <c r="YE91" s="18"/>
      <c r="YF91" s="18"/>
      <c r="YG91" s="18"/>
      <c r="YH91" s="18"/>
      <c r="YI91" s="18"/>
      <c r="YJ91" s="18"/>
      <c r="YK91" s="18"/>
      <c r="YL91" s="18"/>
      <c r="YM91" s="18"/>
      <c r="YN91" s="18"/>
      <c r="YO91" s="18"/>
      <c r="YP91" s="18"/>
      <c r="YQ91" s="18"/>
      <c r="YR91" s="18"/>
      <c r="YS91" s="18"/>
      <c r="YT91" s="18"/>
      <c r="YU91" s="18"/>
      <c r="YV91" s="18"/>
      <c r="YW91" s="18"/>
      <c r="YX91" s="18"/>
      <c r="YY91" s="18"/>
      <c r="YZ91" s="18"/>
      <c r="ZA91" s="18"/>
      <c r="ZB91" s="18"/>
      <c r="ZC91" s="18"/>
      <c r="ZD91" s="18"/>
      <c r="ZE91" s="18"/>
      <c r="ZF91" s="18"/>
      <c r="ZG91" s="18"/>
      <c r="ZH91" s="18"/>
      <c r="ZI91" s="18"/>
      <c r="ZJ91" s="18"/>
      <c r="ZK91" s="18"/>
      <c r="ZL91" s="18"/>
      <c r="ZM91" s="18"/>
      <c r="ZN91" s="18"/>
      <c r="ZO91" s="18"/>
      <c r="ZP91" s="18"/>
      <c r="ZQ91" s="18"/>
      <c r="ZR91" s="18"/>
      <c r="ZS91" s="18"/>
      <c r="ZT91" s="18"/>
      <c r="ZU91" s="18"/>
      <c r="ZV91" s="18"/>
      <c r="ZW91" s="18"/>
      <c r="ZX91" s="18"/>
      <c r="ZY91" s="18"/>
      <c r="ZZ91" s="18"/>
      <c r="AAA91" s="18"/>
      <c r="AAB91" s="18"/>
      <c r="AAC91" s="18"/>
      <c r="AAD91" s="18"/>
      <c r="AAE91" s="18"/>
      <c r="AAF91" s="18"/>
      <c r="AAG91" s="18"/>
      <c r="AAH91" s="18"/>
      <c r="AAI91" s="18"/>
      <c r="AAJ91" s="18"/>
      <c r="AAK91" s="18"/>
      <c r="AAL91" s="18"/>
      <c r="AAM91" s="18"/>
      <c r="AAN91" s="18"/>
      <c r="AAO91" s="18"/>
      <c r="AAP91" s="18"/>
      <c r="AAQ91" s="18"/>
      <c r="AAR91" s="18"/>
      <c r="AAS91" s="18"/>
      <c r="AAT91" s="18"/>
      <c r="AAU91" s="18"/>
      <c r="AAV91" s="18"/>
      <c r="AAW91" s="18"/>
      <c r="AAX91" s="18"/>
      <c r="AAY91" s="18"/>
      <c r="AAZ91" s="18"/>
      <c r="ABA91" s="18"/>
      <c r="ABB91" s="18"/>
      <c r="ABC91" s="18"/>
      <c r="ABD91" s="18"/>
      <c r="ABE91" s="18"/>
      <c r="ABF91" s="18"/>
      <c r="ABG91" s="18"/>
      <c r="ABH91" s="18"/>
      <c r="ABI91" s="18"/>
      <c r="ABJ91" s="18"/>
      <c r="ABK91" s="18"/>
      <c r="ABL91" s="18"/>
      <c r="ABM91" s="18"/>
      <c r="ABN91" s="18"/>
      <c r="ABO91" s="18"/>
      <c r="ABP91" s="18"/>
      <c r="ABQ91" s="18"/>
      <c r="ABR91" s="18"/>
      <c r="ABS91" s="18"/>
      <c r="ABT91" s="18"/>
      <c r="ABU91" s="18"/>
      <c r="ABV91" s="18"/>
      <c r="ABW91" s="18"/>
      <c r="ABX91" s="18"/>
      <c r="ABY91" s="18"/>
      <c r="ABZ91" s="18"/>
      <c r="ACA91" s="18"/>
      <c r="ACB91" s="18"/>
      <c r="ACC91" s="18"/>
      <c r="ACD91" s="18"/>
      <c r="ACE91" s="18"/>
      <c r="ACF91" s="18"/>
      <c r="ACG91" s="18"/>
      <c r="ACH91" s="18"/>
      <c r="ACI91" s="18"/>
      <c r="ACJ91" s="18"/>
      <c r="ACK91" s="18"/>
      <c r="ACL91" s="18"/>
      <c r="ACM91" s="18"/>
      <c r="ACN91" s="18"/>
      <c r="ACO91" s="18"/>
      <c r="ACP91" s="18"/>
      <c r="ACQ91" s="18"/>
      <c r="ACR91" s="18"/>
      <c r="ACS91" s="18"/>
      <c r="ACT91" s="18"/>
      <c r="ACU91" s="18"/>
      <c r="ACV91" s="18"/>
      <c r="ACW91" s="18"/>
      <c r="ACX91" s="18"/>
      <c r="ACY91" s="18"/>
      <c r="ACZ91" s="18"/>
      <c r="ADA91" s="18"/>
      <c r="ADB91" s="18"/>
      <c r="ADC91" s="18"/>
      <c r="ADD91" s="18"/>
      <c r="ADE91" s="18"/>
      <c r="ADF91" s="18"/>
      <c r="ADG91" s="18"/>
      <c r="ADH91" s="18"/>
      <c r="ADI91" s="18"/>
      <c r="ADJ91" s="18"/>
      <c r="ADK91" s="18"/>
      <c r="ADL91" s="18"/>
      <c r="ADM91" s="18"/>
      <c r="ADN91" s="18"/>
      <c r="ADO91" s="18"/>
      <c r="ADP91" s="18"/>
      <c r="ADQ91" s="18"/>
      <c r="ADR91" s="18"/>
      <c r="ADS91" s="18"/>
      <c r="ADT91" s="18"/>
      <c r="ADU91" s="18"/>
      <c r="ADV91" s="18"/>
      <c r="ADW91" s="18"/>
      <c r="ADX91" s="18"/>
      <c r="ADY91" s="18"/>
      <c r="ADZ91" s="18"/>
      <c r="AEA91" s="18"/>
      <c r="AEB91" s="18"/>
      <c r="AEC91" s="18"/>
      <c r="AED91" s="18"/>
      <c r="AEE91" s="18"/>
      <c r="AEF91" s="18"/>
      <c r="AEG91" s="18"/>
      <c r="AEH91" s="18"/>
      <c r="AEI91" s="18"/>
      <c r="AEJ91" s="18"/>
      <c r="AEK91" s="18"/>
      <c r="AEL91" s="18"/>
      <c r="AEM91" s="18"/>
      <c r="AEN91" s="18"/>
      <c r="AEO91" s="18"/>
      <c r="AEP91" s="18"/>
      <c r="AEQ91" s="18"/>
      <c r="AER91" s="18"/>
      <c r="AES91" s="18"/>
      <c r="AET91" s="18"/>
      <c r="AEU91" s="18"/>
      <c r="AEV91" s="18"/>
      <c r="AEW91" s="18"/>
      <c r="AEX91" s="18"/>
      <c r="AEY91" s="18"/>
      <c r="AEZ91" s="18"/>
      <c r="AFA91" s="18"/>
      <c r="AFB91" s="18"/>
      <c r="AFC91" s="18"/>
      <c r="AFD91" s="18"/>
      <c r="AFE91" s="18"/>
      <c r="AFF91" s="18"/>
      <c r="AFG91" s="18"/>
      <c r="AFH91" s="18"/>
      <c r="AFI91" s="18"/>
      <c r="AFJ91" s="18"/>
      <c r="AFK91" s="18"/>
      <c r="AFL91" s="18"/>
      <c r="AFM91" s="18"/>
      <c r="AFN91" s="18"/>
      <c r="AFO91" s="18"/>
      <c r="AFP91" s="18"/>
      <c r="AFQ91" s="18"/>
      <c r="AFR91" s="18"/>
      <c r="AFS91" s="18"/>
      <c r="AFT91" s="18"/>
      <c r="AFU91" s="18"/>
      <c r="AFV91" s="18"/>
      <c r="AFW91" s="18"/>
      <c r="AFX91" s="18"/>
      <c r="AFY91" s="18"/>
      <c r="AFZ91" s="18"/>
      <c r="AGA91" s="18"/>
      <c r="AGB91" s="18"/>
      <c r="AGC91" s="18"/>
      <c r="AGD91" s="18"/>
      <c r="AGE91" s="18"/>
      <c r="AGF91" s="18"/>
      <c r="AGG91" s="18"/>
      <c r="AGH91" s="18"/>
      <c r="AGI91" s="18"/>
      <c r="AGJ91" s="18"/>
      <c r="AGK91" s="18"/>
      <c r="AGL91" s="18"/>
      <c r="AGM91" s="18"/>
      <c r="AGN91" s="18"/>
      <c r="AGO91" s="18"/>
      <c r="AGP91" s="18"/>
      <c r="AGQ91" s="18"/>
      <c r="AGR91" s="18"/>
      <c r="AGS91" s="18"/>
      <c r="AGT91" s="18"/>
      <c r="AGU91" s="18"/>
      <c r="AGV91" s="18"/>
      <c r="AGW91" s="18"/>
      <c r="AGX91" s="18"/>
      <c r="AGY91" s="18"/>
      <c r="AGZ91" s="18"/>
      <c r="AHA91" s="18"/>
      <c r="AHB91" s="18"/>
      <c r="AHC91" s="18"/>
      <c r="AHD91" s="18"/>
      <c r="AHE91" s="18"/>
      <c r="AHF91" s="18"/>
      <c r="AHG91" s="18"/>
      <c r="AHH91" s="18"/>
      <c r="AHI91" s="18"/>
      <c r="AHJ91" s="18"/>
      <c r="AHK91" s="18"/>
      <c r="AHL91" s="18"/>
      <c r="AHM91" s="18"/>
      <c r="AHN91" s="18"/>
      <c r="AHO91" s="18"/>
      <c r="AHP91" s="18"/>
      <c r="AHQ91" s="18"/>
      <c r="AHR91" s="18"/>
      <c r="AHS91" s="18"/>
      <c r="AHT91" s="18"/>
      <c r="AHU91" s="18"/>
      <c r="AHV91" s="18"/>
      <c r="AHW91" s="18"/>
      <c r="AHX91" s="18"/>
      <c r="AHY91" s="18"/>
      <c r="AHZ91" s="18"/>
      <c r="AIA91" s="18"/>
      <c r="AIB91" s="18"/>
      <c r="AIC91" s="18"/>
      <c r="AID91" s="18"/>
      <c r="AIE91" s="18"/>
      <c r="AIF91" s="18"/>
      <c r="AIG91" s="18"/>
      <c r="AIH91" s="18"/>
      <c r="AII91" s="18"/>
      <c r="AIJ91" s="18"/>
      <c r="AIK91" s="18"/>
      <c r="AIL91" s="18"/>
      <c r="AIM91" s="18"/>
      <c r="AIN91" s="18"/>
      <c r="AIO91" s="18"/>
      <c r="AIP91" s="18"/>
      <c r="AIQ91" s="18"/>
      <c r="AIR91" s="18"/>
      <c r="AIS91" s="18"/>
      <c r="AIT91" s="18"/>
      <c r="AIU91" s="18"/>
      <c r="AIV91" s="18"/>
      <c r="AIW91" s="18"/>
      <c r="AIX91" s="18"/>
      <c r="AIY91" s="18"/>
      <c r="AIZ91" s="18"/>
      <c r="AJA91" s="18"/>
      <c r="AJB91" s="18"/>
      <c r="AJC91" s="18"/>
      <c r="AJD91" s="18"/>
      <c r="AJE91" s="18"/>
      <c r="AJF91" s="18"/>
      <c r="AJG91" s="18"/>
      <c r="AJH91" s="18"/>
      <c r="AJI91" s="18"/>
      <c r="AJJ91" s="18"/>
      <c r="AJK91" s="18"/>
      <c r="AJL91" s="18"/>
      <c r="AJM91" s="18"/>
      <c r="AJN91" s="18"/>
      <c r="AJO91" s="18"/>
      <c r="AJP91" s="18"/>
      <c r="AJQ91" s="18"/>
      <c r="AJR91" s="18"/>
      <c r="AJS91" s="18"/>
      <c r="AJT91" s="18"/>
      <c r="AJU91" s="18"/>
      <c r="AJV91" s="18"/>
      <c r="AJW91" s="18"/>
      <c r="AJX91" s="18"/>
      <c r="AJY91" s="18"/>
      <c r="AJZ91" s="18"/>
      <c r="AKA91" s="18"/>
      <c r="AKB91" s="18"/>
      <c r="AKC91" s="18"/>
      <c r="AKD91" s="18"/>
      <c r="AKE91" s="18"/>
      <c r="AKF91" s="18"/>
      <c r="AKG91" s="18"/>
      <c r="AKH91" s="18"/>
      <c r="AKI91" s="18"/>
      <c r="AKJ91" s="18"/>
      <c r="AKK91" s="18"/>
      <c r="AKL91" s="18"/>
      <c r="AKM91" s="18"/>
      <c r="AKN91" s="18"/>
      <c r="AKO91" s="18"/>
      <c r="AKP91" s="18"/>
      <c r="AKQ91" s="18"/>
      <c r="AKR91" s="18"/>
      <c r="AKS91" s="18"/>
      <c r="AKT91" s="18"/>
      <c r="AKU91" s="18"/>
      <c r="AKV91" s="18"/>
      <c r="AKW91" s="18"/>
      <c r="AKX91" s="18"/>
      <c r="AKY91" s="18"/>
      <c r="AKZ91" s="18"/>
      <c r="ALA91" s="18"/>
      <c r="ALB91" s="18"/>
      <c r="ALC91" s="18"/>
      <c r="ALD91" s="18"/>
      <c r="ALE91" s="18"/>
      <c r="ALF91" s="18"/>
      <c r="ALG91" s="18"/>
      <c r="ALH91" s="18"/>
      <c r="ALI91" s="18"/>
      <c r="ALJ91" s="18"/>
      <c r="ALK91" s="18"/>
      <c r="ALL91" s="18"/>
      <c r="ALM91" s="18"/>
      <c r="ALN91" s="18"/>
      <c r="ALO91" s="18"/>
      <c r="ALP91" s="18"/>
      <c r="ALQ91" s="18"/>
      <c r="ALR91" s="18"/>
      <c r="ALS91" s="18"/>
      <c r="ALT91" s="18"/>
      <c r="ALU91" s="18"/>
      <c r="ALV91" s="18"/>
      <c r="ALW91" s="18"/>
      <c r="ALX91" s="18"/>
      <c r="ALY91" s="18"/>
      <c r="ALZ91" s="18"/>
      <c r="AMA91" s="18"/>
      <c r="AMB91" s="18"/>
      <c r="AMC91" s="18"/>
      <c r="AMD91" s="18"/>
      <c r="AME91" s="18"/>
      <c r="AMF91" s="18"/>
      <c r="AMG91" s="18"/>
      <c r="AMH91" s="18"/>
      <c r="AMI91" s="18"/>
      <c r="AMJ91" s="18"/>
      <c r="AMK91" s="18"/>
      <c r="AML91" s="18"/>
      <c r="AMM91" s="18"/>
    </row>
    <row r="92" spans="1:1027" s="18" customFormat="1" x14ac:dyDescent="0.2">
      <c r="A92" s="18">
        <v>2</v>
      </c>
      <c r="B92" s="18" t="s">
        <v>216</v>
      </c>
      <c r="C92" s="18" t="s">
        <v>217</v>
      </c>
      <c r="D92" s="18">
        <v>193</v>
      </c>
      <c r="E92" s="42" t="s">
        <v>507</v>
      </c>
      <c r="F92" s="42" t="s">
        <v>507</v>
      </c>
      <c r="G92" s="43" t="s">
        <v>507</v>
      </c>
      <c r="H92" s="42" t="s">
        <v>507</v>
      </c>
      <c r="I92" s="42" t="s">
        <v>507</v>
      </c>
      <c r="J92" s="42" t="s">
        <v>507</v>
      </c>
      <c r="K92" s="21" t="s">
        <v>509</v>
      </c>
      <c r="M92" s="1" t="s">
        <v>510</v>
      </c>
      <c r="N92" s="1"/>
      <c r="S92" s="13"/>
      <c r="T92" s="1"/>
      <c r="U92" s="1"/>
      <c r="V92" s="1"/>
      <c r="W92" s="1"/>
      <c r="X92" s="1"/>
      <c r="Y92" s="1"/>
      <c r="Z92" s="1"/>
      <c r="AA92" s="30"/>
      <c r="AB92" s="30"/>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c r="AMK92" s="1"/>
    </row>
    <row r="93" spans="1:1027" s="18" customFormat="1" x14ac:dyDescent="0.2">
      <c r="A93" s="18">
        <v>2</v>
      </c>
      <c r="B93" s="18" t="s">
        <v>218</v>
      </c>
      <c r="C93" s="18" t="s">
        <v>219</v>
      </c>
      <c r="D93" s="18">
        <v>265</v>
      </c>
      <c r="E93" s="42" t="s">
        <v>507</v>
      </c>
      <c r="F93" s="42" t="s">
        <v>507</v>
      </c>
      <c r="G93" s="43" t="s">
        <v>507</v>
      </c>
      <c r="H93" s="19" t="s">
        <v>507</v>
      </c>
      <c r="I93" s="42" t="s">
        <v>507</v>
      </c>
      <c r="J93" s="42" t="s">
        <v>507</v>
      </c>
      <c r="K93" s="21" t="s">
        <v>647</v>
      </c>
      <c r="M93" s="1" t="s">
        <v>510</v>
      </c>
      <c r="N93" s="1"/>
      <c r="S93" s="13"/>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spans="1:1027" x14ac:dyDescent="0.2">
      <c r="A94" s="18" t="s">
        <v>504</v>
      </c>
      <c r="B94" s="18" t="s">
        <v>648</v>
      </c>
      <c r="C94" s="18"/>
      <c r="D94" s="18">
        <v>38</v>
      </c>
      <c r="E94" s="19" t="s">
        <v>506</v>
      </c>
      <c r="F94" s="19" t="s">
        <v>507</v>
      </c>
      <c r="G94" s="20" t="s">
        <v>508</v>
      </c>
      <c r="H94" s="19" t="s">
        <v>507</v>
      </c>
      <c r="I94" s="19" t="s">
        <v>507</v>
      </c>
      <c r="J94" s="19" t="s">
        <v>507</v>
      </c>
      <c r="K94" s="21" t="s">
        <v>509</v>
      </c>
      <c r="L94" s="18"/>
      <c r="M94" s="1" t="s">
        <v>510</v>
      </c>
      <c r="O94" s="18" t="s">
        <v>507</v>
      </c>
      <c r="P94" s="18"/>
      <c r="Q94" s="18"/>
      <c r="R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c r="GF94" s="18"/>
      <c r="GG94" s="18"/>
      <c r="GH94" s="18"/>
      <c r="GI94" s="18"/>
      <c r="GJ94" s="18"/>
      <c r="GK94" s="18"/>
      <c r="GL94" s="18"/>
      <c r="GM94" s="18"/>
      <c r="GN94" s="18"/>
      <c r="GO94" s="18"/>
      <c r="GP94" s="18"/>
      <c r="GQ94" s="18"/>
      <c r="GR94" s="18"/>
      <c r="GS94" s="18"/>
      <c r="GT94" s="18"/>
      <c r="GU94" s="18"/>
      <c r="GV94" s="18"/>
      <c r="GW94" s="18"/>
      <c r="GX94" s="18"/>
      <c r="GY94" s="18"/>
      <c r="GZ94" s="18"/>
      <c r="HA94" s="18"/>
      <c r="HB94" s="18"/>
      <c r="HC94" s="18"/>
      <c r="HD94" s="18"/>
      <c r="HE94" s="18"/>
      <c r="HF94" s="18"/>
      <c r="HG94" s="18"/>
      <c r="HH94" s="18"/>
      <c r="HI94" s="18"/>
      <c r="HJ94" s="18"/>
      <c r="HK94" s="18"/>
      <c r="HL94" s="18"/>
      <c r="HM94" s="18"/>
      <c r="HN94" s="18"/>
      <c r="HO94" s="18"/>
      <c r="HP94" s="18"/>
      <c r="HQ94" s="18"/>
      <c r="HR94" s="18"/>
      <c r="HS94" s="18"/>
      <c r="HT94" s="18"/>
      <c r="HU94" s="18"/>
      <c r="HV94" s="18"/>
      <c r="HW94" s="18"/>
      <c r="HX94" s="18"/>
      <c r="HY94" s="18"/>
      <c r="HZ94" s="18"/>
      <c r="IA94" s="18"/>
      <c r="IB94" s="18"/>
      <c r="IC94" s="18"/>
      <c r="ID94" s="18"/>
      <c r="IE94" s="18"/>
      <c r="IF94" s="18"/>
      <c r="IG94" s="18"/>
      <c r="IH94" s="18"/>
      <c r="II94" s="18"/>
      <c r="IJ94" s="18"/>
      <c r="IK94" s="18"/>
      <c r="IL94" s="18"/>
      <c r="IM94" s="18"/>
      <c r="IN94" s="18"/>
      <c r="IO94" s="18"/>
      <c r="IP94" s="18"/>
      <c r="IQ94" s="18"/>
      <c r="IR94" s="18"/>
      <c r="IS94" s="18"/>
      <c r="IT94" s="18"/>
      <c r="IU94" s="18"/>
      <c r="IV94" s="18"/>
      <c r="IW94" s="18"/>
      <c r="IX94" s="18"/>
      <c r="IY94" s="18"/>
      <c r="IZ94" s="18"/>
      <c r="JA94" s="18"/>
      <c r="JB94" s="18"/>
      <c r="JC94" s="18"/>
      <c r="JD94" s="18"/>
      <c r="JE94" s="18"/>
      <c r="JF94" s="18"/>
      <c r="JG94" s="18"/>
      <c r="JH94" s="18"/>
      <c r="JI94" s="18"/>
      <c r="JJ94" s="18"/>
      <c r="JK94" s="18"/>
      <c r="JL94" s="18"/>
      <c r="JM94" s="18"/>
      <c r="JN94" s="18"/>
      <c r="JO94" s="18"/>
      <c r="JP94" s="18"/>
      <c r="JQ94" s="18"/>
      <c r="JR94" s="18"/>
      <c r="JS94" s="18"/>
      <c r="JT94" s="18"/>
      <c r="JU94" s="18"/>
      <c r="JV94" s="18"/>
      <c r="JW94" s="18"/>
      <c r="JX94" s="18"/>
      <c r="JY94" s="18"/>
      <c r="JZ94" s="18"/>
      <c r="KA94" s="18"/>
      <c r="KB94" s="18"/>
      <c r="KC94" s="18"/>
      <c r="KD94" s="18"/>
      <c r="KE94" s="18"/>
      <c r="KF94" s="18"/>
      <c r="KG94" s="18"/>
      <c r="KH94" s="18"/>
      <c r="KI94" s="18"/>
      <c r="KJ94" s="18"/>
      <c r="KK94" s="18"/>
      <c r="KL94" s="18"/>
      <c r="KM94" s="18"/>
      <c r="KN94" s="18"/>
      <c r="KO94" s="18"/>
      <c r="KP94" s="18"/>
      <c r="KQ94" s="18"/>
      <c r="KR94" s="18"/>
      <c r="KS94" s="18"/>
      <c r="KT94" s="18"/>
      <c r="KU94" s="18"/>
      <c r="KV94" s="18"/>
      <c r="KW94" s="18"/>
      <c r="KX94" s="18"/>
      <c r="KY94" s="18"/>
      <c r="KZ94" s="18"/>
      <c r="LA94" s="18"/>
      <c r="LB94" s="18"/>
      <c r="LC94" s="18"/>
      <c r="LD94" s="18"/>
      <c r="LE94" s="18"/>
      <c r="LF94" s="18"/>
      <c r="LG94" s="18"/>
      <c r="LH94" s="18"/>
      <c r="LI94" s="18"/>
      <c r="LJ94" s="18"/>
      <c r="LK94" s="18"/>
      <c r="LL94" s="18"/>
      <c r="LM94" s="18"/>
      <c r="LN94" s="18"/>
      <c r="LO94" s="18"/>
      <c r="LP94" s="18"/>
      <c r="LQ94" s="18"/>
      <c r="LR94" s="18"/>
      <c r="LS94" s="18"/>
      <c r="LT94" s="18"/>
      <c r="LU94" s="18"/>
      <c r="LV94" s="18"/>
      <c r="LW94" s="18"/>
      <c r="LX94" s="18"/>
      <c r="LY94" s="18"/>
      <c r="LZ94" s="18"/>
      <c r="MA94" s="18"/>
      <c r="MB94" s="18"/>
      <c r="MC94" s="18"/>
      <c r="MD94" s="18"/>
      <c r="ME94" s="18"/>
      <c r="MF94" s="18"/>
      <c r="MG94" s="18"/>
      <c r="MH94" s="18"/>
      <c r="MI94" s="18"/>
      <c r="MJ94" s="18"/>
      <c r="MK94" s="18"/>
      <c r="ML94" s="18"/>
      <c r="MM94" s="18"/>
      <c r="MN94" s="18"/>
      <c r="MO94" s="18"/>
      <c r="MP94" s="18"/>
      <c r="MQ94" s="18"/>
      <c r="MR94" s="18"/>
      <c r="MS94" s="18"/>
      <c r="MT94" s="18"/>
      <c r="MU94" s="18"/>
      <c r="MV94" s="18"/>
      <c r="MW94" s="18"/>
      <c r="MX94" s="18"/>
      <c r="MY94" s="18"/>
      <c r="MZ94" s="18"/>
      <c r="NA94" s="18"/>
      <c r="NB94" s="18"/>
      <c r="NC94" s="18"/>
      <c r="ND94" s="18"/>
      <c r="NE94" s="18"/>
      <c r="NF94" s="18"/>
      <c r="NG94" s="18"/>
      <c r="NH94" s="18"/>
      <c r="NI94" s="18"/>
      <c r="NJ94" s="18"/>
      <c r="NK94" s="18"/>
      <c r="NL94" s="18"/>
      <c r="NM94" s="18"/>
      <c r="NN94" s="18"/>
      <c r="NO94" s="18"/>
      <c r="NP94" s="18"/>
      <c r="NQ94" s="18"/>
      <c r="NR94" s="18"/>
      <c r="NS94" s="18"/>
      <c r="NT94" s="18"/>
      <c r="NU94" s="18"/>
      <c r="NV94" s="18"/>
      <c r="NW94" s="18"/>
      <c r="NX94" s="18"/>
      <c r="NY94" s="18"/>
      <c r="NZ94" s="18"/>
      <c r="OA94" s="18"/>
      <c r="OB94" s="18"/>
      <c r="OC94" s="18"/>
      <c r="OD94" s="18"/>
      <c r="OE94" s="18"/>
      <c r="OF94" s="18"/>
      <c r="OG94" s="18"/>
      <c r="OH94" s="18"/>
      <c r="OI94" s="18"/>
      <c r="OJ94" s="18"/>
      <c r="OK94" s="18"/>
      <c r="OL94" s="18"/>
      <c r="OM94" s="18"/>
      <c r="ON94" s="18"/>
      <c r="OO94" s="18"/>
      <c r="OP94" s="18"/>
      <c r="OQ94" s="18"/>
      <c r="OR94" s="18"/>
      <c r="OS94" s="18"/>
      <c r="OT94" s="18"/>
      <c r="OU94" s="18"/>
      <c r="OV94" s="18"/>
      <c r="OW94" s="18"/>
      <c r="OX94" s="18"/>
      <c r="OY94" s="18"/>
      <c r="OZ94" s="18"/>
      <c r="PA94" s="18"/>
      <c r="PB94" s="18"/>
      <c r="PC94" s="18"/>
      <c r="PD94" s="18"/>
      <c r="PE94" s="18"/>
      <c r="PF94" s="18"/>
      <c r="PG94" s="18"/>
      <c r="PH94" s="18"/>
      <c r="PI94" s="18"/>
      <c r="PJ94" s="18"/>
      <c r="PK94" s="18"/>
      <c r="PL94" s="18"/>
      <c r="PM94" s="18"/>
      <c r="PN94" s="18"/>
      <c r="PO94" s="18"/>
      <c r="PP94" s="18"/>
      <c r="PQ94" s="18"/>
      <c r="PR94" s="18"/>
      <c r="PS94" s="18"/>
      <c r="PT94" s="18"/>
      <c r="PU94" s="18"/>
      <c r="PV94" s="18"/>
      <c r="PW94" s="18"/>
      <c r="PX94" s="18"/>
      <c r="PY94" s="18"/>
      <c r="PZ94" s="18"/>
      <c r="QA94" s="18"/>
      <c r="QB94" s="18"/>
      <c r="QC94" s="18"/>
      <c r="QD94" s="18"/>
      <c r="QE94" s="18"/>
      <c r="QF94" s="18"/>
      <c r="QG94" s="18"/>
      <c r="QH94" s="18"/>
      <c r="QI94" s="18"/>
      <c r="QJ94" s="18"/>
      <c r="QK94" s="18"/>
      <c r="QL94" s="18"/>
      <c r="QM94" s="18"/>
      <c r="QN94" s="18"/>
      <c r="QO94" s="18"/>
      <c r="QP94" s="18"/>
      <c r="QQ94" s="18"/>
      <c r="QR94" s="18"/>
      <c r="QS94" s="18"/>
      <c r="QT94" s="18"/>
      <c r="QU94" s="18"/>
      <c r="QV94" s="18"/>
      <c r="QW94" s="18"/>
      <c r="QX94" s="18"/>
      <c r="QY94" s="18"/>
      <c r="QZ94" s="18"/>
      <c r="RA94" s="18"/>
      <c r="RB94" s="18"/>
      <c r="RC94" s="18"/>
      <c r="RD94" s="18"/>
      <c r="RE94" s="18"/>
      <c r="RF94" s="18"/>
      <c r="RG94" s="18"/>
      <c r="RH94" s="18"/>
      <c r="RI94" s="18"/>
      <c r="RJ94" s="18"/>
      <c r="RK94" s="18"/>
      <c r="RL94" s="18"/>
      <c r="RM94" s="18"/>
      <c r="RN94" s="18"/>
      <c r="RO94" s="18"/>
      <c r="RP94" s="18"/>
      <c r="RQ94" s="18"/>
      <c r="RR94" s="18"/>
      <c r="RS94" s="18"/>
      <c r="RT94" s="18"/>
      <c r="RU94" s="18"/>
      <c r="RV94" s="18"/>
      <c r="RW94" s="18"/>
      <c r="RX94" s="18"/>
      <c r="RY94" s="18"/>
      <c r="RZ94" s="18"/>
      <c r="SA94" s="18"/>
      <c r="SB94" s="18"/>
      <c r="SC94" s="18"/>
      <c r="SD94" s="18"/>
      <c r="SE94" s="18"/>
      <c r="SF94" s="18"/>
      <c r="SG94" s="18"/>
      <c r="SH94" s="18"/>
      <c r="SI94" s="18"/>
      <c r="SJ94" s="18"/>
      <c r="SK94" s="18"/>
      <c r="SL94" s="18"/>
      <c r="SM94" s="18"/>
      <c r="SN94" s="18"/>
      <c r="SO94" s="18"/>
      <c r="SP94" s="18"/>
      <c r="SQ94" s="18"/>
      <c r="SR94" s="18"/>
      <c r="SS94" s="18"/>
      <c r="ST94" s="18"/>
      <c r="SU94" s="18"/>
      <c r="SV94" s="18"/>
      <c r="SW94" s="18"/>
      <c r="SX94" s="18"/>
      <c r="SY94" s="18"/>
      <c r="SZ94" s="18"/>
      <c r="TA94" s="18"/>
      <c r="TB94" s="18"/>
      <c r="TC94" s="18"/>
      <c r="TD94" s="18"/>
      <c r="TE94" s="18"/>
      <c r="TF94" s="18"/>
      <c r="TG94" s="18"/>
      <c r="TH94" s="18"/>
      <c r="TI94" s="18"/>
      <c r="TJ94" s="18"/>
      <c r="TK94" s="18"/>
      <c r="TL94" s="18"/>
      <c r="TM94" s="18"/>
      <c r="TN94" s="18"/>
      <c r="TO94" s="18"/>
      <c r="TP94" s="18"/>
      <c r="TQ94" s="18"/>
      <c r="TR94" s="18"/>
      <c r="TS94" s="18"/>
      <c r="TT94" s="18"/>
      <c r="TU94" s="18"/>
      <c r="TV94" s="18"/>
      <c r="TW94" s="18"/>
      <c r="TX94" s="18"/>
      <c r="TY94" s="18"/>
      <c r="TZ94" s="18"/>
      <c r="UA94" s="18"/>
      <c r="UB94" s="18"/>
      <c r="UC94" s="18"/>
      <c r="UD94" s="18"/>
      <c r="UE94" s="18"/>
      <c r="UF94" s="18"/>
      <c r="UG94" s="18"/>
      <c r="UH94" s="18"/>
      <c r="UI94" s="18"/>
      <c r="UJ94" s="18"/>
      <c r="UK94" s="18"/>
      <c r="UL94" s="18"/>
      <c r="UM94" s="18"/>
      <c r="UN94" s="18"/>
      <c r="UO94" s="18"/>
      <c r="UP94" s="18"/>
      <c r="UQ94" s="18"/>
      <c r="UR94" s="18"/>
      <c r="US94" s="18"/>
      <c r="UT94" s="18"/>
      <c r="UU94" s="18"/>
      <c r="UV94" s="18"/>
      <c r="UW94" s="18"/>
      <c r="UX94" s="18"/>
      <c r="UY94" s="18"/>
      <c r="UZ94" s="18"/>
      <c r="VA94" s="18"/>
      <c r="VB94" s="18"/>
      <c r="VC94" s="18"/>
      <c r="VD94" s="18"/>
      <c r="VE94" s="18"/>
      <c r="VF94" s="18"/>
      <c r="VG94" s="18"/>
      <c r="VH94" s="18"/>
      <c r="VI94" s="18"/>
      <c r="VJ94" s="18"/>
      <c r="VK94" s="18"/>
      <c r="VL94" s="18"/>
      <c r="VM94" s="18"/>
      <c r="VN94" s="18"/>
      <c r="VO94" s="18"/>
      <c r="VP94" s="18"/>
      <c r="VQ94" s="18"/>
      <c r="VR94" s="18"/>
      <c r="VS94" s="18"/>
      <c r="VT94" s="18"/>
      <c r="VU94" s="18"/>
      <c r="VV94" s="18"/>
      <c r="VW94" s="18"/>
      <c r="VX94" s="18"/>
      <c r="VY94" s="18"/>
      <c r="VZ94" s="18"/>
      <c r="WA94" s="18"/>
      <c r="WB94" s="18"/>
      <c r="WC94" s="18"/>
      <c r="WD94" s="18"/>
      <c r="WE94" s="18"/>
      <c r="WF94" s="18"/>
      <c r="WG94" s="18"/>
      <c r="WH94" s="18"/>
      <c r="WI94" s="18"/>
      <c r="WJ94" s="18"/>
      <c r="WK94" s="18"/>
      <c r="WL94" s="18"/>
      <c r="WM94" s="18"/>
      <c r="WN94" s="18"/>
      <c r="WO94" s="18"/>
      <c r="WP94" s="18"/>
      <c r="WQ94" s="18"/>
      <c r="WR94" s="18"/>
      <c r="WS94" s="18"/>
      <c r="WT94" s="18"/>
      <c r="WU94" s="18"/>
      <c r="WV94" s="18"/>
      <c r="WW94" s="18"/>
      <c r="WX94" s="18"/>
      <c r="WY94" s="18"/>
      <c r="WZ94" s="18"/>
      <c r="XA94" s="18"/>
      <c r="XB94" s="18"/>
      <c r="XC94" s="18"/>
      <c r="XD94" s="18"/>
      <c r="XE94" s="18"/>
      <c r="XF94" s="18"/>
      <c r="XG94" s="18"/>
      <c r="XH94" s="18"/>
      <c r="XI94" s="18"/>
      <c r="XJ94" s="18"/>
      <c r="XK94" s="18"/>
      <c r="XL94" s="18"/>
      <c r="XM94" s="18"/>
      <c r="XN94" s="18"/>
      <c r="XO94" s="18"/>
      <c r="XP94" s="18"/>
      <c r="XQ94" s="18"/>
      <c r="XR94" s="18"/>
      <c r="XS94" s="18"/>
      <c r="XT94" s="18"/>
      <c r="XU94" s="18"/>
      <c r="XV94" s="18"/>
      <c r="XW94" s="18"/>
      <c r="XX94" s="18"/>
      <c r="XY94" s="18"/>
      <c r="XZ94" s="18"/>
      <c r="YA94" s="18"/>
      <c r="YB94" s="18"/>
      <c r="YC94" s="18"/>
      <c r="YD94" s="18"/>
      <c r="YE94" s="18"/>
      <c r="YF94" s="18"/>
      <c r="YG94" s="18"/>
      <c r="YH94" s="18"/>
      <c r="YI94" s="18"/>
      <c r="YJ94" s="18"/>
      <c r="YK94" s="18"/>
      <c r="YL94" s="18"/>
      <c r="YM94" s="18"/>
      <c r="YN94" s="18"/>
      <c r="YO94" s="18"/>
      <c r="YP94" s="18"/>
      <c r="YQ94" s="18"/>
      <c r="YR94" s="18"/>
      <c r="YS94" s="18"/>
      <c r="YT94" s="18"/>
      <c r="YU94" s="18"/>
      <c r="YV94" s="18"/>
      <c r="YW94" s="18"/>
      <c r="YX94" s="18"/>
      <c r="YY94" s="18"/>
      <c r="YZ94" s="18"/>
      <c r="ZA94" s="18"/>
      <c r="ZB94" s="18"/>
      <c r="ZC94" s="18"/>
      <c r="ZD94" s="18"/>
      <c r="ZE94" s="18"/>
      <c r="ZF94" s="18"/>
      <c r="ZG94" s="18"/>
      <c r="ZH94" s="18"/>
      <c r="ZI94" s="18"/>
      <c r="ZJ94" s="18"/>
      <c r="ZK94" s="18"/>
      <c r="ZL94" s="18"/>
      <c r="ZM94" s="18"/>
      <c r="ZN94" s="18"/>
      <c r="ZO94" s="18"/>
      <c r="ZP94" s="18"/>
      <c r="ZQ94" s="18"/>
      <c r="ZR94" s="18"/>
      <c r="ZS94" s="18"/>
      <c r="ZT94" s="18"/>
      <c r="ZU94" s="18"/>
      <c r="ZV94" s="18"/>
      <c r="ZW94" s="18"/>
      <c r="ZX94" s="18"/>
      <c r="ZY94" s="18"/>
      <c r="ZZ94" s="18"/>
      <c r="AAA94" s="18"/>
      <c r="AAB94" s="18"/>
      <c r="AAC94" s="18"/>
      <c r="AAD94" s="18"/>
      <c r="AAE94" s="18"/>
      <c r="AAF94" s="18"/>
      <c r="AAG94" s="18"/>
      <c r="AAH94" s="18"/>
      <c r="AAI94" s="18"/>
      <c r="AAJ94" s="18"/>
      <c r="AAK94" s="18"/>
      <c r="AAL94" s="18"/>
      <c r="AAM94" s="18"/>
      <c r="AAN94" s="18"/>
      <c r="AAO94" s="18"/>
      <c r="AAP94" s="18"/>
      <c r="AAQ94" s="18"/>
      <c r="AAR94" s="18"/>
      <c r="AAS94" s="18"/>
      <c r="AAT94" s="18"/>
      <c r="AAU94" s="18"/>
      <c r="AAV94" s="18"/>
      <c r="AAW94" s="18"/>
      <c r="AAX94" s="18"/>
      <c r="AAY94" s="18"/>
      <c r="AAZ94" s="18"/>
      <c r="ABA94" s="18"/>
      <c r="ABB94" s="18"/>
      <c r="ABC94" s="18"/>
      <c r="ABD94" s="18"/>
      <c r="ABE94" s="18"/>
      <c r="ABF94" s="18"/>
      <c r="ABG94" s="18"/>
      <c r="ABH94" s="18"/>
      <c r="ABI94" s="18"/>
      <c r="ABJ94" s="18"/>
      <c r="ABK94" s="18"/>
      <c r="ABL94" s="18"/>
      <c r="ABM94" s="18"/>
      <c r="ABN94" s="18"/>
      <c r="ABO94" s="18"/>
      <c r="ABP94" s="18"/>
      <c r="ABQ94" s="18"/>
      <c r="ABR94" s="18"/>
      <c r="ABS94" s="18"/>
      <c r="ABT94" s="18"/>
      <c r="ABU94" s="18"/>
      <c r="ABV94" s="18"/>
      <c r="ABW94" s="18"/>
      <c r="ABX94" s="18"/>
      <c r="ABY94" s="18"/>
      <c r="ABZ94" s="18"/>
      <c r="ACA94" s="18"/>
      <c r="ACB94" s="18"/>
      <c r="ACC94" s="18"/>
      <c r="ACD94" s="18"/>
      <c r="ACE94" s="18"/>
      <c r="ACF94" s="18"/>
      <c r="ACG94" s="18"/>
      <c r="ACH94" s="18"/>
      <c r="ACI94" s="18"/>
      <c r="ACJ94" s="18"/>
      <c r="ACK94" s="18"/>
      <c r="ACL94" s="18"/>
      <c r="ACM94" s="18"/>
      <c r="ACN94" s="18"/>
      <c r="ACO94" s="18"/>
      <c r="ACP94" s="18"/>
      <c r="ACQ94" s="18"/>
      <c r="ACR94" s="18"/>
      <c r="ACS94" s="18"/>
      <c r="ACT94" s="18"/>
      <c r="ACU94" s="18"/>
      <c r="ACV94" s="18"/>
      <c r="ACW94" s="18"/>
      <c r="ACX94" s="18"/>
      <c r="ACY94" s="18"/>
      <c r="ACZ94" s="18"/>
      <c r="ADA94" s="18"/>
      <c r="ADB94" s="18"/>
      <c r="ADC94" s="18"/>
      <c r="ADD94" s="18"/>
      <c r="ADE94" s="18"/>
      <c r="ADF94" s="18"/>
      <c r="ADG94" s="18"/>
      <c r="ADH94" s="18"/>
      <c r="ADI94" s="18"/>
      <c r="ADJ94" s="18"/>
      <c r="ADK94" s="18"/>
      <c r="ADL94" s="18"/>
      <c r="ADM94" s="18"/>
      <c r="ADN94" s="18"/>
      <c r="ADO94" s="18"/>
      <c r="ADP94" s="18"/>
      <c r="ADQ94" s="18"/>
      <c r="ADR94" s="18"/>
      <c r="ADS94" s="18"/>
      <c r="ADT94" s="18"/>
      <c r="ADU94" s="18"/>
      <c r="ADV94" s="18"/>
      <c r="ADW94" s="18"/>
      <c r="ADX94" s="18"/>
      <c r="ADY94" s="18"/>
      <c r="ADZ94" s="18"/>
      <c r="AEA94" s="18"/>
      <c r="AEB94" s="18"/>
      <c r="AEC94" s="18"/>
      <c r="AED94" s="18"/>
      <c r="AEE94" s="18"/>
      <c r="AEF94" s="18"/>
      <c r="AEG94" s="18"/>
      <c r="AEH94" s="18"/>
      <c r="AEI94" s="18"/>
      <c r="AEJ94" s="18"/>
      <c r="AEK94" s="18"/>
      <c r="AEL94" s="18"/>
      <c r="AEM94" s="18"/>
      <c r="AEN94" s="18"/>
      <c r="AEO94" s="18"/>
      <c r="AEP94" s="18"/>
      <c r="AEQ94" s="18"/>
      <c r="AER94" s="18"/>
      <c r="AES94" s="18"/>
      <c r="AET94" s="18"/>
      <c r="AEU94" s="18"/>
      <c r="AEV94" s="18"/>
      <c r="AEW94" s="18"/>
      <c r="AEX94" s="18"/>
      <c r="AEY94" s="18"/>
      <c r="AEZ94" s="18"/>
      <c r="AFA94" s="18"/>
      <c r="AFB94" s="18"/>
      <c r="AFC94" s="18"/>
      <c r="AFD94" s="18"/>
      <c r="AFE94" s="18"/>
      <c r="AFF94" s="18"/>
      <c r="AFG94" s="18"/>
      <c r="AFH94" s="18"/>
      <c r="AFI94" s="18"/>
      <c r="AFJ94" s="18"/>
      <c r="AFK94" s="18"/>
      <c r="AFL94" s="18"/>
      <c r="AFM94" s="18"/>
      <c r="AFN94" s="18"/>
      <c r="AFO94" s="18"/>
      <c r="AFP94" s="18"/>
      <c r="AFQ94" s="18"/>
      <c r="AFR94" s="18"/>
      <c r="AFS94" s="18"/>
      <c r="AFT94" s="18"/>
      <c r="AFU94" s="18"/>
      <c r="AFV94" s="18"/>
      <c r="AFW94" s="18"/>
      <c r="AFX94" s="18"/>
      <c r="AFY94" s="18"/>
      <c r="AFZ94" s="18"/>
      <c r="AGA94" s="18"/>
      <c r="AGB94" s="18"/>
      <c r="AGC94" s="18"/>
      <c r="AGD94" s="18"/>
      <c r="AGE94" s="18"/>
      <c r="AGF94" s="18"/>
      <c r="AGG94" s="18"/>
      <c r="AGH94" s="18"/>
      <c r="AGI94" s="18"/>
      <c r="AGJ94" s="18"/>
      <c r="AGK94" s="18"/>
      <c r="AGL94" s="18"/>
      <c r="AGM94" s="18"/>
      <c r="AGN94" s="18"/>
      <c r="AGO94" s="18"/>
      <c r="AGP94" s="18"/>
      <c r="AGQ94" s="18"/>
      <c r="AGR94" s="18"/>
      <c r="AGS94" s="18"/>
      <c r="AGT94" s="18"/>
      <c r="AGU94" s="18"/>
      <c r="AGV94" s="18"/>
      <c r="AGW94" s="18"/>
      <c r="AGX94" s="18"/>
      <c r="AGY94" s="18"/>
      <c r="AGZ94" s="18"/>
      <c r="AHA94" s="18"/>
      <c r="AHB94" s="18"/>
      <c r="AHC94" s="18"/>
      <c r="AHD94" s="18"/>
      <c r="AHE94" s="18"/>
      <c r="AHF94" s="18"/>
      <c r="AHG94" s="18"/>
      <c r="AHH94" s="18"/>
      <c r="AHI94" s="18"/>
      <c r="AHJ94" s="18"/>
      <c r="AHK94" s="18"/>
      <c r="AHL94" s="18"/>
      <c r="AHM94" s="18"/>
      <c r="AHN94" s="18"/>
      <c r="AHO94" s="18"/>
      <c r="AHP94" s="18"/>
      <c r="AHQ94" s="18"/>
      <c r="AHR94" s="18"/>
      <c r="AHS94" s="18"/>
      <c r="AHT94" s="18"/>
      <c r="AHU94" s="18"/>
      <c r="AHV94" s="18"/>
      <c r="AHW94" s="18"/>
      <c r="AHX94" s="18"/>
      <c r="AHY94" s="18"/>
      <c r="AHZ94" s="18"/>
      <c r="AIA94" s="18"/>
      <c r="AIB94" s="18"/>
      <c r="AIC94" s="18"/>
      <c r="AID94" s="18"/>
      <c r="AIE94" s="18"/>
      <c r="AIF94" s="18"/>
      <c r="AIG94" s="18"/>
      <c r="AIH94" s="18"/>
      <c r="AII94" s="18"/>
      <c r="AIJ94" s="18"/>
      <c r="AIK94" s="18"/>
      <c r="AIL94" s="18"/>
      <c r="AIM94" s="18"/>
      <c r="AIN94" s="18"/>
      <c r="AIO94" s="18"/>
      <c r="AIP94" s="18"/>
      <c r="AIQ94" s="18"/>
      <c r="AIR94" s="18"/>
      <c r="AIS94" s="18"/>
      <c r="AIT94" s="18"/>
      <c r="AIU94" s="18"/>
      <c r="AIV94" s="18"/>
      <c r="AIW94" s="18"/>
      <c r="AIX94" s="18"/>
      <c r="AIY94" s="18"/>
      <c r="AIZ94" s="18"/>
      <c r="AJA94" s="18"/>
      <c r="AJB94" s="18"/>
      <c r="AJC94" s="18"/>
      <c r="AJD94" s="18"/>
      <c r="AJE94" s="18"/>
      <c r="AJF94" s="18"/>
      <c r="AJG94" s="18"/>
      <c r="AJH94" s="18"/>
      <c r="AJI94" s="18"/>
      <c r="AJJ94" s="18"/>
      <c r="AJK94" s="18"/>
      <c r="AJL94" s="18"/>
      <c r="AJM94" s="18"/>
      <c r="AJN94" s="18"/>
      <c r="AJO94" s="18"/>
      <c r="AJP94" s="18"/>
      <c r="AJQ94" s="18"/>
      <c r="AJR94" s="18"/>
      <c r="AJS94" s="18"/>
      <c r="AJT94" s="18"/>
      <c r="AJU94" s="18"/>
      <c r="AJV94" s="18"/>
      <c r="AJW94" s="18"/>
      <c r="AJX94" s="18"/>
      <c r="AJY94" s="18"/>
      <c r="AJZ94" s="18"/>
      <c r="AKA94" s="18"/>
      <c r="AKB94" s="18"/>
      <c r="AKC94" s="18"/>
      <c r="AKD94" s="18"/>
      <c r="AKE94" s="18"/>
      <c r="AKF94" s="18"/>
      <c r="AKG94" s="18"/>
      <c r="AKH94" s="18"/>
      <c r="AKI94" s="18"/>
      <c r="AKJ94" s="18"/>
      <c r="AKK94" s="18"/>
      <c r="AKL94" s="18"/>
      <c r="AKM94" s="18"/>
      <c r="AKN94" s="18"/>
      <c r="AKO94" s="18"/>
      <c r="AKP94" s="18"/>
      <c r="AKQ94" s="18"/>
      <c r="AKR94" s="18"/>
      <c r="AKS94" s="18"/>
      <c r="AKT94" s="18"/>
      <c r="AKU94" s="18"/>
      <c r="AKV94" s="18"/>
      <c r="AKW94" s="18"/>
      <c r="AKX94" s="18"/>
      <c r="AKY94" s="18"/>
      <c r="AKZ94" s="18"/>
      <c r="ALA94" s="18"/>
      <c r="ALB94" s="18"/>
      <c r="ALC94" s="18"/>
      <c r="ALD94" s="18"/>
      <c r="ALE94" s="18"/>
      <c r="ALF94" s="18"/>
      <c r="ALG94" s="18"/>
      <c r="ALH94" s="18"/>
      <c r="ALI94" s="18"/>
      <c r="ALJ94" s="18"/>
      <c r="ALK94" s="18"/>
      <c r="ALL94" s="18"/>
      <c r="ALM94" s="18"/>
      <c r="ALN94" s="18"/>
      <c r="ALO94" s="18"/>
      <c r="ALP94" s="18"/>
      <c r="ALQ94" s="18"/>
      <c r="ALR94" s="18"/>
      <c r="ALS94" s="18"/>
      <c r="ALT94" s="18"/>
      <c r="ALU94" s="18"/>
      <c r="ALV94" s="18"/>
      <c r="ALW94" s="18"/>
      <c r="ALX94" s="18"/>
      <c r="ALY94" s="18"/>
      <c r="ALZ94" s="18"/>
      <c r="AMA94" s="18"/>
      <c r="AMB94" s="18"/>
      <c r="AMC94" s="18"/>
      <c r="AMD94" s="18"/>
      <c r="AME94" s="18"/>
      <c r="AMF94" s="18"/>
      <c r="AMG94" s="18"/>
      <c r="AMH94" s="18"/>
      <c r="AMI94" s="18"/>
      <c r="AMJ94" s="18"/>
      <c r="AMK94" s="18"/>
      <c r="AML94" s="18"/>
      <c r="AMM94" s="18"/>
    </row>
    <row r="95" spans="1:1027" s="18" customFormat="1" x14ac:dyDescent="0.2">
      <c r="A95" s="18">
        <v>1</v>
      </c>
      <c r="B95" s="28" t="s">
        <v>47</v>
      </c>
      <c r="C95" s="28"/>
      <c r="D95" s="28">
        <v>253</v>
      </c>
      <c r="E95" s="42" t="s">
        <v>507</v>
      </c>
      <c r="F95" s="42" t="s">
        <v>507</v>
      </c>
      <c r="G95" s="43" t="s">
        <v>611</v>
      </c>
      <c r="H95" s="42" t="s">
        <v>507</v>
      </c>
      <c r="I95" s="42" t="s">
        <v>507</v>
      </c>
      <c r="J95" s="42" t="s">
        <v>507</v>
      </c>
      <c r="K95" s="21" t="s">
        <v>509</v>
      </c>
      <c r="M95" s="1" t="s">
        <v>510</v>
      </c>
      <c r="N95" s="1"/>
      <c r="O95" s="18" t="s">
        <v>507</v>
      </c>
      <c r="S95" s="13"/>
      <c r="T95" s="1"/>
      <c r="U95" s="1"/>
      <c r="V95" s="1"/>
      <c r="W95" s="1"/>
      <c r="X95" s="1"/>
      <c r="Y95" s="1"/>
      <c r="Z95" s="1"/>
      <c r="AA95" s="30"/>
      <c r="AB95" s="30"/>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c r="AMK95" s="1"/>
    </row>
    <row r="96" spans="1:1027" s="18" customFormat="1" x14ac:dyDescent="0.2">
      <c r="A96" s="18" t="s">
        <v>504</v>
      </c>
      <c r="B96" s="18" t="s">
        <v>649</v>
      </c>
      <c r="D96" s="28">
        <v>253</v>
      </c>
      <c r="E96" s="42" t="s">
        <v>506</v>
      </c>
      <c r="F96" s="19" t="s">
        <v>507</v>
      </c>
      <c r="G96" s="20" t="s">
        <v>507</v>
      </c>
      <c r="H96" s="19" t="s">
        <v>507</v>
      </c>
      <c r="I96" s="42" t="s">
        <v>507</v>
      </c>
      <c r="J96" s="42" t="s">
        <v>507</v>
      </c>
      <c r="K96" s="21" t="s">
        <v>509</v>
      </c>
      <c r="M96" s="1" t="s">
        <v>510</v>
      </c>
      <c r="N96" s="1"/>
      <c r="O96" s="18" t="s">
        <v>507</v>
      </c>
      <c r="S96" s="13"/>
      <c r="T96" s="6"/>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spans="1:1027" s="18" customFormat="1" x14ac:dyDescent="0.2">
      <c r="A97" s="18">
        <v>2</v>
      </c>
      <c r="B97" s="18" t="s">
        <v>650</v>
      </c>
      <c r="C97" s="18" t="s">
        <v>222</v>
      </c>
      <c r="D97" s="18">
        <v>35</v>
      </c>
      <c r="E97" s="19" t="s">
        <v>507</v>
      </c>
      <c r="F97" s="19" t="s">
        <v>507</v>
      </c>
      <c r="G97" s="20" t="s">
        <v>508</v>
      </c>
      <c r="H97" s="19" t="s">
        <v>507</v>
      </c>
      <c r="I97" s="42" t="s">
        <v>507</v>
      </c>
      <c r="J97" s="42" t="s">
        <v>507</v>
      </c>
      <c r="K97" s="21" t="s">
        <v>509</v>
      </c>
      <c r="M97" s="1" t="s">
        <v>510</v>
      </c>
      <c r="N97" s="1"/>
      <c r="O97" s="18" t="s">
        <v>507</v>
      </c>
      <c r="S97" s="13"/>
      <c r="T97" s="6"/>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spans="1:1027" s="18" customFormat="1" x14ac:dyDescent="0.2">
      <c r="A98" s="18" t="s">
        <v>504</v>
      </c>
      <c r="B98" s="18" t="s">
        <v>651</v>
      </c>
      <c r="D98" s="28">
        <v>95</v>
      </c>
      <c r="E98" s="42" t="s">
        <v>506</v>
      </c>
      <c r="F98" s="19" t="s">
        <v>507</v>
      </c>
      <c r="G98" s="20" t="s">
        <v>508</v>
      </c>
      <c r="H98" s="19" t="s">
        <v>507</v>
      </c>
      <c r="I98" s="42" t="s">
        <v>507</v>
      </c>
      <c r="J98" s="42" t="s">
        <v>507</v>
      </c>
      <c r="K98" s="21" t="s">
        <v>509</v>
      </c>
      <c r="M98" s="1" t="s">
        <v>510</v>
      </c>
      <c r="N98" s="1"/>
      <c r="O98" s="18" t="s">
        <v>507</v>
      </c>
      <c r="Q98" s="18" t="s">
        <v>527</v>
      </c>
      <c r="S98" s="13"/>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spans="1:1027" s="29" customFormat="1" x14ac:dyDescent="0.2">
      <c r="A99" s="18" t="s">
        <v>504</v>
      </c>
      <c r="B99" s="18" t="s">
        <v>652</v>
      </c>
      <c r="C99" s="18"/>
      <c r="D99" s="18">
        <v>121</v>
      </c>
      <c r="E99" s="19" t="s">
        <v>506</v>
      </c>
      <c r="F99" s="19" t="s">
        <v>507</v>
      </c>
      <c r="G99" s="20" t="s">
        <v>653</v>
      </c>
      <c r="H99" s="19"/>
      <c r="I99" s="19" t="s">
        <v>507</v>
      </c>
      <c r="J99" s="19" t="s">
        <v>507</v>
      </c>
      <c r="K99" s="21" t="s">
        <v>647</v>
      </c>
      <c r="L99" s="18"/>
      <c r="M99" s="1" t="s">
        <v>510</v>
      </c>
      <c r="N99" s="1"/>
      <c r="O99" s="18"/>
      <c r="P99" s="18"/>
      <c r="Q99" s="18"/>
      <c r="R99" s="18"/>
      <c r="S99" s="13"/>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c r="HU99" s="18"/>
      <c r="HV99" s="18"/>
      <c r="HW99" s="18"/>
      <c r="HX99" s="18"/>
      <c r="HY99" s="18"/>
      <c r="HZ99" s="18"/>
      <c r="IA99" s="18"/>
      <c r="IB99" s="18"/>
      <c r="IC99" s="18"/>
      <c r="ID99" s="18"/>
      <c r="IE99" s="18"/>
      <c r="IF99" s="18"/>
      <c r="IG99" s="18"/>
      <c r="IH99" s="18"/>
      <c r="II99" s="18"/>
      <c r="IJ99" s="18"/>
      <c r="IK99" s="18"/>
      <c r="IL99" s="18"/>
      <c r="IM99" s="18"/>
      <c r="IN99" s="18"/>
      <c r="IO99" s="18"/>
      <c r="IP99" s="18"/>
      <c r="IQ99" s="18"/>
      <c r="IR99" s="18"/>
      <c r="IS99" s="18"/>
      <c r="IT99" s="18"/>
      <c r="IU99" s="18"/>
      <c r="IV99" s="18"/>
      <c r="IW99" s="18"/>
      <c r="IX99" s="18"/>
      <c r="IY99" s="18"/>
      <c r="IZ99" s="18"/>
      <c r="JA99" s="18"/>
      <c r="JB99" s="18"/>
      <c r="JC99" s="18"/>
      <c r="JD99" s="18"/>
      <c r="JE99" s="18"/>
      <c r="JF99" s="18"/>
      <c r="JG99" s="18"/>
      <c r="JH99" s="18"/>
      <c r="JI99" s="18"/>
      <c r="JJ99" s="18"/>
      <c r="JK99" s="18"/>
      <c r="JL99" s="18"/>
      <c r="JM99" s="18"/>
      <c r="JN99" s="18"/>
      <c r="JO99" s="18"/>
      <c r="JP99" s="18"/>
      <c r="JQ99" s="18"/>
      <c r="JR99" s="18"/>
      <c r="JS99" s="18"/>
      <c r="JT99" s="18"/>
      <c r="JU99" s="18"/>
      <c r="JV99" s="18"/>
      <c r="JW99" s="18"/>
      <c r="JX99" s="18"/>
      <c r="JY99" s="18"/>
      <c r="JZ99" s="18"/>
      <c r="KA99" s="18"/>
      <c r="KB99" s="18"/>
      <c r="KC99" s="18"/>
      <c r="KD99" s="18"/>
      <c r="KE99" s="18"/>
      <c r="KF99" s="18"/>
      <c r="KG99" s="18"/>
      <c r="KH99" s="18"/>
      <c r="KI99" s="18"/>
      <c r="KJ99" s="18"/>
      <c r="KK99" s="18"/>
      <c r="KL99" s="18"/>
      <c r="KM99" s="18"/>
      <c r="KN99" s="18"/>
      <c r="KO99" s="18"/>
      <c r="KP99" s="18"/>
      <c r="KQ99" s="18"/>
      <c r="KR99" s="18"/>
      <c r="KS99" s="18"/>
      <c r="KT99" s="18"/>
      <c r="KU99" s="18"/>
      <c r="KV99" s="18"/>
      <c r="KW99" s="18"/>
      <c r="KX99" s="18"/>
      <c r="KY99" s="18"/>
      <c r="KZ99" s="18"/>
      <c r="LA99" s="18"/>
      <c r="LB99" s="18"/>
      <c r="LC99" s="18"/>
      <c r="LD99" s="18"/>
      <c r="LE99" s="18"/>
      <c r="LF99" s="18"/>
      <c r="LG99" s="18"/>
      <c r="LH99" s="18"/>
      <c r="LI99" s="18"/>
      <c r="LJ99" s="18"/>
      <c r="LK99" s="18"/>
      <c r="LL99" s="18"/>
      <c r="LM99" s="18"/>
      <c r="LN99" s="18"/>
      <c r="LO99" s="18"/>
      <c r="LP99" s="18"/>
      <c r="LQ99" s="18"/>
      <c r="LR99" s="18"/>
      <c r="LS99" s="18"/>
      <c r="LT99" s="18"/>
      <c r="LU99" s="18"/>
      <c r="LV99" s="18"/>
      <c r="LW99" s="18"/>
      <c r="LX99" s="18"/>
      <c r="LY99" s="18"/>
      <c r="LZ99" s="18"/>
      <c r="MA99" s="18"/>
      <c r="MB99" s="18"/>
      <c r="MC99" s="18"/>
      <c r="MD99" s="18"/>
      <c r="ME99" s="18"/>
      <c r="MF99" s="18"/>
      <c r="MG99" s="18"/>
      <c r="MH99" s="18"/>
      <c r="MI99" s="18"/>
      <c r="MJ99" s="18"/>
      <c r="MK99" s="18"/>
      <c r="ML99" s="18"/>
      <c r="MM99" s="18"/>
      <c r="MN99" s="18"/>
      <c r="MO99" s="18"/>
      <c r="MP99" s="18"/>
      <c r="MQ99" s="18"/>
      <c r="MR99" s="18"/>
      <c r="MS99" s="18"/>
      <c r="MT99" s="18"/>
      <c r="MU99" s="18"/>
      <c r="MV99" s="18"/>
      <c r="MW99" s="18"/>
      <c r="MX99" s="18"/>
      <c r="MY99" s="18"/>
      <c r="MZ99" s="18"/>
      <c r="NA99" s="18"/>
      <c r="NB99" s="18"/>
      <c r="NC99" s="18"/>
      <c r="ND99" s="18"/>
      <c r="NE99" s="18"/>
      <c r="NF99" s="18"/>
      <c r="NG99" s="18"/>
      <c r="NH99" s="18"/>
      <c r="NI99" s="18"/>
      <c r="NJ99" s="18"/>
      <c r="NK99" s="18"/>
      <c r="NL99" s="18"/>
      <c r="NM99" s="18"/>
      <c r="NN99" s="18"/>
      <c r="NO99" s="18"/>
      <c r="NP99" s="18"/>
      <c r="NQ99" s="18"/>
      <c r="NR99" s="18"/>
      <c r="NS99" s="18"/>
      <c r="NT99" s="18"/>
      <c r="NU99" s="18"/>
      <c r="NV99" s="18"/>
      <c r="NW99" s="18"/>
      <c r="NX99" s="18"/>
      <c r="NY99" s="18"/>
      <c r="NZ99" s="18"/>
      <c r="OA99" s="18"/>
      <c r="OB99" s="18"/>
      <c r="OC99" s="18"/>
      <c r="OD99" s="18"/>
      <c r="OE99" s="18"/>
      <c r="OF99" s="18"/>
      <c r="OG99" s="18"/>
      <c r="OH99" s="18"/>
      <c r="OI99" s="18"/>
      <c r="OJ99" s="18"/>
      <c r="OK99" s="18"/>
      <c r="OL99" s="18"/>
      <c r="OM99" s="18"/>
      <c r="ON99" s="18"/>
      <c r="OO99" s="18"/>
      <c r="OP99" s="18"/>
      <c r="OQ99" s="18"/>
      <c r="OR99" s="18"/>
      <c r="OS99" s="18"/>
      <c r="OT99" s="18"/>
      <c r="OU99" s="18"/>
      <c r="OV99" s="18"/>
      <c r="OW99" s="18"/>
      <c r="OX99" s="18"/>
      <c r="OY99" s="18"/>
      <c r="OZ99" s="18"/>
      <c r="PA99" s="18"/>
      <c r="PB99" s="18"/>
      <c r="PC99" s="18"/>
      <c r="PD99" s="18"/>
      <c r="PE99" s="18"/>
      <c r="PF99" s="18"/>
      <c r="PG99" s="18"/>
      <c r="PH99" s="18"/>
      <c r="PI99" s="18"/>
      <c r="PJ99" s="18"/>
      <c r="PK99" s="18"/>
      <c r="PL99" s="18"/>
      <c r="PM99" s="18"/>
      <c r="PN99" s="18"/>
      <c r="PO99" s="18"/>
      <c r="PP99" s="18"/>
      <c r="PQ99" s="18"/>
      <c r="PR99" s="18"/>
      <c r="PS99" s="18"/>
      <c r="PT99" s="18"/>
      <c r="PU99" s="18"/>
      <c r="PV99" s="18"/>
      <c r="PW99" s="18"/>
      <c r="PX99" s="18"/>
      <c r="PY99" s="18"/>
      <c r="PZ99" s="18"/>
      <c r="QA99" s="18"/>
      <c r="QB99" s="18"/>
      <c r="QC99" s="18"/>
      <c r="QD99" s="18"/>
      <c r="QE99" s="18"/>
      <c r="QF99" s="18"/>
      <c r="QG99" s="18"/>
      <c r="QH99" s="18"/>
      <c r="QI99" s="18"/>
      <c r="QJ99" s="18"/>
      <c r="QK99" s="18"/>
      <c r="QL99" s="18"/>
      <c r="QM99" s="18"/>
      <c r="QN99" s="18"/>
      <c r="QO99" s="18"/>
      <c r="QP99" s="18"/>
      <c r="QQ99" s="18"/>
      <c r="QR99" s="18"/>
      <c r="QS99" s="18"/>
      <c r="QT99" s="18"/>
      <c r="QU99" s="18"/>
      <c r="QV99" s="18"/>
      <c r="QW99" s="18"/>
      <c r="QX99" s="18"/>
      <c r="QY99" s="18"/>
      <c r="QZ99" s="18"/>
      <c r="RA99" s="18"/>
      <c r="RB99" s="18"/>
      <c r="RC99" s="18"/>
      <c r="RD99" s="18"/>
      <c r="RE99" s="18"/>
      <c r="RF99" s="18"/>
      <c r="RG99" s="18"/>
      <c r="RH99" s="18"/>
      <c r="RI99" s="18"/>
      <c r="RJ99" s="18"/>
      <c r="RK99" s="18"/>
      <c r="RL99" s="18"/>
      <c r="RM99" s="18"/>
      <c r="RN99" s="18"/>
      <c r="RO99" s="18"/>
      <c r="RP99" s="18"/>
      <c r="RQ99" s="18"/>
      <c r="RR99" s="18"/>
      <c r="RS99" s="18"/>
      <c r="RT99" s="18"/>
      <c r="RU99" s="18"/>
      <c r="RV99" s="18"/>
      <c r="RW99" s="18"/>
      <c r="RX99" s="18"/>
      <c r="RY99" s="18"/>
      <c r="RZ99" s="18"/>
      <c r="SA99" s="18"/>
      <c r="SB99" s="18"/>
      <c r="SC99" s="18"/>
      <c r="SD99" s="18"/>
      <c r="SE99" s="18"/>
      <c r="SF99" s="18"/>
      <c r="SG99" s="18"/>
      <c r="SH99" s="18"/>
      <c r="SI99" s="18"/>
      <c r="SJ99" s="18"/>
      <c r="SK99" s="18"/>
      <c r="SL99" s="18"/>
      <c r="SM99" s="18"/>
      <c r="SN99" s="18"/>
      <c r="SO99" s="18"/>
      <c r="SP99" s="18"/>
      <c r="SQ99" s="18"/>
      <c r="SR99" s="18"/>
      <c r="SS99" s="18"/>
      <c r="ST99" s="18"/>
      <c r="SU99" s="18"/>
      <c r="SV99" s="18"/>
      <c r="SW99" s="18"/>
      <c r="SX99" s="18"/>
      <c r="SY99" s="18"/>
      <c r="SZ99" s="18"/>
      <c r="TA99" s="18"/>
      <c r="TB99" s="18"/>
      <c r="TC99" s="18"/>
      <c r="TD99" s="18"/>
      <c r="TE99" s="18"/>
      <c r="TF99" s="18"/>
      <c r="TG99" s="18"/>
      <c r="TH99" s="18"/>
      <c r="TI99" s="18"/>
      <c r="TJ99" s="18"/>
      <c r="TK99" s="18"/>
      <c r="TL99" s="18"/>
      <c r="TM99" s="18"/>
      <c r="TN99" s="18"/>
      <c r="TO99" s="18"/>
      <c r="TP99" s="18"/>
      <c r="TQ99" s="18"/>
      <c r="TR99" s="18"/>
      <c r="TS99" s="18"/>
      <c r="TT99" s="18"/>
      <c r="TU99" s="18"/>
      <c r="TV99" s="18"/>
      <c r="TW99" s="18"/>
      <c r="TX99" s="18"/>
      <c r="TY99" s="18"/>
      <c r="TZ99" s="18"/>
      <c r="UA99" s="18"/>
      <c r="UB99" s="18"/>
      <c r="UC99" s="18"/>
      <c r="UD99" s="18"/>
      <c r="UE99" s="18"/>
      <c r="UF99" s="18"/>
      <c r="UG99" s="18"/>
      <c r="UH99" s="18"/>
      <c r="UI99" s="18"/>
      <c r="UJ99" s="18"/>
      <c r="UK99" s="18"/>
      <c r="UL99" s="18"/>
      <c r="UM99" s="18"/>
      <c r="UN99" s="18"/>
      <c r="UO99" s="18"/>
      <c r="UP99" s="18"/>
      <c r="UQ99" s="18"/>
      <c r="UR99" s="18"/>
      <c r="US99" s="18"/>
      <c r="UT99" s="18"/>
      <c r="UU99" s="18"/>
      <c r="UV99" s="18"/>
      <c r="UW99" s="18"/>
      <c r="UX99" s="18"/>
      <c r="UY99" s="18"/>
      <c r="UZ99" s="18"/>
      <c r="VA99" s="18"/>
      <c r="VB99" s="18"/>
      <c r="VC99" s="18"/>
      <c r="VD99" s="18"/>
      <c r="VE99" s="18"/>
      <c r="VF99" s="18"/>
      <c r="VG99" s="18"/>
      <c r="VH99" s="18"/>
      <c r="VI99" s="18"/>
      <c r="VJ99" s="18"/>
      <c r="VK99" s="18"/>
      <c r="VL99" s="18"/>
      <c r="VM99" s="18"/>
      <c r="VN99" s="18"/>
      <c r="VO99" s="18"/>
      <c r="VP99" s="18"/>
      <c r="VQ99" s="18"/>
      <c r="VR99" s="18"/>
      <c r="VS99" s="18"/>
      <c r="VT99" s="18"/>
      <c r="VU99" s="18"/>
      <c r="VV99" s="18"/>
      <c r="VW99" s="18"/>
      <c r="VX99" s="18"/>
      <c r="VY99" s="18"/>
      <c r="VZ99" s="18"/>
      <c r="WA99" s="18"/>
      <c r="WB99" s="18"/>
      <c r="WC99" s="18"/>
      <c r="WD99" s="18"/>
      <c r="WE99" s="18"/>
      <c r="WF99" s="18"/>
      <c r="WG99" s="18"/>
      <c r="WH99" s="18"/>
      <c r="WI99" s="18"/>
      <c r="WJ99" s="18"/>
      <c r="WK99" s="18"/>
      <c r="WL99" s="18"/>
      <c r="WM99" s="18"/>
      <c r="WN99" s="18"/>
      <c r="WO99" s="18"/>
      <c r="WP99" s="18"/>
      <c r="WQ99" s="18"/>
      <c r="WR99" s="18"/>
      <c r="WS99" s="18"/>
      <c r="WT99" s="18"/>
      <c r="WU99" s="18"/>
      <c r="WV99" s="18"/>
      <c r="WW99" s="18"/>
      <c r="WX99" s="18"/>
      <c r="WY99" s="18"/>
      <c r="WZ99" s="18"/>
      <c r="XA99" s="18"/>
      <c r="XB99" s="18"/>
      <c r="XC99" s="18"/>
      <c r="XD99" s="18"/>
      <c r="XE99" s="18"/>
      <c r="XF99" s="18"/>
      <c r="XG99" s="18"/>
      <c r="XH99" s="18"/>
      <c r="XI99" s="18"/>
      <c r="XJ99" s="18"/>
      <c r="XK99" s="18"/>
      <c r="XL99" s="18"/>
      <c r="XM99" s="18"/>
      <c r="XN99" s="18"/>
      <c r="XO99" s="18"/>
      <c r="XP99" s="18"/>
      <c r="XQ99" s="18"/>
      <c r="XR99" s="18"/>
      <c r="XS99" s="18"/>
      <c r="XT99" s="18"/>
      <c r="XU99" s="18"/>
      <c r="XV99" s="18"/>
      <c r="XW99" s="18"/>
      <c r="XX99" s="18"/>
      <c r="XY99" s="18"/>
      <c r="XZ99" s="18"/>
      <c r="YA99" s="18"/>
      <c r="YB99" s="18"/>
      <c r="YC99" s="18"/>
      <c r="YD99" s="18"/>
      <c r="YE99" s="18"/>
      <c r="YF99" s="18"/>
      <c r="YG99" s="18"/>
      <c r="YH99" s="18"/>
      <c r="YI99" s="18"/>
      <c r="YJ99" s="18"/>
      <c r="YK99" s="18"/>
      <c r="YL99" s="18"/>
      <c r="YM99" s="18"/>
      <c r="YN99" s="18"/>
      <c r="YO99" s="18"/>
      <c r="YP99" s="18"/>
      <c r="YQ99" s="18"/>
      <c r="YR99" s="18"/>
      <c r="YS99" s="18"/>
      <c r="YT99" s="18"/>
      <c r="YU99" s="18"/>
      <c r="YV99" s="18"/>
      <c r="YW99" s="18"/>
      <c r="YX99" s="18"/>
      <c r="YY99" s="18"/>
      <c r="YZ99" s="18"/>
      <c r="ZA99" s="18"/>
      <c r="ZB99" s="18"/>
      <c r="ZC99" s="18"/>
      <c r="ZD99" s="18"/>
      <c r="ZE99" s="18"/>
      <c r="ZF99" s="18"/>
      <c r="ZG99" s="18"/>
      <c r="ZH99" s="18"/>
      <c r="ZI99" s="18"/>
      <c r="ZJ99" s="18"/>
      <c r="ZK99" s="18"/>
      <c r="ZL99" s="18"/>
      <c r="ZM99" s="18"/>
      <c r="ZN99" s="18"/>
      <c r="ZO99" s="18"/>
      <c r="ZP99" s="18"/>
      <c r="ZQ99" s="18"/>
      <c r="ZR99" s="18"/>
      <c r="ZS99" s="18"/>
      <c r="ZT99" s="18"/>
      <c r="ZU99" s="18"/>
      <c r="ZV99" s="18"/>
      <c r="ZW99" s="18"/>
      <c r="ZX99" s="18"/>
      <c r="ZY99" s="18"/>
      <c r="ZZ99" s="18"/>
      <c r="AAA99" s="18"/>
      <c r="AAB99" s="18"/>
      <c r="AAC99" s="18"/>
      <c r="AAD99" s="18"/>
      <c r="AAE99" s="18"/>
      <c r="AAF99" s="18"/>
      <c r="AAG99" s="18"/>
      <c r="AAH99" s="18"/>
      <c r="AAI99" s="18"/>
      <c r="AAJ99" s="18"/>
      <c r="AAK99" s="18"/>
      <c r="AAL99" s="18"/>
      <c r="AAM99" s="18"/>
      <c r="AAN99" s="18"/>
      <c r="AAO99" s="18"/>
      <c r="AAP99" s="18"/>
      <c r="AAQ99" s="18"/>
      <c r="AAR99" s="18"/>
      <c r="AAS99" s="18"/>
      <c r="AAT99" s="18"/>
      <c r="AAU99" s="18"/>
      <c r="AAV99" s="18"/>
      <c r="AAW99" s="18"/>
      <c r="AAX99" s="18"/>
      <c r="AAY99" s="18"/>
      <c r="AAZ99" s="18"/>
      <c r="ABA99" s="18"/>
      <c r="ABB99" s="18"/>
      <c r="ABC99" s="18"/>
      <c r="ABD99" s="18"/>
      <c r="ABE99" s="18"/>
      <c r="ABF99" s="18"/>
      <c r="ABG99" s="18"/>
      <c r="ABH99" s="18"/>
      <c r="ABI99" s="18"/>
      <c r="ABJ99" s="18"/>
      <c r="ABK99" s="18"/>
      <c r="ABL99" s="18"/>
      <c r="ABM99" s="18"/>
      <c r="ABN99" s="18"/>
      <c r="ABO99" s="18"/>
      <c r="ABP99" s="18"/>
      <c r="ABQ99" s="18"/>
      <c r="ABR99" s="18"/>
      <c r="ABS99" s="18"/>
      <c r="ABT99" s="18"/>
      <c r="ABU99" s="18"/>
      <c r="ABV99" s="18"/>
      <c r="ABW99" s="18"/>
      <c r="ABX99" s="18"/>
      <c r="ABY99" s="18"/>
      <c r="ABZ99" s="18"/>
      <c r="ACA99" s="18"/>
      <c r="ACB99" s="18"/>
      <c r="ACC99" s="18"/>
      <c r="ACD99" s="18"/>
      <c r="ACE99" s="18"/>
      <c r="ACF99" s="18"/>
      <c r="ACG99" s="18"/>
      <c r="ACH99" s="18"/>
      <c r="ACI99" s="18"/>
      <c r="ACJ99" s="18"/>
      <c r="ACK99" s="18"/>
      <c r="ACL99" s="18"/>
      <c r="ACM99" s="18"/>
      <c r="ACN99" s="18"/>
      <c r="ACO99" s="18"/>
      <c r="ACP99" s="18"/>
      <c r="ACQ99" s="18"/>
      <c r="ACR99" s="18"/>
      <c r="ACS99" s="18"/>
      <c r="ACT99" s="18"/>
      <c r="ACU99" s="18"/>
      <c r="ACV99" s="18"/>
      <c r="ACW99" s="18"/>
      <c r="ACX99" s="18"/>
      <c r="ACY99" s="18"/>
      <c r="ACZ99" s="18"/>
      <c r="ADA99" s="18"/>
      <c r="ADB99" s="18"/>
      <c r="ADC99" s="18"/>
      <c r="ADD99" s="18"/>
      <c r="ADE99" s="18"/>
      <c r="ADF99" s="18"/>
      <c r="ADG99" s="18"/>
      <c r="ADH99" s="18"/>
      <c r="ADI99" s="18"/>
      <c r="ADJ99" s="18"/>
      <c r="ADK99" s="18"/>
      <c r="ADL99" s="18"/>
      <c r="ADM99" s="18"/>
      <c r="ADN99" s="18"/>
      <c r="ADO99" s="18"/>
      <c r="ADP99" s="18"/>
      <c r="ADQ99" s="18"/>
      <c r="ADR99" s="18"/>
      <c r="ADS99" s="18"/>
      <c r="ADT99" s="18"/>
      <c r="ADU99" s="18"/>
      <c r="ADV99" s="18"/>
      <c r="ADW99" s="18"/>
      <c r="ADX99" s="18"/>
      <c r="ADY99" s="18"/>
      <c r="ADZ99" s="18"/>
      <c r="AEA99" s="18"/>
      <c r="AEB99" s="18"/>
      <c r="AEC99" s="18"/>
      <c r="AED99" s="18"/>
      <c r="AEE99" s="18"/>
      <c r="AEF99" s="18"/>
      <c r="AEG99" s="18"/>
      <c r="AEH99" s="18"/>
      <c r="AEI99" s="18"/>
      <c r="AEJ99" s="18"/>
      <c r="AEK99" s="18"/>
      <c r="AEL99" s="18"/>
      <c r="AEM99" s="18"/>
      <c r="AEN99" s="18"/>
      <c r="AEO99" s="18"/>
      <c r="AEP99" s="18"/>
      <c r="AEQ99" s="18"/>
      <c r="AER99" s="18"/>
      <c r="AES99" s="18"/>
      <c r="AET99" s="18"/>
      <c r="AEU99" s="18"/>
      <c r="AEV99" s="18"/>
      <c r="AEW99" s="18"/>
      <c r="AEX99" s="18"/>
      <c r="AEY99" s="18"/>
      <c r="AEZ99" s="18"/>
      <c r="AFA99" s="18"/>
      <c r="AFB99" s="18"/>
      <c r="AFC99" s="18"/>
      <c r="AFD99" s="18"/>
      <c r="AFE99" s="18"/>
      <c r="AFF99" s="18"/>
      <c r="AFG99" s="18"/>
      <c r="AFH99" s="18"/>
      <c r="AFI99" s="18"/>
      <c r="AFJ99" s="18"/>
      <c r="AFK99" s="18"/>
      <c r="AFL99" s="18"/>
      <c r="AFM99" s="18"/>
      <c r="AFN99" s="18"/>
      <c r="AFO99" s="18"/>
      <c r="AFP99" s="18"/>
      <c r="AFQ99" s="18"/>
      <c r="AFR99" s="18"/>
      <c r="AFS99" s="18"/>
      <c r="AFT99" s="18"/>
      <c r="AFU99" s="18"/>
      <c r="AFV99" s="18"/>
      <c r="AFW99" s="18"/>
      <c r="AFX99" s="18"/>
      <c r="AFY99" s="18"/>
      <c r="AFZ99" s="18"/>
      <c r="AGA99" s="18"/>
      <c r="AGB99" s="18"/>
      <c r="AGC99" s="18"/>
      <c r="AGD99" s="18"/>
      <c r="AGE99" s="18"/>
      <c r="AGF99" s="18"/>
      <c r="AGG99" s="18"/>
      <c r="AGH99" s="18"/>
      <c r="AGI99" s="18"/>
      <c r="AGJ99" s="18"/>
      <c r="AGK99" s="18"/>
      <c r="AGL99" s="18"/>
      <c r="AGM99" s="18"/>
      <c r="AGN99" s="18"/>
      <c r="AGO99" s="18"/>
      <c r="AGP99" s="18"/>
      <c r="AGQ99" s="18"/>
      <c r="AGR99" s="18"/>
      <c r="AGS99" s="18"/>
      <c r="AGT99" s="18"/>
      <c r="AGU99" s="18"/>
      <c r="AGV99" s="18"/>
      <c r="AGW99" s="18"/>
      <c r="AGX99" s="18"/>
      <c r="AGY99" s="18"/>
      <c r="AGZ99" s="18"/>
      <c r="AHA99" s="18"/>
      <c r="AHB99" s="18"/>
      <c r="AHC99" s="18"/>
      <c r="AHD99" s="18"/>
      <c r="AHE99" s="18"/>
      <c r="AHF99" s="18"/>
      <c r="AHG99" s="18"/>
      <c r="AHH99" s="18"/>
      <c r="AHI99" s="18"/>
      <c r="AHJ99" s="18"/>
      <c r="AHK99" s="18"/>
      <c r="AHL99" s="18"/>
      <c r="AHM99" s="18"/>
      <c r="AHN99" s="18"/>
      <c r="AHO99" s="18"/>
      <c r="AHP99" s="18"/>
      <c r="AHQ99" s="18"/>
      <c r="AHR99" s="18"/>
      <c r="AHS99" s="18"/>
      <c r="AHT99" s="18"/>
      <c r="AHU99" s="18"/>
      <c r="AHV99" s="18"/>
      <c r="AHW99" s="18"/>
      <c r="AHX99" s="18"/>
      <c r="AHY99" s="18"/>
      <c r="AHZ99" s="18"/>
      <c r="AIA99" s="18"/>
      <c r="AIB99" s="18"/>
      <c r="AIC99" s="18"/>
      <c r="AID99" s="18"/>
      <c r="AIE99" s="18"/>
      <c r="AIF99" s="18"/>
      <c r="AIG99" s="18"/>
      <c r="AIH99" s="18"/>
      <c r="AII99" s="18"/>
      <c r="AIJ99" s="18"/>
      <c r="AIK99" s="18"/>
      <c r="AIL99" s="18"/>
      <c r="AIM99" s="18"/>
      <c r="AIN99" s="18"/>
      <c r="AIO99" s="18"/>
      <c r="AIP99" s="18"/>
      <c r="AIQ99" s="18"/>
      <c r="AIR99" s="18"/>
      <c r="AIS99" s="18"/>
      <c r="AIT99" s="18"/>
      <c r="AIU99" s="18"/>
      <c r="AIV99" s="18"/>
      <c r="AIW99" s="18"/>
      <c r="AIX99" s="18"/>
      <c r="AIY99" s="18"/>
      <c r="AIZ99" s="18"/>
      <c r="AJA99" s="18"/>
      <c r="AJB99" s="18"/>
      <c r="AJC99" s="18"/>
      <c r="AJD99" s="18"/>
      <c r="AJE99" s="18"/>
      <c r="AJF99" s="18"/>
      <c r="AJG99" s="18"/>
      <c r="AJH99" s="18"/>
      <c r="AJI99" s="18"/>
      <c r="AJJ99" s="18"/>
      <c r="AJK99" s="18"/>
      <c r="AJL99" s="18"/>
      <c r="AJM99" s="18"/>
      <c r="AJN99" s="18"/>
      <c r="AJO99" s="18"/>
      <c r="AJP99" s="18"/>
      <c r="AJQ99" s="18"/>
      <c r="AJR99" s="18"/>
      <c r="AJS99" s="18"/>
      <c r="AJT99" s="18"/>
      <c r="AJU99" s="18"/>
      <c r="AJV99" s="18"/>
      <c r="AJW99" s="18"/>
      <c r="AJX99" s="18"/>
      <c r="AJY99" s="18"/>
      <c r="AJZ99" s="18"/>
      <c r="AKA99" s="18"/>
      <c r="AKB99" s="18"/>
      <c r="AKC99" s="18"/>
      <c r="AKD99" s="18"/>
      <c r="AKE99" s="18"/>
      <c r="AKF99" s="18"/>
      <c r="AKG99" s="18"/>
      <c r="AKH99" s="18"/>
      <c r="AKI99" s="18"/>
      <c r="AKJ99" s="18"/>
      <c r="AKK99" s="18"/>
      <c r="AKL99" s="18"/>
      <c r="AKM99" s="18"/>
      <c r="AKN99" s="18"/>
      <c r="AKO99" s="18"/>
      <c r="AKP99" s="18"/>
      <c r="AKQ99" s="18"/>
      <c r="AKR99" s="18"/>
      <c r="AKS99" s="18"/>
      <c r="AKT99" s="18"/>
      <c r="AKU99" s="18"/>
      <c r="AKV99" s="18"/>
      <c r="AKW99" s="18"/>
      <c r="AKX99" s="18"/>
      <c r="AKY99" s="18"/>
      <c r="AKZ99" s="18"/>
      <c r="ALA99" s="18"/>
      <c r="ALB99" s="18"/>
      <c r="ALC99" s="18"/>
      <c r="ALD99" s="18"/>
      <c r="ALE99" s="18"/>
      <c r="ALF99" s="18"/>
      <c r="ALG99" s="18"/>
      <c r="ALH99" s="18"/>
      <c r="ALI99" s="18"/>
      <c r="ALJ99" s="18"/>
      <c r="ALK99" s="18"/>
      <c r="ALL99" s="18"/>
      <c r="ALM99" s="18"/>
      <c r="ALN99" s="18"/>
      <c r="ALO99" s="18"/>
      <c r="ALP99" s="18"/>
      <c r="ALQ99" s="18"/>
      <c r="ALR99" s="18"/>
      <c r="ALS99" s="18"/>
      <c r="ALT99" s="18"/>
      <c r="ALU99" s="18"/>
      <c r="ALV99" s="18"/>
      <c r="ALW99" s="18"/>
      <c r="ALX99" s="18"/>
      <c r="ALY99" s="18"/>
      <c r="ALZ99" s="18"/>
      <c r="AMA99" s="18"/>
      <c r="AMB99" s="18"/>
      <c r="AMC99" s="18"/>
      <c r="AMD99" s="18"/>
      <c r="AME99" s="18"/>
      <c r="AMF99" s="18"/>
      <c r="AMG99" s="18"/>
      <c r="AMH99" s="18"/>
      <c r="AMI99" s="18"/>
      <c r="AMJ99" s="18"/>
      <c r="AMK99" s="18"/>
      <c r="AML99" s="18"/>
      <c r="AMM99" s="18"/>
    </row>
    <row r="100" spans="1:1027" s="1" customFormat="1" x14ac:dyDescent="0.2">
      <c r="A100" s="58">
        <v>4</v>
      </c>
      <c r="B100" s="58" t="s">
        <v>654</v>
      </c>
      <c r="C100" s="58" t="s">
        <v>655</v>
      </c>
      <c r="D100" s="58">
        <v>197</v>
      </c>
      <c r="E100" s="59" t="s">
        <v>508</v>
      </c>
      <c r="F100" s="59" t="s">
        <v>508</v>
      </c>
      <c r="G100" s="60" t="s">
        <v>508</v>
      </c>
      <c r="H100" s="59"/>
      <c r="I100" s="59"/>
      <c r="J100" s="59" t="s">
        <v>508</v>
      </c>
      <c r="K100" s="61"/>
      <c r="L100" s="58"/>
      <c r="S100" s="13" t="s">
        <v>656</v>
      </c>
      <c r="T100" s="6"/>
      <c r="AA100" s="30"/>
      <c r="AB100" s="30"/>
      <c r="AD100" s="33"/>
      <c r="AE100" s="33"/>
      <c r="AML100"/>
    </row>
    <row r="101" spans="1:1027" x14ac:dyDescent="0.2">
      <c r="A101" s="18">
        <v>1</v>
      </c>
      <c r="B101" s="18" t="s">
        <v>52</v>
      </c>
      <c r="C101" s="18"/>
      <c r="D101" s="18">
        <v>100</v>
      </c>
      <c r="E101" s="42" t="s">
        <v>507</v>
      </c>
      <c r="F101" s="42" t="s">
        <v>507</v>
      </c>
      <c r="G101" s="43" t="s">
        <v>611</v>
      </c>
      <c r="H101" s="42" t="s">
        <v>507</v>
      </c>
      <c r="I101" s="42" t="s">
        <v>507</v>
      </c>
      <c r="J101" s="42" t="s">
        <v>507</v>
      </c>
      <c r="K101" s="21" t="s">
        <v>509</v>
      </c>
      <c r="L101" s="18"/>
      <c r="M101" s="1" t="s">
        <v>510</v>
      </c>
      <c r="O101" s="18" t="s">
        <v>507</v>
      </c>
      <c r="P101" s="18"/>
      <c r="Q101" s="18"/>
      <c r="R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c r="GF101" s="18"/>
      <c r="GG101" s="18"/>
      <c r="GH101" s="18"/>
      <c r="GI101" s="18"/>
      <c r="GJ101" s="18"/>
      <c r="GK101" s="18"/>
      <c r="GL101" s="18"/>
      <c r="GM101" s="18"/>
      <c r="GN101" s="18"/>
      <c r="GO101" s="18"/>
      <c r="GP101" s="18"/>
      <c r="GQ101" s="18"/>
      <c r="GR101" s="18"/>
      <c r="GS101" s="18"/>
      <c r="GT101" s="18"/>
      <c r="GU101" s="18"/>
      <c r="GV101" s="18"/>
      <c r="GW101" s="18"/>
      <c r="GX101" s="18"/>
      <c r="GY101" s="18"/>
      <c r="GZ101" s="18"/>
      <c r="HA101" s="18"/>
      <c r="HB101" s="18"/>
      <c r="HC101" s="18"/>
      <c r="HD101" s="18"/>
      <c r="HE101" s="18"/>
      <c r="HF101" s="18"/>
      <c r="HG101" s="18"/>
      <c r="HH101" s="18"/>
      <c r="HI101" s="18"/>
      <c r="HJ101" s="18"/>
      <c r="HK101" s="18"/>
      <c r="HL101" s="18"/>
      <c r="HM101" s="18"/>
      <c r="HN101" s="18"/>
      <c r="HO101" s="18"/>
      <c r="HP101" s="18"/>
      <c r="HQ101" s="18"/>
      <c r="HR101" s="18"/>
      <c r="HS101" s="18"/>
      <c r="HT101" s="18"/>
      <c r="HU101" s="18"/>
      <c r="HV101" s="18"/>
      <c r="HW101" s="18"/>
      <c r="HX101" s="18"/>
      <c r="HY101" s="18"/>
      <c r="HZ101" s="18"/>
      <c r="IA101" s="18"/>
      <c r="IB101" s="18"/>
      <c r="IC101" s="18"/>
      <c r="ID101" s="18"/>
      <c r="IE101" s="18"/>
      <c r="IF101" s="18"/>
      <c r="IG101" s="18"/>
      <c r="IH101" s="18"/>
      <c r="II101" s="18"/>
      <c r="IJ101" s="18"/>
      <c r="IK101" s="18"/>
      <c r="IL101" s="18"/>
      <c r="IM101" s="18"/>
      <c r="IN101" s="18"/>
      <c r="IO101" s="18"/>
      <c r="IP101" s="18"/>
      <c r="IQ101" s="18"/>
      <c r="IR101" s="18"/>
      <c r="IS101" s="18"/>
      <c r="IT101" s="18"/>
      <c r="IU101" s="18"/>
      <c r="IV101" s="18"/>
      <c r="IW101" s="18"/>
      <c r="IX101" s="18"/>
      <c r="IY101" s="18"/>
      <c r="IZ101" s="18"/>
      <c r="JA101" s="18"/>
      <c r="JB101" s="18"/>
      <c r="JC101" s="18"/>
      <c r="JD101" s="18"/>
      <c r="JE101" s="18"/>
      <c r="JF101" s="18"/>
      <c r="JG101" s="18"/>
      <c r="JH101" s="18"/>
      <c r="JI101" s="18"/>
      <c r="JJ101" s="18"/>
      <c r="JK101" s="18"/>
      <c r="JL101" s="18"/>
      <c r="JM101" s="18"/>
      <c r="JN101" s="18"/>
      <c r="JO101" s="18"/>
      <c r="JP101" s="18"/>
      <c r="JQ101" s="18"/>
      <c r="JR101" s="18"/>
      <c r="JS101" s="18"/>
      <c r="JT101" s="18"/>
      <c r="JU101" s="18"/>
      <c r="JV101" s="18"/>
      <c r="JW101" s="18"/>
      <c r="JX101" s="18"/>
      <c r="JY101" s="18"/>
      <c r="JZ101" s="18"/>
      <c r="KA101" s="18"/>
      <c r="KB101" s="18"/>
      <c r="KC101" s="18"/>
      <c r="KD101" s="18"/>
      <c r="KE101" s="18"/>
      <c r="KF101" s="18"/>
      <c r="KG101" s="18"/>
      <c r="KH101" s="18"/>
      <c r="KI101" s="18"/>
      <c r="KJ101" s="18"/>
      <c r="KK101" s="18"/>
      <c r="KL101" s="18"/>
      <c r="KM101" s="18"/>
      <c r="KN101" s="18"/>
      <c r="KO101" s="18"/>
      <c r="KP101" s="18"/>
      <c r="KQ101" s="18"/>
      <c r="KR101" s="18"/>
      <c r="KS101" s="18"/>
      <c r="KT101" s="18"/>
      <c r="KU101" s="18"/>
      <c r="KV101" s="18"/>
      <c r="KW101" s="18"/>
      <c r="KX101" s="18"/>
      <c r="KY101" s="18"/>
      <c r="KZ101" s="18"/>
      <c r="LA101" s="18"/>
      <c r="LB101" s="18"/>
      <c r="LC101" s="18"/>
      <c r="LD101" s="18"/>
      <c r="LE101" s="18"/>
      <c r="LF101" s="18"/>
      <c r="LG101" s="18"/>
      <c r="LH101" s="18"/>
      <c r="LI101" s="18"/>
      <c r="LJ101" s="18"/>
      <c r="LK101" s="18"/>
      <c r="LL101" s="18"/>
      <c r="LM101" s="18"/>
      <c r="LN101" s="18"/>
      <c r="LO101" s="18"/>
      <c r="LP101" s="18"/>
      <c r="LQ101" s="18"/>
      <c r="LR101" s="18"/>
      <c r="LS101" s="18"/>
      <c r="LT101" s="18"/>
      <c r="LU101" s="18"/>
      <c r="LV101" s="18"/>
      <c r="LW101" s="18"/>
      <c r="LX101" s="18"/>
      <c r="LY101" s="18"/>
      <c r="LZ101" s="18"/>
      <c r="MA101" s="18"/>
      <c r="MB101" s="18"/>
      <c r="MC101" s="18"/>
      <c r="MD101" s="18"/>
      <c r="ME101" s="18"/>
      <c r="MF101" s="18"/>
      <c r="MG101" s="18"/>
      <c r="MH101" s="18"/>
      <c r="MI101" s="18"/>
      <c r="MJ101" s="18"/>
      <c r="MK101" s="18"/>
      <c r="ML101" s="18"/>
      <c r="MM101" s="18"/>
      <c r="MN101" s="18"/>
      <c r="MO101" s="18"/>
      <c r="MP101" s="18"/>
      <c r="MQ101" s="18"/>
      <c r="MR101" s="18"/>
      <c r="MS101" s="18"/>
      <c r="MT101" s="18"/>
      <c r="MU101" s="18"/>
      <c r="MV101" s="18"/>
      <c r="MW101" s="18"/>
      <c r="MX101" s="18"/>
      <c r="MY101" s="18"/>
      <c r="MZ101" s="18"/>
      <c r="NA101" s="18"/>
      <c r="NB101" s="18"/>
      <c r="NC101" s="18"/>
      <c r="ND101" s="18"/>
      <c r="NE101" s="18"/>
      <c r="NF101" s="18"/>
      <c r="NG101" s="18"/>
      <c r="NH101" s="18"/>
      <c r="NI101" s="18"/>
      <c r="NJ101" s="18"/>
      <c r="NK101" s="18"/>
      <c r="NL101" s="18"/>
      <c r="NM101" s="18"/>
      <c r="NN101" s="18"/>
      <c r="NO101" s="18"/>
      <c r="NP101" s="18"/>
      <c r="NQ101" s="18"/>
      <c r="NR101" s="18"/>
      <c r="NS101" s="18"/>
      <c r="NT101" s="18"/>
      <c r="NU101" s="18"/>
      <c r="NV101" s="18"/>
      <c r="NW101" s="18"/>
      <c r="NX101" s="18"/>
      <c r="NY101" s="18"/>
      <c r="NZ101" s="18"/>
      <c r="OA101" s="18"/>
      <c r="OB101" s="18"/>
      <c r="OC101" s="18"/>
      <c r="OD101" s="18"/>
      <c r="OE101" s="18"/>
      <c r="OF101" s="18"/>
      <c r="OG101" s="18"/>
      <c r="OH101" s="18"/>
      <c r="OI101" s="18"/>
      <c r="OJ101" s="18"/>
      <c r="OK101" s="18"/>
      <c r="OL101" s="18"/>
      <c r="OM101" s="18"/>
      <c r="ON101" s="18"/>
      <c r="OO101" s="18"/>
      <c r="OP101" s="18"/>
      <c r="OQ101" s="18"/>
      <c r="OR101" s="18"/>
      <c r="OS101" s="18"/>
      <c r="OT101" s="18"/>
      <c r="OU101" s="18"/>
      <c r="OV101" s="18"/>
      <c r="OW101" s="18"/>
      <c r="OX101" s="18"/>
      <c r="OY101" s="18"/>
      <c r="OZ101" s="18"/>
      <c r="PA101" s="18"/>
      <c r="PB101" s="18"/>
      <c r="PC101" s="18"/>
      <c r="PD101" s="18"/>
      <c r="PE101" s="18"/>
      <c r="PF101" s="18"/>
      <c r="PG101" s="18"/>
      <c r="PH101" s="18"/>
      <c r="PI101" s="18"/>
      <c r="PJ101" s="18"/>
      <c r="PK101" s="18"/>
      <c r="PL101" s="18"/>
      <c r="PM101" s="18"/>
      <c r="PN101" s="18"/>
      <c r="PO101" s="18"/>
      <c r="PP101" s="18"/>
      <c r="PQ101" s="18"/>
      <c r="PR101" s="18"/>
      <c r="PS101" s="18"/>
      <c r="PT101" s="18"/>
      <c r="PU101" s="18"/>
      <c r="PV101" s="18"/>
      <c r="PW101" s="18"/>
      <c r="PX101" s="18"/>
      <c r="PY101" s="18"/>
      <c r="PZ101" s="18"/>
      <c r="QA101" s="18"/>
      <c r="QB101" s="18"/>
      <c r="QC101" s="18"/>
      <c r="QD101" s="18"/>
      <c r="QE101" s="18"/>
      <c r="QF101" s="18"/>
      <c r="QG101" s="18"/>
      <c r="QH101" s="18"/>
      <c r="QI101" s="18"/>
      <c r="QJ101" s="18"/>
      <c r="QK101" s="18"/>
      <c r="QL101" s="18"/>
      <c r="QM101" s="18"/>
      <c r="QN101" s="18"/>
      <c r="QO101" s="18"/>
      <c r="QP101" s="18"/>
      <c r="QQ101" s="18"/>
      <c r="QR101" s="18"/>
      <c r="QS101" s="18"/>
      <c r="QT101" s="18"/>
      <c r="QU101" s="18"/>
      <c r="QV101" s="18"/>
      <c r="QW101" s="18"/>
      <c r="QX101" s="18"/>
      <c r="QY101" s="18"/>
      <c r="QZ101" s="18"/>
      <c r="RA101" s="18"/>
      <c r="RB101" s="18"/>
      <c r="RC101" s="18"/>
      <c r="RD101" s="18"/>
      <c r="RE101" s="18"/>
      <c r="RF101" s="18"/>
      <c r="RG101" s="18"/>
      <c r="RH101" s="18"/>
      <c r="RI101" s="18"/>
      <c r="RJ101" s="18"/>
      <c r="RK101" s="18"/>
      <c r="RL101" s="18"/>
      <c r="RM101" s="18"/>
      <c r="RN101" s="18"/>
      <c r="RO101" s="18"/>
      <c r="RP101" s="18"/>
      <c r="RQ101" s="18"/>
      <c r="RR101" s="18"/>
      <c r="RS101" s="18"/>
      <c r="RT101" s="18"/>
      <c r="RU101" s="18"/>
      <c r="RV101" s="18"/>
      <c r="RW101" s="18"/>
      <c r="RX101" s="18"/>
      <c r="RY101" s="18"/>
      <c r="RZ101" s="18"/>
      <c r="SA101" s="18"/>
      <c r="SB101" s="18"/>
      <c r="SC101" s="18"/>
      <c r="SD101" s="18"/>
      <c r="SE101" s="18"/>
      <c r="SF101" s="18"/>
      <c r="SG101" s="18"/>
      <c r="SH101" s="18"/>
      <c r="SI101" s="18"/>
      <c r="SJ101" s="18"/>
      <c r="SK101" s="18"/>
      <c r="SL101" s="18"/>
      <c r="SM101" s="18"/>
      <c r="SN101" s="18"/>
      <c r="SO101" s="18"/>
      <c r="SP101" s="18"/>
      <c r="SQ101" s="18"/>
      <c r="SR101" s="18"/>
      <c r="SS101" s="18"/>
      <c r="ST101" s="18"/>
      <c r="SU101" s="18"/>
      <c r="SV101" s="18"/>
      <c r="SW101" s="18"/>
      <c r="SX101" s="18"/>
      <c r="SY101" s="18"/>
      <c r="SZ101" s="18"/>
      <c r="TA101" s="18"/>
      <c r="TB101" s="18"/>
      <c r="TC101" s="18"/>
      <c r="TD101" s="18"/>
      <c r="TE101" s="18"/>
      <c r="TF101" s="18"/>
      <c r="TG101" s="18"/>
      <c r="TH101" s="18"/>
      <c r="TI101" s="18"/>
      <c r="TJ101" s="18"/>
      <c r="TK101" s="18"/>
      <c r="TL101" s="18"/>
      <c r="TM101" s="18"/>
      <c r="TN101" s="18"/>
      <c r="TO101" s="18"/>
      <c r="TP101" s="18"/>
      <c r="TQ101" s="18"/>
      <c r="TR101" s="18"/>
      <c r="TS101" s="18"/>
      <c r="TT101" s="18"/>
      <c r="TU101" s="18"/>
      <c r="TV101" s="18"/>
      <c r="TW101" s="18"/>
      <c r="TX101" s="18"/>
      <c r="TY101" s="18"/>
      <c r="TZ101" s="18"/>
      <c r="UA101" s="18"/>
      <c r="UB101" s="18"/>
      <c r="UC101" s="18"/>
      <c r="UD101" s="18"/>
      <c r="UE101" s="18"/>
      <c r="UF101" s="18"/>
      <c r="UG101" s="18"/>
      <c r="UH101" s="18"/>
      <c r="UI101" s="18"/>
      <c r="UJ101" s="18"/>
      <c r="UK101" s="18"/>
      <c r="UL101" s="18"/>
      <c r="UM101" s="18"/>
      <c r="UN101" s="18"/>
      <c r="UO101" s="18"/>
      <c r="UP101" s="18"/>
      <c r="UQ101" s="18"/>
      <c r="UR101" s="18"/>
      <c r="US101" s="18"/>
      <c r="UT101" s="18"/>
      <c r="UU101" s="18"/>
      <c r="UV101" s="18"/>
      <c r="UW101" s="18"/>
      <c r="UX101" s="18"/>
      <c r="UY101" s="18"/>
      <c r="UZ101" s="18"/>
      <c r="VA101" s="18"/>
      <c r="VB101" s="18"/>
      <c r="VC101" s="18"/>
      <c r="VD101" s="18"/>
      <c r="VE101" s="18"/>
      <c r="VF101" s="18"/>
      <c r="VG101" s="18"/>
      <c r="VH101" s="18"/>
      <c r="VI101" s="18"/>
      <c r="VJ101" s="18"/>
      <c r="VK101" s="18"/>
      <c r="VL101" s="18"/>
      <c r="VM101" s="18"/>
      <c r="VN101" s="18"/>
      <c r="VO101" s="18"/>
      <c r="VP101" s="18"/>
      <c r="VQ101" s="18"/>
      <c r="VR101" s="18"/>
      <c r="VS101" s="18"/>
      <c r="VT101" s="18"/>
      <c r="VU101" s="18"/>
      <c r="VV101" s="18"/>
      <c r="VW101" s="18"/>
      <c r="VX101" s="18"/>
      <c r="VY101" s="18"/>
      <c r="VZ101" s="18"/>
      <c r="WA101" s="18"/>
      <c r="WB101" s="18"/>
      <c r="WC101" s="18"/>
      <c r="WD101" s="18"/>
      <c r="WE101" s="18"/>
      <c r="WF101" s="18"/>
      <c r="WG101" s="18"/>
      <c r="WH101" s="18"/>
      <c r="WI101" s="18"/>
      <c r="WJ101" s="18"/>
      <c r="WK101" s="18"/>
      <c r="WL101" s="18"/>
      <c r="WM101" s="18"/>
      <c r="WN101" s="18"/>
      <c r="WO101" s="18"/>
      <c r="WP101" s="18"/>
      <c r="WQ101" s="18"/>
      <c r="WR101" s="18"/>
      <c r="WS101" s="18"/>
      <c r="WT101" s="18"/>
      <c r="WU101" s="18"/>
      <c r="WV101" s="18"/>
      <c r="WW101" s="18"/>
      <c r="WX101" s="18"/>
      <c r="WY101" s="18"/>
      <c r="WZ101" s="18"/>
      <c r="XA101" s="18"/>
      <c r="XB101" s="18"/>
      <c r="XC101" s="18"/>
      <c r="XD101" s="18"/>
      <c r="XE101" s="18"/>
      <c r="XF101" s="18"/>
      <c r="XG101" s="18"/>
      <c r="XH101" s="18"/>
      <c r="XI101" s="18"/>
      <c r="XJ101" s="18"/>
      <c r="XK101" s="18"/>
      <c r="XL101" s="18"/>
      <c r="XM101" s="18"/>
      <c r="XN101" s="18"/>
      <c r="XO101" s="18"/>
      <c r="XP101" s="18"/>
      <c r="XQ101" s="18"/>
      <c r="XR101" s="18"/>
      <c r="XS101" s="18"/>
      <c r="XT101" s="18"/>
      <c r="XU101" s="18"/>
      <c r="XV101" s="18"/>
      <c r="XW101" s="18"/>
      <c r="XX101" s="18"/>
      <c r="XY101" s="18"/>
      <c r="XZ101" s="18"/>
      <c r="YA101" s="18"/>
      <c r="YB101" s="18"/>
      <c r="YC101" s="18"/>
      <c r="YD101" s="18"/>
      <c r="YE101" s="18"/>
      <c r="YF101" s="18"/>
      <c r="YG101" s="18"/>
      <c r="YH101" s="18"/>
      <c r="YI101" s="18"/>
      <c r="YJ101" s="18"/>
      <c r="YK101" s="18"/>
      <c r="YL101" s="18"/>
      <c r="YM101" s="18"/>
      <c r="YN101" s="18"/>
      <c r="YO101" s="18"/>
      <c r="YP101" s="18"/>
      <c r="YQ101" s="18"/>
      <c r="YR101" s="18"/>
      <c r="YS101" s="18"/>
      <c r="YT101" s="18"/>
      <c r="YU101" s="18"/>
      <c r="YV101" s="18"/>
      <c r="YW101" s="18"/>
      <c r="YX101" s="18"/>
      <c r="YY101" s="18"/>
      <c r="YZ101" s="18"/>
      <c r="ZA101" s="18"/>
      <c r="ZB101" s="18"/>
      <c r="ZC101" s="18"/>
      <c r="ZD101" s="18"/>
      <c r="ZE101" s="18"/>
      <c r="ZF101" s="18"/>
      <c r="ZG101" s="18"/>
      <c r="ZH101" s="18"/>
      <c r="ZI101" s="18"/>
      <c r="ZJ101" s="18"/>
      <c r="ZK101" s="18"/>
      <c r="ZL101" s="18"/>
      <c r="ZM101" s="18"/>
      <c r="ZN101" s="18"/>
      <c r="ZO101" s="18"/>
      <c r="ZP101" s="18"/>
      <c r="ZQ101" s="18"/>
      <c r="ZR101" s="18"/>
      <c r="ZS101" s="18"/>
      <c r="ZT101" s="18"/>
      <c r="ZU101" s="18"/>
      <c r="ZV101" s="18"/>
      <c r="ZW101" s="18"/>
      <c r="ZX101" s="18"/>
      <c r="ZY101" s="18"/>
      <c r="ZZ101" s="18"/>
      <c r="AAA101" s="18"/>
      <c r="AAB101" s="18"/>
      <c r="AAC101" s="18"/>
      <c r="AAD101" s="18"/>
      <c r="AAE101" s="18"/>
      <c r="AAF101" s="18"/>
      <c r="AAG101" s="18"/>
      <c r="AAH101" s="18"/>
      <c r="AAI101" s="18"/>
      <c r="AAJ101" s="18"/>
      <c r="AAK101" s="18"/>
      <c r="AAL101" s="18"/>
      <c r="AAM101" s="18"/>
      <c r="AAN101" s="18"/>
      <c r="AAO101" s="18"/>
      <c r="AAP101" s="18"/>
      <c r="AAQ101" s="18"/>
      <c r="AAR101" s="18"/>
      <c r="AAS101" s="18"/>
      <c r="AAT101" s="18"/>
      <c r="AAU101" s="18"/>
      <c r="AAV101" s="18"/>
      <c r="AAW101" s="18"/>
      <c r="AAX101" s="18"/>
      <c r="AAY101" s="18"/>
      <c r="AAZ101" s="18"/>
      <c r="ABA101" s="18"/>
      <c r="ABB101" s="18"/>
      <c r="ABC101" s="18"/>
      <c r="ABD101" s="18"/>
      <c r="ABE101" s="18"/>
      <c r="ABF101" s="18"/>
      <c r="ABG101" s="18"/>
      <c r="ABH101" s="18"/>
      <c r="ABI101" s="18"/>
      <c r="ABJ101" s="18"/>
      <c r="ABK101" s="18"/>
      <c r="ABL101" s="18"/>
      <c r="ABM101" s="18"/>
      <c r="ABN101" s="18"/>
      <c r="ABO101" s="18"/>
      <c r="ABP101" s="18"/>
      <c r="ABQ101" s="18"/>
      <c r="ABR101" s="18"/>
      <c r="ABS101" s="18"/>
      <c r="ABT101" s="18"/>
      <c r="ABU101" s="18"/>
      <c r="ABV101" s="18"/>
      <c r="ABW101" s="18"/>
      <c r="ABX101" s="18"/>
      <c r="ABY101" s="18"/>
      <c r="ABZ101" s="18"/>
      <c r="ACA101" s="18"/>
      <c r="ACB101" s="18"/>
      <c r="ACC101" s="18"/>
      <c r="ACD101" s="18"/>
      <c r="ACE101" s="18"/>
      <c r="ACF101" s="18"/>
      <c r="ACG101" s="18"/>
      <c r="ACH101" s="18"/>
      <c r="ACI101" s="18"/>
      <c r="ACJ101" s="18"/>
      <c r="ACK101" s="18"/>
      <c r="ACL101" s="18"/>
      <c r="ACM101" s="18"/>
      <c r="ACN101" s="18"/>
      <c r="ACO101" s="18"/>
      <c r="ACP101" s="18"/>
      <c r="ACQ101" s="18"/>
      <c r="ACR101" s="18"/>
      <c r="ACS101" s="18"/>
      <c r="ACT101" s="18"/>
      <c r="ACU101" s="18"/>
      <c r="ACV101" s="18"/>
      <c r="ACW101" s="18"/>
      <c r="ACX101" s="18"/>
      <c r="ACY101" s="18"/>
      <c r="ACZ101" s="18"/>
      <c r="ADA101" s="18"/>
      <c r="ADB101" s="18"/>
      <c r="ADC101" s="18"/>
      <c r="ADD101" s="18"/>
      <c r="ADE101" s="18"/>
      <c r="ADF101" s="18"/>
      <c r="ADG101" s="18"/>
      <c r="ADH101" s="18"/>
      <c r="ADI101" s="18"/>
      <c r="ADJ101" s="18"/>
      <c r="ADK101" s="18"/>
      <c r="ADL101" s="18"/>
      <c r="ADM101" s="18"/>
      <c r="ADN101" s="18"/>
      <c r="ADO101" s="18"/>
      <c r="ADP101" s="18"/>
      <c r="ADQ101" s="18"/>
      <c r="ADR101" s="18"/>
      <c r="ADS101" s="18"/>
      <c r="ADT101" s="18"/>
      <c r="ADU101" s="18"/>
      <c r="ADV101" s="18"/>
      <c r="ADW101" s="18"/>
      <c r="ADX101" s="18"/>
      <c r="ADY101" s="18"/>
      <c r="ADZ101" s="18"/>
      <c r="AEA101" s="18"/>
      <c r="AEB101" s="18"/>
      <c r="AEC101" s="18"/>
      <c r="AED101" s="18"/>
      <c r="AEE101" s="18"/>
      <c r="AEF101" s="18"/>
      <c r="AEG101" s="18"/>
      <c r="AEH101" s="18"/>
      <c r="AEI101" s="18"/>
      <c r="AEJ101" s="18"/>
      <c r="AEK101" s="18"/>
      <c r="AEL101" s="18"/>
      <c r="AEM101" s="18"/>
      <c r="AEN101" s="18"/>
      <c r="AEO101" s="18"/>
      <c r="AEP101" s="18"/>
      <c r="AEQ101" s="18"/>
      <c r="AER101" s="18"/>
      <c r="AES101" s="18"/>
      <c r="AET101" s="18"/>
      <c r="AEU101" s="18"/>
      <c r="AEV101" s="18"/>
      <c r="AEW101" s="18"/>
      <c r="AEX101" s="18"/>
      <c r="AEY101" s="18"/>
      <c r="AEZ101" s="18"/>
      <c r="AFA101" s="18"/>
      <c r="AFB101" s="18"/>
      <c r="AFC101" s="18"/>
      <c r="AFD101" s="18"/>
      <c r="AFE101" s="18"/>
      <c r="AFF101" s="18"/>
      <c r="AFG101" s="18"/>
      <c r="AFH101" s="18"/>
      <c r="AFI101" s="18"/>
      <c r="AFJ101" s="18"/>
      <c r="AFK101" s="18"/>
      <c r="AFL101" s="18"/>
      <c r="AFM101" s="18"/>
      <c r="AFN101" s="18"/>
      <c r="AFO101" s="18"/>
      <c r="AFP101" s="18"/>
      <c r="AFQ101" s="18"/>
      <c r="AFR101" s="18"/>
      <c r="AFS101" s="18"/>
      <c r="AFT101" s="18"/>
      <c r="AFU101" s="18"/>
      <c r="AFV101" s="18"/>
      <c r="AFW101" s="18"/>
      <c r="AFX101" s="18"/>
      <c r="AFY101" s="18"/>
      <c r="AFZ101" s="18"/>
      <c r="AGA101" s="18"/>
      <c r="AGB101" s="18"/>
      <c r="AGC101" s="18"/>
      <c r="AGD101" s="18"/>
      <c r="AGE101" s="18"/>
      <c r="AGF101" s="18"/>
      <c r="AGG101" s="18"/>
      <c r="AGH101" s="18"/>
      <c r="AGI101" s="18"/>
      <c r="AGJ101" s="18"/>
      <c r="AGK101" s="18"/>
      <c r="AGL101" s="18"/>
      <c r="AGM101" s="18"/>
      <c r="AGN101" s="18"/>
      <c r="AGO101" s="18"/>
      <c r="AGP101" s="18"/>
      <c r="AGQ101" s="18"/>
      <c r="AGR101" s="18"/>
      <c r="AGS101" s="18"/>
      <c r="AGT101" s="18"/>
      <c r="AGU101" s="18"/>
      <c r="AGV101" s="18"/>
      <c r="AGW101" s="18"/>
      <c r="AGX101" s="18"/>
      <c r="AGY101" s="18"/>
      <c r="AGZ101" s="18"/>
      <c r="AHA101" s="18"/>
      <c r="AHB101" s="18"/>
      <c r="AHC101" s="18"/>
      <c r="AHD101" s="18"/>
      <c r="AHE101" s="18"/>
      <c r="AHF101" s="18"/>
      <c r="AHG101" s="18"/>
      <c r="AHH101" s="18"/>
      <c r="AHI101" s="18"/>
      <c r="AHJ101" s="18"/>
      <c r="AHK101" s="18"/>
      <c r="AHL101" s="18"/>
      <c r="AHM101" s="18"/>
      <c r="AHN101" s="18"/>
      <c r="AHO101" s="18"/>
      <c r="AHP101" s="18"/>
      <c r="AHQ101" s="18"/>
      <c r="AHR101" s="18"/>
      <c r="AHS101" s="18"/>
      <c r="AHT101" s="18"/>
      <c r="AHU101" s="18"/>
      <c r="AHV101" s="18"/>
      <c r="AHW101" s="18"/>
      <c r="AHX101" s="18"/>
      <c r="AHY101" s="18"/>
      <c r="AHZ101" s="18"/>
      <c r="AIA101" s="18"/>
      <c r="AIB101" s="18"/>
      <c r="AIC101" s="18"/>
      <c r="AID101" s="18"/>
      <c r="AIE101" s="18"/>
      <c r="AIF101" s="18"/>
      <c r="AIG101" s="18"/>
      <c r="AIH101" s="18"/>
      <c r="AII101" s="18"/>
      <c r="AIJ101" s="18"/>
      <c r="AIK101" s="18"/>
      <c r="AIL101" s="18"/>
      <c r="AIM101" s="18"/>
      <c r="AIN101" s="18"/>
      <c r="AIO101" s="18"/>
      <c r="AIP101" s="18"/>
      <c r="AIQ101" s="18"/>
      <c r="AIR101" s="18"/>
      <c r="AIS101" s="18"/>
      <c r="AIT101" s="18"/>
      <c r="AIU101" s="18"/>
      <c r="AIV101" s="18"/>
      <c r="AIW101" s="18"/>
      <c r="AIX101" s="18"/>
      <c r="AIY101" s="18"/>
      <c r="AIZ101" s="18"/>
      <c r="AJA101" s="18"/>
      <c r="AJB101" s="18"/>
      <c r="AJC101" s="18"/>
      <c r="AJD101" s="18"/>
      <c r="AJE101" s="18"/>
      <c r="AJF101" s="18"/>
      <c r="AJG101" s="18"/>
      <c r="AJH101" s="18"/>
      <c r="AJI101" s="18"/>
      <c r="AJJ101" s="18"/>
      <c r="AJK101" s="18"/>
      <c r="AJL101" s="18"/>
      <c r="AJM101" s="18"/>
      <c r="AJN101" s="18"/>
      <c r="AJO101" s="18"/>
      <c r="AJP101" s="18"/>
      <c r="AJQ101" s="18"/>
      <c r="AJR101" s="18"/>
      <c r="AJS101" s="18"/>
      <c r="AJT101" s="18"/>
      <c r="AJU101" s="18"/>
      <c r="AJV101" s="18"/>
      <c r="AJW101" s="18"/>
      <c r="AJX101" s="18"/>
      <c r="AJY101" s="18"/>
      <c r="AJZ101" s="18"/>
      <c r="AKA101" s="18"/>
      <c r="AKB101" s="18"/>
      <c r="AKC101" s="18"/>
      <c r="AKD101" s="18"/>
      <c r="AKE101" s="18"/>
      <c r="AKF101" s="18"/>
      <c r="AKG101" s="18"/>
      <c r="AKH101" s="18"/>
      <c r="AKI101" s="18"/>
      <c r="AKJ101" s="18"/>
      <c r="AKK101" s="18"/>
      <c r="AKL101" s="18"/>
      <c r="AKM101" s="18"/>
      <c r="AKN101" s="18"/>
      <c r="AKO101" s="18"/>
      <c r="AKP101" s="18"/>
      <c r="AKQ101" s="18"/>
      <c r="AKR101" s="18"/>
      <c r="AKS101" s="18"/>
      <c r="AKT101" s="18"/>
      <c r="AKU101" s="18"/>
      <c r="AKV101" s="18"/>
      <c r="AKW101" s="18"/>
      <c r="AKX101" s="18"/>
      <c r="AKY101" s="18"/>
      <c r="AKZ101" s="18"/>
      <c r="ALA101" s="18"/>
      <c r="ALB101" s="18"/>
      <c r="ALC101" s="18"/>
      <c r="ALD101" s="18"/>
      <c r="ALE101" s="18"/>
      <c r="ALF101" s="18"/>
      <c r="ALG101" s="18"/>
      <c r="ALH101" s="18"/>
      <c r="ALI101" s="18"/>
      <c r="ALJ101" s="18"/>
      <c r="ALK101" s="18"/>
      <c r="ALL101" s="18"/>
      <c r="ALM101" s="18"/>
      <c r="ALN101" s="18"/>
      <c r="ALO101" s="18"/>
      <c r="ALP101" s="18"/>
      <c r="ALQ101" s="18"/>
      <c r="ALR101" s="18"/>
      <c r="ALS101" s="18"/>
      <c r="ALT101" s="18"/>
      <c r="ALU101" s="18"/>
      <c r="ALV101" s="18"/>
      <c r="ALW101" s="18"/>
      <c r="ALX101" s="18"/>
      <c r="ALY101" s="18"/>
      <c r="ALZ101" s="18"/>
      <c r="AMA101" s="18"/>
      <c r="AMB101" s="18"/>
      <c r="AMC101" s="18"/>
      <c r="AMD101" s="18"/>
      <c r="AME101" s="18"/>
      <c r="AMF101" s="18"/>
      <c r="AMG101" s="18"/>
      <c r="AMH101" s="18"/>
      <c r="AMI101" s="18"/>
      <c r="AMJ101" s="18"/>
      <c r="AMK101" s="18"/>
      <c r="AML101" s="18"/>
      <c r="AMM101" s="18"/>
    </row>
    <row r="102" spans="1:1027" s="18" customFormat="1" x14ac:dyDescent="0.2">
      <c r="A102" s="1" t="s">
        <v>504</v>
      </c>
      <c r="B102" s="1" t="s">
        <v>657</v>
      </c>
      <c r="C102" s="1"/>
      <c r="D102" s="1">
        <v>302</v>
      </c>
      <c r="E102" s="24" t="s">
        <v>506</v>
      </c>
      <c r="F102" s="10">
        <v>8</v>
      </c>
      <c r="G102" s="11" t="s">
        <v>508</v>
      </c>
      <c r="H102" s="10" t="s">
        <v>507</v>
      </c>
      <c r="I102" s="10"/>
      <c r="J102" s="10" t="s">
        <v>507</v>
      </c>
      <c r="K102" s="12"/>
      <c r="L102" s="26"/>
      <c r="M102" s="1"/>
      <c r="N102" s="1"/>
      <c r="O102" s="1"/>
      <c r="P102" s="1"/>
      <c r="Q102" s="1"/>
      <c r="R102" s="1"/>
      <c r="S102" s="13"/>
      <c r="T102" s="1"/>
      <c r="U102" s="1"/>
      <c r="V102" s="1"/>
      <c r="W102" s="1"/>
      <c r="X102" s="1"/>
      <c r="Y102" s="1"/>
      <c r="Z102" s="1"/>
      <c r="AA102" s="30"/>
      <c r="AB102" s="30"/>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c r="AMK102" s="1"/>
      <c r="AML102" s="29"/>
    </row>
    <row r="103" spans="1:1027" x14ac:dyDescent="0.2">
      <c r="A103" s="18">
        <v>1</v>
      </c>
      <c r="B103" s="18" t="s">
        <v>658</v>
      </c>
      <c r="C103" s="18"/>
      <c r="D103" s="18">
        <v>106</v>
      </c>
      <c r="E103" s="42" t="s">
        <v>507</v>
      </c>
      <c r="F103" s="42" t="s">
        <v>507</v>
      </c>
      <c r="G103" s="43" t="s">
        <v>508</v>
      </c>
      <c r="H103" s="42" t="s">
        <v>507</v>
      </c>
      <c r="I103" s="42" t="s">
        <v>507</v>
      </c>
      <c r="J103" s="42" t="s">
        <v>507</v>
      </c>
      <c r="K103" s="21" t="s">
        <v>509</v>
      </c>
      <c r="L103" s="18"/>
      <c r="M103" s="1" t="s">
        <v>510</v>
      </c>
      <c r="O103" s="18"/>
      <c r="P103" s="18"/>
      <c r="Q103" s="18"/>
      <c r="R103" s="18"/>
      <c r="AML103" s="18"/>
    </row>
    <row r="104" spans="1:1027" x14ac:dyDescent="0.2">
      <c r="A104" s="18">
        <v>1</v>
      </c>
      <c r="B104" s="18" t="s">
        <v>659</v>
      </c>
      <c r="C104" s="18"/>
      <c r="D104" s="18">
        <v>39</v>
      </c>
      <c r="E104" s="19" t="s">
        <v>507</v>
      </c>
      <c r="F104" s="19" t="s">
        <v>507</v>
      </c>
      <c r="G104" s="20" t="s">
        <v>507</v>
      </c>
      <c r="H104" s="19" t="s">
        <v>507</v>
      </c>
      <c r="I104" s="19" t="s">
        <v>507</v>
      </c>
      <c r="J104" s="19" t="s">
        <v>507</v>
      </c>
      <c r="K104" s="21" t="s">
        <v>509</v>
      </c>
      <c r="L104" s="18"/>
      <c r="M104" s="1" t="s">
        <v>510</v>
      </c>
      <c r="O104" s="18" t="s">
        <v>507</v>
      </c>
      <c r="P104" s="18"/>
      <c r="Q104" s="18"/>
      <c r="R104" s="18"/>
      <c r="AA104" s="30"/>
      <c r="AB104" s="30"/>
      <c r="AD104" s="33"/>
      <c r="AE104" s="33"/>
      <c r="AML104" s="18"/>
    </row>
    <row r="105" spans="1:1027" s="18" customFormat="1" x14ac:dyDescent="0.2">
      <c r="A105" s="1">
        <v>3</v>
      </c>
      <c r="B105" s="1" t="s">
        <v>660</v>
      </c>
      <c r="C105" s="1" t="s">
        <v>661</v>
      </c>
      <c r="D105" s="1">
        <v>159</v>
      </c>
      <c r="E105" s="10" t="s">
        <v>507</v>
      </c>
      <c r="F105" s="10" t="s">
        <v>508</v>
      </c>
      <c r="G105" s="11" t="s">
        <v>508</v>
      </c>
      <c r="H105" s="10"/>
      <c r="I105" s="10"/>
      <c r="J105" s="10" t="s">
        <v>507</v>
      </c>
      <c r="K105" s="12"/>
      <c r="L105" s="26"/>
      <c r="M105" s="1"/>
      <c r="N105" s="1"/>
      <c r="O105" s="1"/>
      <c r="P105" s="1"/>
      <c r="Q105" s="1"/>
      <c r="R105" s="1"/>
      <c r="S105" s="13" t="s">
        <v>662</v>
      </c>
      <c r="T105" s="6"/>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spans="1:1027" s="18" customFormat="1" x14ac:dyDescent="0.2">
      <c r="A106" s="1">
        <v>4</v>
      </c>
      <c r="B106" s="1" t="s">
        <v>663</v>
      </c>
      <c r="C106" s="1" t="s">
        <v>664</v>
      </c>
      <c r="D106" s="1">
        <v>350</v>
      </c>
      <c r="E106" s="10" t="s">
        <v>507</v>
      </c>
      <c r="F106" s="10" t="s">
        <v>508</v>
      </c>
      <c r="G106" s="11" t="s">
        <v>508</v>
      </c>
      <c r="H106" s="10" t="s">
        <v>507</v>
      </c>
      <c r="I106" s="10"/>
      <c r="J106" s="10" t="s">
        <v>507</v>
      </c>
      <c r="K106" s="12"/>
      <c r="L106" s="26"/>
      <c r="M106" s="1"/>
      <c r="N106" s="1"/>
      <c r="O106" s="1"/>
      <c r="P106" s="1"/>
      <c r="Q106" s="1"/>
      <c r="R106" s="1"/>
      <c r="S106" s="13"/>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spans="1:1027" x14ac:dyDescent="0.2">
      <c r="A107" s="1">
        <v>4</v>
      </c>
      <c r="B107" s="1" t="s">
        <v>665</v>
      </c>
      <c r="C107" s="1" t="s">
        <v>666</v>
      </c>
      <c r="D107" s="1">
        <v>485</v>
      </c>
      <c r="E107" s="10" t="s">
        <v>507</v>
      </c>
      <c r="F107" s="10" t="s">
        <v>508</v>
      </c>
      <c r="G107" s="11" t="s">
        <v>508</v>
      </c>
      <c r="J107" s="10" t="s">
        <v>507</v>
      </c>
      <c r="L107" s="26"/>
      <c r="AML107" s="1"/>
    </row>
    <row r="108" spans="1:1027" x14ac:dyDescent="0.2">
      <c r="A108" s="18">
        <v>4</v>
      </c>
      <c r="B108" s="18" t="s">
        <v>667</v>
      </c>
      <c r="C108" s="18" t="s">
        <v>668</v>
      </c>
      <c r="D108" s="18">
        <v>333</v>
      </c>
      <c r="E108" s="19" t="s">
        <v>507</v>
      </c>
      <c r="F108" s="19" t="s">
        <v>507</v>
      </c>
      <c r="G108" s="20" t="s">
        <v>540</v>
      </c>
      <c r="H108" s="19" t="s">
        <v>507</v>
      </c>
      <c r="I108" s="19" t="s">
        <v>507</v>
      </c>
      <c r="J108" s="19" t="s">
        <v>507</v>
      </c>
      <c r="K108" s="21" t="s">
        <v>509</v>
      </c>
      <c r="L108" s="18"/>
      <c r="M108" s="1" t="s">
        <v>510</v>
      </c>
      <c r="O108" s="18" t="s">
        <v>507</v>
      </c>
      <c r="P108" s="18"/>
      <c r="Q108" s="18"/>
      <c r="R108" s="18"/>
      <c r="S108" s="13" t="s">
        <v>640</v>
      </c>
    </row>
    <row r="109" spans="1:1027" s="18" customFormat="1" x14ac:dyDescent="0.2">
      <c r="A109" s="18" t="s">
        <v>504</v>
      </c>
      <c r="B109" s="18" t="s">
        <v>669</v>
      </c>
      <c r="D109" s="18">
        <v>820</v>
      </c>
      <c r="E109" s="19" t="s">
        <v>506</v>
      </c>
      <c r="F109" s="19" t="s">
        <v>507</v>
      </c>
      <c r="G109" s="20" t="s">
        <v>611</v>
      </c>
      <c r="H109" s="19" t="s">
        <v>507</v>
      </c>
      <c r="I109" s="19" t="s">
        <v>507</v>
      </c>
      <c r="J109" s="19" t="s">
        <v>507</v>
      </c>
      <c r="K109" s="21" t="s">
        <v>509</v>
      </c>
      <c r="M109" s="1" t="s">
        <v>510</v>
      </c>
      <c r="N109" s="1"/>
      <c r="O109" s="18" t="s">
        <v>507</v>
      </c>
      <c r="S109" s="13"/>
      <c r="T109" s="1"/>
      <c r="U109" s="1"/>
      <c r="V109" s="1"/>
      <c r="W109" s="1"/>
      <c r="X109" s="1"/>
      <c r="Y109" s="1"/>
      <c r="Z109" s="1"/>
      <c r="AA109" s="30"/>
      <c r="AB109" s="30"/>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spans="1:1027" s="34" customFormat="1" x14ac:dyDescent="0.2">
      <c r="A110" s="1" t="s">
        <v>504</v>
      </c>
      <c r="B110" s="1" t="s">
        <v>670</v>
      </c>
      <c r="C110" s="1"/>
      <c r="D110" s="1">
        <v>86</v>
      </c>
      <c r="E110" s="10" t="s">
        <v>506</v>
      </c>
      <c r="F110" s="10" t="s">
        <v>508</v>
      </c>
      <c r="G110" s="11" t="s">
        <v>508</v>
      </c>
      <c r="H110" s="10" t="s">
        <v>507</v>
      </c>
      <c r="I110" s="10"/>
      <c r="J110" s="10" t="s">
        <v>507</v>
      </c>
      <c r="K110" s="12"/>
      <c r="L110" s="26"/>
      <c r="M110" s="1"/>
      <c r="N110" s="1"/>
      <c r="O110" s="1"/>
      <c r="P110" s="1"/>
      <c r="Q110" s="1"/>
      <c r="R110" s="1"/>
      <c r="S110" s="13"/>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c r="EF110" s="18"/>
      <c r="EG110" s="18"/>
      <c r="EH110" s="18"/>
      <c r="EI110" s="18"/>
      <c r="EJ110" s="18"/>
      <c r="EK110" s="18"/>
      <c r="EL110" s="18"/>
      <c r="EM110" s="18"/>
      <c r="EN110" s="18"/>
      <c r="EO110" s="18"/>
      <c r="EP110" s="18"/>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c r="FP110" s="18"/>
      <c r="FQ110" s="18"/>
      <c r="FR110" s="18"/>
      <c r="FS110" s="18"/>
      <c r="FT110" s="18"/>
      <c r="FU110" s="18"/>
      <c r="FV110" s="18"/>
      <c r="FW110" s="18"/>
      <c r="FX110" s="18"/>
      <c r="FY110" s="18"/>
      <c r="FZ110" s="18"/>
      <c r="GA110" s="18"/>
      <c r="GB110" s="18"/>
      <c r="GC110" s="18"/>
      <c r="GD110" s="18"/>
      <c r="GE110" s="18"/>
      <c r="GF110" s="18"/>
      <c r="GG110" s="18"/>
      <c r="GH110" s="18"/>
      <c r="GI110" s="18"/>
      <c r="GJ110" s="18"/>
      <c r="GK110" s="18"/>
      <c r="GL110" s="18"/>
      <c r="GM110" s="18"/>
      <c r="GN110" s="18"/>
      <c r="GO110" s="18"/>
      <c r="GP110" s="18"/>
      <c r="GQ110" s="18"/>
      <c r="GR110" s="18"/>
      <c r="GS110" s="18"/>
      <c r="GT110" s="18"/>
      <c r="GU110" s="18"/>
      <c r="GV110" s="18"/>
      <c r="GW110" s="18"/>
      <c r="GX110" s="18"/>
      <c r="GY110" s="18"/>
      <c r="GZ110" s="18"/>
      <c r="HA110" s="18"/>
      <c r="HB110" s="18"/>
      <c r="HC110" s="18"/>
      <c r="HD110" s="18"/>
      <c r="HE110" s="18"/>
      <c r="HF110" s="18"/>
      <c r="HG110" s="18"/>
      <c r="HH110" s="18"/>
      <c r="HI110" s="18"/>
      <c r="HJ110" s="18"/>
      <c r="HK110" s="18"/>
      <c r="HL110" s="18"/>
      <c r="HM110" s="18"/>
      <c r="HN110" s="18"/>
      <c r="HO110" s="18"/>
      <c r="HP110" s="18"/>
      <c r="HQ110" s="18"/>
      <c r="HR110" s="18"/>
      <c r="HS110" s="18"/>
      <c r="HT110" s="18"/>
      <c r="HU110" s="18"/>
      <c r="HV110" s="18"/>
      <c r="HW110" s="18"/>
      <c r="HX110" s="18"/>
      <c r="HY110" s="18"/>
      <c r="HZ110" s="18"/>
      <c r="IA110" s="18"/>
      <c r="IB110" s="18"/>
      <c r="IC110" s="18"/>
      <c r="ID110" s="18"/>
      <c r="IE110" s="18"/>
      <c r="IF110" s="18"/>
      <c r="IG110" s="18"/>
      <c r="IH110" s="18"/>
      <c r="II110" s="18"/>
      <c r="IJ110" s="18"/>
      <c r="IK110" s="18"/>
      <c r="IL110" s="18"/>
      <c r="IM110" s="18"/>
      <c r="IN110" s="18"/>
      <c r="IO110" s="18"/>
      <c r="IP110" s="18"/>
      <c r="IQ110" s="18"/>
      <c r="IR110" s="18"/>
      <c r="IS110" s="18"/>
      <c r="IT110" s="18"/>
      <c r="IU110" s="18"/>
      <c r="IV110" s="18"/>
      <c r="IW110" s="18"/>
      <c r="IX110" s="18"/>
      <c r="IY110" s="18"/>
      <c r="IZ110" s="18"/>
      <c r="JA110" s="18"/>
      <c r="JB110" s="18"/>
      <c r="JC110" s="18"/>
      <c r="JD110" s="18"/>
      <c r="JE110" s="18"/>
      <c r="JF110" s="18"/>
      <c r="JG110" s="18"/>
      <c r="JH110" s="18"/>
      <c r="JI110" s="18"/>
      <c r="JJ110" s="18"/>
      <c r="JK110" s="18"/>
      <c r="JL110" s="18"/>
      <c r="JM110" s="18"/>
      <c r="JN110" s="18"/>
      <c r="JO110" s="18"/>
      <c r="JP110" s="18"/>
      <c r="JQ110" s="18"/>
      <c r="JR110" s="18"/>
      <c r="JS110" s="18"/>
      <c r="JT110" s="18"/>
      <c r="JU110" s="18"/>
      <c r="JV110" s="18"/>
      <c r="JW110" s="18"/>
      <c r="JX110" s="18"/>
      <c r="JY110" s="18"/>
      <c r="JZ110" s="18"/>
      <c r="KA110" s="18"/>
      <c r="KB110" s="18"/>
      <c r="KC110" s="18"/>
      <c r="KD110" s="18"/>
      <c r="KE110" s="18"/>
      <c r="KF110" s="18"/>
      <c r="KG110" s="18"/>
      <c r="KH110" s="18"/>
      <c r="KI110" s="18"/>
      <c r="KJ110" s="18"/>
      <c r="KK110" s="18"/>
      <c r="KL110" s="18"/>
      <c r="KM110" s="18"/>
      <c r="KN110" s="18"/>
      <c r="KO110" s="18"/>
      <c r="KP110" s="18"/>
      <c r="KQ110" s="18"/>
      <c r="KR110" s="18"/>
      <c r="KS110" s="18"/>
      <c r="KT110" s="18"/>
      <c r="KU110" s="18"/>
      <c r="KV110" s="18"/>
      <c r="KW110" s="18"/>
      <c r="KX110" s="18"/>
      <c r="KY110" s="18"/>
      <c r="KZ110" s="18"/>
      <c r="LA110" s="18"/>
      <c r="LB110" s="18"/>
      <c r="LC110" s="18"/>
      <c r="LD110" s="18"/>
      <c r="LE110" s="18"/>
      <c r="LF110" s="18"/>
      <c r="LG110" s="18"/>
      <c r="LH110" s="18"/>
      <c r="LI110" s="18"/>
      <c r="LJ110" s="18"/>
      <c r="LK110" s="18"/>
      <c r="LL110" s="18"/>
      <c r="LM110" s="18"/>
      <c r="LN110" s="18"/>
      <c r="LO110" s="18"/>
      <c r="LP110" s="18"/>
      <c r="LQ110" s="18"/>
      <c r="LR110" s="18"/>
      <c r="LS110" s="18"/>
      <c r="LT110" s="18"/>
      <c r="LU110" s="18"/>
      <c r="LV110" s="18"/>
      <c r="LW110" s="18"/>
      <c r="LX110" s="18"/>
      <c r="LY110" s="18"/>
      <c r="LZ110" s="18"/>
      <c r="MA110" s="18"/>
      <c r="MB110" s="18"/>
      <c r="MC110" s="18"/>
      <c r="MD110" s="18"/>
      <c r="ME110" s="18"/>
      <c r="MF110" s="18"/>
      <c r="MG110" s="18"/>
      <c r="MH110" s="18"/>
      <c r="MI110" s="18"/>
      <c r="MJ110" s="18"/>
      <c r="MK110" s="18"/>
      <c r="ML110" s="18"/>
      <c r="MM110" s="18"/>
      <c r="MN110" s="18"/>
      <c r="MO110" s="18"/>
      <c r="MP110" s="18"/>
      <c r="MQ110" s="18"/>
      <c r="MR110" s="18"/>
      <c r="MS110" s="18"/>
      <c r="MT110" s="18"/>
      <c r="MU110" s="18"/>
      <c r="MV110" s="18"/>
      <c r="MW110" s="18"/>
      <c r="MX110" s="18"/>
      <c r="MY110" s="18"/>
      <c r="MZ110" s="18"/>
      <c r="NA110" s="18"/>
      <c r="NB110" s="18"/>
      <c r="NC110" s="18"/>
      <c r="ND110" s="18"/>
      <c r="NE110" s="18"/>
      <c r="NF110" s="18"/>
      <c r="NG110" s="18"/>
      <c r="NH110" s="18"/>
      <c r="NI110" s="18"/>
      <c r="NJ110" s="18"/>
      <c r="NK110" s="18"/>
      <c r="NL110" s="18"/>
      <c r="NM110" s="18"/>
      <c r="NN110" s="18"/>
      <c r="NO110" s="18"/>
      <c r="NP110" s="18"/>
      <c r="NQ110" s="18"/>
      <c r="NR110" s="18"/>
      <c r="NS110" s="18"/>
      <c r="NT110" s="18"/>
      <c r="NU110" s="18"/>
      <c r="NV110" s="18"/>
      <c r="NW110" s="18"/>
      <c r="NX110" s="18"/>
      <c r="NY110" s="18"/>
      <c r="NZ110" s="18"/>
      <c r="OA110" s="18"/>
      <c r="OB110" s="18"/>
      <c r="OC110" s="18"/>
      <c r="OD110" s="18"/>
      <c r="OE110" s="18"/>
      <c r="OF110" s="18"/>
      <c r="OG110" s="18"/>
      <c r="OH110" s="18"/>
      <c r="OI110" s="18"/>
      <c r="OJ110" s="18"/>
      <c r="OK110" s="18"/>
      <c r="OL110" s="18"/>
      <c r="OM110" s="18"/>
      <c r="ON110" s="18"/>
      <c r="OO110" s="18"/>
      <c r="OP110" s="18"/>
      <c r="OQ110" s="18"/>
      <c r="OR110" s="18"/>
      <c r="OS110" s="18"/>
      <c r="OT110" s="18"/>
      <c r="OU110" s="18"/>
      <c r="OV110" s="18"/>
      <c r="OW110" s="18"/>
      <c r="OX110" s="18"/>
      <c r="OY110" s="18"/>
      <c r="OZ110" s="18"/>
      <c r="PA110" s="18"/>
      <c r="PB110" s="18"/>
      <c r="PC110" s="18"/>
      <c r="PD110" s="18"/>
      <c r="PE110" s="18"/>
      <c r="PF110" s="18"/>
      <c r="PG110" s="18"/>
      <c r="PH110" s="18"/>
      <c r="PI110" s="18"/>
      <c r="PJ110" s="18"/>
      <c r="PK110" s="18"/>
      <c r="PL110" s="18"/>
      <c r="PM110" s="18"/>
      <c r="PN110" s="18"/>
      <c r="PO110" s="18"/>
      <c r="PP110" s="18"/>
      <c r="PQ110" s="18"/>
      <c r="PR110" s="18"/>
      <c r="PS110" s="18"/>
      <c r="PT110" s="18"/>
      <c r="PU110" s="18"/>
      <c r="PV110" s="18"/>
      <c r="PW110" s="18"/>
      <c r="PX110" s="18"/>
      <c r="PY110" s="18"/>
      <c r="PZ110" s="18"/>
      <c r="QA110" s="18"/>
      <c r="QB110" s="18"/>
      <c r="QC110" s="18"/>
      <c r="QD110" s="18"/>
      <c r="QE110" s="18"/>
      <c r="QF110" s="18"/>
      <c r="QG110" s="18"/>
      <c r="QH110" s="18"/>
      <c r="QI110" s="18"/>
      <c r="QJ110" s="18"/>
      <c r="QK110" s="18"/>
      <c r="QL110" s="18"/>
      <c r="QM110" s="18"/>
      <c r="QN110" s="18"/>
      <c r="QO110" s="18"/>
      <c r="QP110" s="18"/>
      <c r="QQ110" s="18"/>
      <c r="QR110" s="18"/>
      <c r="QS110" s="18"/>
      <c r="QT110" s="18"/>
      <c r="QU110" s="18"/>
      <c r="QV110" s="18"/>
      <c r="QW110" s="18"/>
      <c r="QX110" s="18"/>
      <c r="QY110" s="18"/>
      <c r="QZ110" s="18"/>
      <c r="RA110" s="18"/>
      <c r="RB110" s="18"/>
      <c r="RC110" s="18"/>
      <c r="RD110" s="18"/>
      <c r="RE110" s="18"/>
      <c r="RF110" s="18"/>
      <c r="RG110" s="18"/>
      <c r="RH110" s="18"/>
      <c r="RI110" s="18"/>
      <c r="RJ110" s="18"/>
      <c r="RK110" s="18"/>
      <c r="RL110" s="18"/>
      <c r="RM110" s="18"/>
      <c r="RN110" s="18"/>
      <c r="RO110" s="18"/>
      <c r="RP110" s="18"/>
      <c r="RQ110" s="18"/>
      <c r="RR110" s="18"/>
      <c r="RS110" s="18"/>
      <c r="RT110" s="18"/>
      <c r="RU110" s="18"/>
      <c r="RV110" s="18"/>
      <c r="RW110" s="18"/>
      <c r="RX110" s="18"/>
      <c r="RY110" s="18"/>
      <c r="RZ110" s="18"/>
      <c r="SA110" s="18"/>
      <c r="SB110" s="18"/>
      <c r="SC110" s="18"/>
      <c r="SD110" s="18"/>
      <c r="SE110" s="18"/>
      <c r="SF110" s="18"/>
      <c r="SG110" s="18"/>
      <c r="SH110" s="18"/>
      <c r="SI110" s="18"/>
      <c r="SJ110" s="18"/>
      <c r="SK110" s="18"/>
      <c r="SL110" s="18"/>
      <c r="SM110" s="18"/>
      <c r="SN110" s="18"/>
      <c r="SO110" s="18"/>
      <c r="SP110" s="18"/>
      <c r="SQ110" s="18"/>
      <c r="SR110" s="18"/>
      <c r="SS110" s="18"/>
      <c r="ST110" s="18"/>
      <c r="SU110" s="18"/>
      <c r="SV110" s="18"/>
      <c r="SW110" s="18"/>
      <c r="SX110" s="18"/>
      <c r="SY110" s="18"/>
      <c r="SZ110" s="18"/>
      <c r="TA110" s="18"/>
      <c r="TB110" s="18"/>
      <c r="TC110" s="18"/>
      <c r="TD110" s="18"/>
      <c r="TE110" s="18"/>
      <c r="TF110" s="18"/>
      <c r="TG110" s="18"/>
      <c r="TH110" s="18"/>
      <c r="TI110" s="18"/>
      <c r="TJ110" s="18"/>
      <c r="TK110" s="18"/>
      <c r="TL110" s="18"/>
      <c r="TM110" s="18"/>
      <c r="TN110" s="18"/>
      <c r="TO110" s="18"/>
      <c r="TP110" s="18"/>
      <c r="TQ110" s="18"/>
      <c r="TR110" s="18"/>
      <c r="TS110" s="18"/>
      <c r="TT110" s="18"/>
      <c r="TU110" s="18"/>
      <c r="TV110" s="18"/>
      <c r="TW110" s="18"/>
      <c r="TX110" s="18"/>
      <c r="TY110" s="18"/>
      <c r="TZ110" s="18"/>
      <c r="UA110" s="18"/>
      <c r="UB110" s="18"/>
      <c r="UC110" s="18"/>
      <c r="UD110" s="18"/>
      <c r="UE110" s="18"/>
      <c r="UF110" s="18"/>
      <c r="UG110" s="18"/>
      <c r="UH110" s="18"/>
      <c r="UI110" s="18"/>
      <c r="UJ110" s="18"/>
      <c r="UK110" s="18"/>
      <c r="UL110" s="18"/>
      <c r="UM110" s="18"/>
      <c r="UN110" s="18"/>
      <c r="UO110" s="18"/>
      <c r="UP110" s="18"/>
      <c r="UQ110" s="18"/>
      <c r="UR110" s="18"/>
      <c r="US110" s="18"/>
      <c r="UT110" s="18"/>
      <c r="UU110" s="18"/>
      <c r="UV110" s="18"/>
      <c r="UW110" s="18"/>
      <c r="UX110" s="18"/>
      <c r="UY110" s="18"/>
      <c r="UZ110" s="18"/>
      <c r="VA110" s="18"/>
      <c r="VB110" s="18"/>
      <c r="VC110" s="18"/>
      <c r="VD110" s="18"/>
      <c r="VE110" s="18"/>
      <c r="VF110" s="18"/>
      <c r="VG110" s="18"/>
      <c r="VH110" s="18"/>
      <c r="VI110" s="18"/>
      <c r="VJ110" s="18"/>
      <c r="VK110" s="18"/>
      <c r="VL110" s="18"/>
      <c r="VM110" s="18"/>
      <c r="VN110" s="18"/>
      <c r="VO110" s="18"/>
      <c r="VP110" s="18"/>
      <c r="VQ110" s="18"/>
      <c r="VR110" s="18"/>
      <c r="VS110" s="18"/>
      <c r="VT110" s="18"/>
      <c r="VU110" s="18"/>
      <c r="VV110" s="18"/>
      <c r="VW110" s="18"/>
      <c r="VX110" s="18"/>
      <c r="VY110" s="18"/>
      <c r="VZ110" s="18"/>
      <c r="WA110" s="18"/>
      <c r="WB110" s="18"/>
      <c r="WC110" s="18"/>
      <c r="WD110" s="18"/>
      <c r="WE110" s="18"/>
      <c r="WF110" s="18"/>
      <c r="WG110" s="18"/>
      <c r="WH110" s="18"/>
      <c r="WI110" s="18"/>
      <c r="WJ110" s="18"/>
      <c r="WK110" s="18"/>
      <c r="WL110" s="18"/>
      <c r="WM110" s="18"/>
      <c r="WN110" s="18"/>
      <c r="WO110" s="18"/>
      <c r="WP110" s="18"/>
      <c r="WQ110" s="18"/>
      <c r="WR110" s="18"/>
      <c r="WS110" s="18"/>
      <c r="WT110" s="18"/>
      <c r="WU110" s="18"/>
      <c r="WV110" s="18"/>
      <c r="WW110" s="18"/>
      <c r="WX110" s="18"/>
      <c r="WY110" s="18"/>
      <c r="WZ110" s="18"/>
      <c r="XA110" s="18"/>
      <c r="XB110" s="18"/>
      <c r="XC110" s="18"/>
      <c r="XD110" s="18"/>
      <c r="XE110" s="18"/>
      <c r="XF110" s="18"/>
      <c r="XG110" s="18"/>
      <c r="XH110" s="18"/>
      <c r="XI110" s="18"/>
      <c r="XJ110" s="18"/>
      <c r="XK110" s="18"/>
      <c r="XL110" s="18"/>
      <c r="XM110" s="18"/>
      <c r="XN110" s="18"/>
      <c r="XO110" s="18"/>
      <c r="XP110" s="18"/>
      <c r="XQ110" s="18"/>
      <c r="XR110" s="18"/>
      <c r="XS110" s="18"/>
      <c r="XT110" s="18"/>
      <c r="XU110" s="18"/>
      <c r="XV110" s="18"/>
      <c r="XW110" s="18"/>
      <c r="XX110" s="18"/>
      <c r="XY110" s="18"/>
      <c r="XZ110" s="18"/>
      <c r="YA110" s="18"/>
      <c r="YB110" s="18"/>
      <c r="YC110" s="18"/>
      <c r="YD110" s="18"/>
      <c r="YE110" s="18"/>
      <c r="YF110" s="18"/>
      <c r="YG110" s="18"/>
      <c r="YH110" s="18"/>
      <c r="YI110" s="18"/>
      <c r="YJ110" s="18"/>
      <c r="YK110" s="18"/>
      <c r="YL110" s="18"/>
      <c r="YM110" s="18"/>
      <c r="YN110" s="18"/>
      <c r="YO110" s="18"/>
      <c r="YP110" s="18"/>
      <c r="YQ110" s="18"/>
      <c r="YR110" s="18"/>
      <c r="YS110" s="18"/>
      <c r="YT110" s="18"/>
      <c r="YU110" s="18"/>
      <c r="YV110" s="18"/>
      <c r="YW110" s="18"/>
      <c r="YX110" s="18"/>
      <c r="YY110" s="18"/>
      <c r="YZ110" s="18"/>
      <c r="ZA110" s="18"/>
      <c r="ZB110" s="18"/>
      <c r="ZC110" s="18"/>
      <c r="ZD110" s="18"/>
      <c r="ZE110" s="18"/>
      <c r="ZF110" s="18"/>
      <c r="ZG110" s="18"/>
      <c r="ZH110" s="18"/>
      <c r="ZI110" s="18"/>
      <c r="ZJ110" s="18"/>
      <c r="ZK110" s="18"/>
      <c r="ZL110" s="18"/>
      <c r="ZM110" s="18"/>
      <c r="ZN110" s="18"/>
      <c r="ZO110" s="18"/>
      <c r="ZP110" s="18"/>
      <c r="ZQ110" s="18"/>
      <c r="ZR110" s="18"/>
      <c r="ZS110" s="18"/>
      <c r="ZT110" s="18"/>
      <c r="ZU110" s="18"/>
      <c r="ZV110" s="18"/>
      <c r="ZW110" s="18"/>
      <c r="ZX110" s="18"/>
      <c r="ZY110" s="18"/>
      <c r="ZZ110" s="18"/>
      <c r="AAA110" s="18"/>
      <c r="AAB110" s="18"/>
      <c r="AAC110" s="18"/>
      <c r="AAD110" s="18"/>
      <c r="AAE110" s="18"/>
      <c r="AAF110" s="18"/>
      <c r="AAG110" s="18"/>
      <c r="AAH110" s="18"/>
      <c r="AAI110" s="18"/>
      <c r="AAJ110" s="18"/>
      <c r="AAK110" s="18"/>
      <c r="AAL110" s="18"/>
      <c r="AAM110" s="18"/>
      <c r="AAN110" s="18"/>
      <c r="AAO110" s="18"/>
      <c r="AAP110" s="18"/>
      <c r="AAQ110" s="18"/>
      <c r="AAR110" s="18"/>
      <c r="AAS110" s="18"/>
      <c r="AAT110" s="18"/>
      <c r="AAU110" s="18"/>
      <c r="AAV110" s="18"/>
      <c r="AAW110" s="18"/>
      <c r="AAX110" s="18"/>
      <c r="AAY110" s="18"/>
      <c r="AAZ110" s="18"/>
      <c r="ABA110" s="18"/>
      <c r="ABB110" s="18"/>
      <c r="ABC110" s="18"/>
      <c r="ABD110" s="18"/>
      <c r="ABE110" s="18"/>
      <c r="ABF110" s="18"/>
      <c r="ABG110" s="18"/>
      <c r="ABH110" s="18"/>
      <c r="ABI110" s="18"/>
      <c r="ABJ110" s="18"/>
      <c r="ABK110" s="18"/>
      <c r="ABL110" s="18"/>
      <c r="ABM110" s="18"/>
      <c r="ABN110" s="18"/>
      <c r="ABO110" s="18"/>
      <c r="ABP110" s="18"/>
      <c r="ABQ110" s="18"/>
      <c r="ABR110" s="18"/>
      <c r="ABS110" s="18"/>
      <c r="ABT110" s="18"/>
      <c r="ABU110" s="18"/>
      <c r="ABV110" s="18"/>
      <c r="ABW110" s="18"/>
      <c r="ABX110" s="18"/>
      <c r="ABY110" s="18"/>
      <c r="ABZ110" s="18"/>
      <c r="ACA110" s="18"/>
      <c r="ACB110" s="18"/>
      <c r="ACC110" s="18"/>
      <c r="ACD110" s="18"/>
      <c r="ACE110" s="18"/>
      <c r="ACF110" s="18"/>
      <c r="ACG110" s="18"/>
      <c r="ACH110" s="18"/>
      <c r="ACI110" s="18"/>
      <c r="ACJ110" s="18"/>
      <c r="ACK110" s="18"/>
      <c r="ACL110" s="18"/>
      <c r="ACM110" s="18"/>
      <c r="ACN110" s="18"/>
      <c r="ACO110" s="18"/>
      <c r="ACP110" s="18"/>
      <c r="ACQ110" s="18"/>
      <c r="ACR110" s="18"/>
      <c r="ACS110" s="18"/>
      <c r="ACT110" s="18"/>
      <c r="ACU110" s="18"/>
      <c r="ACV110" s="18"/>
      <c r="ACW110" s="18"/>
      <c r="ACX110" s="18"/>
      <c r="ACY110" s="18"/>
      <c r="ACZ110" s="18"/>
      <c r="ADA110" s="18"/>
      <c r="ADB110" s="18"/>
      <c r="ADC110" s="18"/>
      <c r="ADD110" s="18"/>
      <c r="ADE110" s="18"/>
      <c r="ADF110" s="18"/>
      <c r="ADG110" s="18"/>
      <c r="ADH110" s="18"/>
      <c r="ADI110" s="18"/>
      <c r="ADJ110" s="18"/>
      <c r="ADK110" s="18"/>
      <c r="ADL110" s="18"/>
      <c r="ADM110" s="18"/>
      <c r="ADN110" s="18"/>
      <c r="ADO110" s="18"/>
      <c r="ADP110" s="18"/>
      <c r="ADQ110" s="18"/>
      <c r="ADR110" s="18"/>
      <c r="ADS110" s="18"/>
      <c r="ADT110" s="18"/>
      <c r="ADU110" s="18"/>
      <c r="ADV110" s="18"/>
      <c r="ADW110" s="18"/>
      <c r="ADX110" s="18"/>
      <c r="ADY110" s="18"/>
      <c r="ADZ110" s="18"/>
      <c r="AEA110" s="18"/>
      <c r="AEB110" s="18"/>
      <c r="AEC110" s="18"/>
      <c r="AED110" s="18"/>
      <c r="AEE110" s="18"/>
      <c r="AEF110" s="18"/>
      <c r="AEG110" s="18"/>
      <c r="AEH110" s="18"/>
      <c r="AEI110" s="18"/>
      <c r="AEJ110" s="18"/>
      <c r="AEK110" s="18"/>
      <c r="AEL110" s="18"/>
      <c r="AEM110" s="18"/>
      <c r="AEN110" s="18"/>
      <c r="AEO110" s="18"/>
      <c r="AEP110" s="18"/>
      <c r="AEQ110" s="18"/>
      <c r="AER110" s="18"/>
      <c r="AES110" s="18"/>
      <c r="AET110" s="18"/>
      <c r="AEU110" s="18"/>
      <c r="AEV110" s="18"/>
      <c r="AEW110" s="18"/>
      <c r="AEX110" s="18"/>
      <c r="AEY110" s="18"/>
      <c r="AEZ110" s="18"/>
      <c r="AFA110" s="18"/>
      <c r="AFB110" s="18"/>
      <c r="AFC110" s="18"/>
      <c r="AFD110" s="18"/>
      <c r="AFE110" s="18"/>
      <c r="AFF110" s="18"/>
      <c r="AFG110" s="18"/>
      <c r="AFH110" s="18"/>
      <c r="AFI110" s="18"/>
      <c r="AFJ110" s="18"/>
      <c r="AFK110" s="18"/>
      <c r="AFL110" s="18"/>
      <c r="AFM110" s="18"/>
      <c r="AFN110" s="18"/>
      <c r="AFO110" s="18"/>
      <c r="AFP110" s="18"/>
      <c r="AFQ110" s="18"/>
      <c r="AFR110" s="18"/>
      <c r="AFS110" s="18"/>
      <c r="AFT110" s="18"/>
      <c r="AFU110" s="18"/>
      <c r="AFV110" s="18"/>
      <c r="AFW110" s="18"/>
      <c r="AFX110" s="18"/>
      <c r="AFY110" s="18"/>
      <c r="AFZ110" s="18"/>
      <c r="AGA110" s="18"/>
      <c r="AGB110" s="18"/>
      <c r="AGC110" s="18"/>
      <c r="AGD110" s="18"/>
      <c r="AGE110" s="18"/>
      <c r="AGF110" s="18"/>
      <c r="AGG110" s="18"/>
      <c r="AGH110" s="18"/>
      <c r="AGI110" s="18"/>
      <c r="AGJ110" s="18"/>
      <c r="AGK110" s="18"/>
      <c r="AGL110" s="18"/>
      <c r="AGM110" s="18"/>
      <c r="AGN110" s="18"/>
      <c r="AGO110" s="18"/>
      <c r="AGP110" s="18"/>
      <c r="AGQ110" s="18"/>
      <c r="AGR110" s="18"/>
      <c r="AGS110" s="18"/>
      <c r="AGT110" s="18"/>
      <c r="AGU110" s="18"/>
      <c r="AGV110" s="18"/>
      <c r="AGW110" s="18"/>
      <c r="AGX110" s="18"/>
      <c r="AGY110" s="18"/>
      <c r="AGZ110" s="18"/>
      <c r="AHA110" s="18"/>
      <c r="AHB110" s="18"/>
      <c r="AHC110" s="18"/>
      <c r="AHD110" s="18"/>
      <c r="AHE110" s="18"/>
      <c r="AHF110" s="18"/>
      <c r="AHG110" s="18"/>
      <c r="AHH110" s="18"/>
      <c r="AHI110" s="18"/>
      <c r="AHJ110" s="18"/>
      <c r="AHK110" s="18"/>
      <c r="AHL110" s="18"/>
      <c r="AHM110" s="18"/>
      <c r="AHN110" s="18"/>
      <c r="AHO110" s="18"/>
      <c r="AHP110" s="18"/>
      <c r="AHQ110" s="18"/>
      <c r="AHR110" s="18"/>
      <c r="AHS110" s="18"/>
      <c r="AHT110" s="18"/>
      <c r="AHU110" s="18"/>
      <c r="AHV110" s="18"/>
      <c r="AHW110" s="18"/>
      <c r="AHX110" s="18"/>
      <c r="AHY110" s="18"/>
      <c r="AHZ110" s="18"/>
      <c r="AIA110" s="18"/>
      <c r="AIB110" s="18"/>
      <c r="AIC110" s="18"/>
      <c r="AID110" s="18"/>
      <c r="AIE110" s="18"/>
      <c r="AIF110" s="18"/>
      <c r="AIG110" s="18"/>
      <c r="AIH110" s="18"/>
      <c r="AII110" s="18"/>
      <c r="AIJ110" s="18"/>
      <c r="AIK110" s="18"/>
      <c r="AIL110" s="18"/>
      <c r="AIM110" s="18"/>
      <c r="AIN110" s="18"/>
      <c r="AIO110" s="18"/>
      <c r="AIP110" s="18"/>
      <c r="AIQ110" s="18"/>
      <c r="AIR110" s="18"/>
      <c r="AIS110" s="18"/>
      <c r="AIT110" s="18"/>
      <c r="AIU110" s="18"/>
      <c r="AIV110" s="18"/>
      <c r="AIW110" s="18"/>
      <c r="AIX110" s="18"/>
      <c r="AIY110" s="18"/>
      <c r="AIZ110" s="18"/>
      <c r="AJA110" s="18"/>
      <c r="AJB110" s="18"/>
      <c r="AJC110" s="18"/>
      <c r="AJD110" s="18"/>
      <c r="AJE110" s="18"/>
      <c r="AJF110" s="18"/>
      <c r="AJG110" s="18"/>
      <c r="AJH110" s="18"/>
      <c r="AJI110" s="18"/>
      <c r="AJJ110" s="18"/>
      <c r="AJK110" s="18"/>
      <c r="AJL110" s="18"/>
      <c r="AJM110" s="18"/>
      <c r="AJN110" s="18"/>
      <c r="AJO110" s="18"/>
      <c r="AJP110" s="18"/>
      <c r="AJQ110" s="18"/>
      <c r="AJR110" s="18"/>
      <c r="AJS110" s="18"/>
      <c r="AJT110" s="18"/>
      <c r="AJU110" s="18"/>
      <c r="AJV110" s="18"/>
      <c r="AJW110" s="18"/>
      <c r="AJX110" s="18"/>
      <c r="AJY110" s="18"/>
      <c r="AJZ110" s="18"/>
      <c r="AKA110" s="18"/>
      <c r="AKB110" s="18"/>
      <c r="AKC110" s="18"/>
      <c r="AKD110" s="18"/>
      <c r="AKE110" s="18"/>
      <c r="AKF110" s="18"/>
      <c r="AKG110" s="18"/>
      <c r="AKH110" s="18"/>
      <c r="AKI110" s="18"/>
      <c r="AKJ110" s="18"/>
      <c r="AKK110" s="18"/>
      <c r="AKL110" s="18"/>
      <c r="AKM110" s="18"/>
      <c r="AKN110" s="18"/>
      <c r="AKO110" s="18"/>
      <c r="AKP110" s="18"/>
      <c r="AKQ110" s="18"/>
      <c r="AKR110" s="18"/>
      <c r="AKS110" s="18"/>
      <c r="AKT110" s="18"/>
      <c r="AKU110" s="18"/>
      <c r="AKV110" s="18"/>
      <c r="AKW110" s="18"/>
      <c r="AKX110" s="18"/>
      <c r="AKY110" s="18"/>
      <c r="AKZ110" s="18"/>
      <c r="ALA110" s="18"/>
      <c r="ALB110" s="18"/>
      <c r="ALC110" s="18"/>
      <c r="ALD110" s="18"/>
      <c r="ALE110" s="18"/>
      <c r="ALF110" s="18"/>
      <c r="ALG110" s="18"/>
      <c r="ALH110" s="18"/>
      <c r="ALI110" s="18"/>
      <c r="ALJ110" s="18"/>
      <c r="ALK110" s="18"/>
      <c r="ALL110" s="18"/>
      <c r="ALM110" s="18"/>
      <c r="ALN110" s="18"/>
      <c r="ALO110" s="18"/>
      <c r="ALP110" s="18"/>
      <c r="ALQ110" s="18"/>
      <c r="ALR110" s="18"/>
      <c r="ALS110" s="18"/>
      <c r="ALT110" s="18"/>
      <c r="ALU110" s="18"/>
      <c r="ALV110" s="18"/>
      <c r="ALW110" s="18"/>
      <c r="ALX110" s="18"/>
      <c r="ALY110" s="18"/>
      <c r="ALZ110" s="18"/>
      <c r="AMA110" s="18"/>
      <c r="AMB110" s="18"/>
      <c r="AMC110" s="18"/>
      <c r="AMD110" s="18"/>
      <c r="AME110" s="18"/>
      <c r="AMF110" s="18"/>
      <c r="AMG110" s="18"/>
      <c r="AMH110" s="18"/>
      <c r="AMI110" s="18"/>
      <c r="AMJ110" s="18"/>
      <c r="AMK110" s="18"/>
      <c r="AML110" s="18"/>
    </row>
    <row r="111" spans="1:1027" s="29" customFormat="1" x14ac:dyDescent="0.2">
      <c r="A111" s="34">
        <v>4</v>
      </c>
      <c r="B111" s="34" t="s">
        <v>671</v>
      </c>
      <c r="C111" s="34" t="s">
        <v>672</v>
      </c>
      <c r="D111" s="34">
        <v>52</v>
      </c>
      <c r="E111" s="62" t="s">
        <v>508</v>
      </c>
      <c r="F111" s="62" t="s">
        <v>508</v>
      </c>
      <c r="G111" s="63" t="s">
        <v>508</v>
      </c>
      <c r="H111" s="62"/>
      <c r="I111" s="62"/>
      <c r="J111" s="62" t="s">
        <v>508</v>
      </c>
      <c r="K111" s="38"/>
      <c r="L111" s="34"/>
      <c r="M111" s="1"/>
      <c r="N111" s="1"/>
      <c r="O111" s="34"/>
      <c r="P111" s="34"/>
      <c r="Q111" s="34"/>
      <c r="R111" s="34"/>
      <c r="S111" s="39" t="s">
        <v>673</v>
      </c>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34"/>
      <c r="FI111" s="34"/>
      <c r="FJ111" s="34"/>
      <c r="FK111" s="34"/>
      <c r="FL111" s="34"/>
      <c r="FM111" s="34"/>
      <c r="FN111" s="34"/>
      <c r="FO111" s="34"/>
      <c r="FP111" s="34"/>
      <c r="FQ111" s="34"/>
      <c r="FR111" s="34"/>
      <c r="FS111" s="34"/>
      <c r="FT111" s="34"/>
      <c r="FU111" s="34"/>
      <c r="FV111" s="34"/>
      <c r="FW111" s="34"/>
      <c r="FX111" s="34"/>
      <c r="FY111" s="34"/>
      <c r="FZ111" s="34"/>
      <c r="GA111" s="34"/>
      <c r="GB111" s="34"/>
      <c r="GC111" s="34"/>
      <c r="GD111" s="34"/>
      <c r="GE111" s="34"/>
      <c r="GF111" s="34"/>
      <c r="GG111" s="34"/>
      <c r="GH111" s="34"/>
      <c r="GI111" s="34"/>
      <c r="GJ111" s="34"/>
      <c r="GK111" s="34"/>
      <c r="GL111" s="34"/>
      <c r="GM111" s="34"/>
      <c r="GN111" s="34"/>
      <c r="GO111" s="34"/>
      <c r="GP111" s="34"/>
      <c r="GQ111" s="34"/>
      <c r="GR111" s="34"/>
      <c r="GS111" s="34"/>
      <c r="GT111" s="34"/>
      <c r="GU111" s="34"/>
      <c r="GV111" s="34"/>
      <c r="GW111" s="34"/>
      <c r="GX111" s="34"/>
      <c r="GY111" s="34"/>
      <c r="GZ111" s="34"/>
      <c r="HA111" s="34"/>
      <c r="HB111" s="34"/>
      <c r="HC111" s="34"/>
      <c r="HD111" s="34"/>
      <c r="HE111" s="34"/>
      <c r="HF111" s="34"/>
      <c r="HG111" s="34"/>
      <c r="HH111" s="34"/>
      <c r="HI111" s="34"/>
      <c r="HJ111" s="34"/>
      <c r="HK111" s="34"/>
      <c r="HL111" s="34"/>
      <c r="HM111" s="34"/>
      <c r="HN111" s="34"/>
      <c r="HO111" s="34"/>
      <c r="HP111" s="34"/>
      <c r="HQ111" s="34"/>
      <c r="HR111" s="34"/>
      <c r="HS111" s="34"/>
      <c r="HT111" s="34"/>
      <c r="HU111" s="34"/>
      <c r="HV111" s="34"/>
      <c r="HW111" s="34"/>
      <c r="HX111" s="34"/>
      <c r="HY111" s="34"/>
      <c r="HZ111" s="34"/>
      <c r="IA111" s="34"/>
      <c r="IB111" s="34"/>
      <c r="IC111" s="34"/>
      <c r="ID111" s="34"/>
      <c r="IE111" s="34"/>
      <c r="IF111" s="34"/>
      <c r="IG111" s="34"/>
      <c r="IH111" s="34"/>
      <c r="II111" s="34"/>
      <c r="IJ111" s="34"/>
      <c r="IK111" s="34"/>
      <c r="IL111" s="34"/>
      <c r="IM111" s="34"/>
      <c r="IN111" s="34"/>
      <c r="IO111" s="34"/>
      <c r="IP111" s="34"/>
      <c r="IQ111" s="34"/>
      <c r="IR111" s="34"/>
      <c r="IS111" s="34"/>
      <c r="IT111" s="34"/>
      <c r="IU111" s="34"/>
      <c r="IV111" s="34"/>
      <c r="IW111" s="34"/>
      <c r="IX111" s="34"/>
      <c r="IY111" s="34"/>
      <c r="IZ111" s="34"/>
      <c r="JA111" s="34"/>
      <c r="JB111" s="34"/>
      <c r="JC111" s="34"/>
      <c r="JD111" s="34"/>
      <c r="JE111" s="34"/>
      <c r="JF111" s="34"/>
      <c r="JG111" s="34"/>
      <c r="JH111" s="34"/>
      <c r="JI111" s="34"/>
      <c r="JJ111" s="34"/>
      <c r="JK111" s="34"/>
      <c r="JL111" s="34"/>
      <c r="JM111" s="34"/>
      <c r="JN111" s="34"/>
      <c r="JO111" s="34"/>
      <c r="JP111" s="34"/>
      <c r="JQ111" s="34"/>
      <c r="JR111" s="34"/>
      <c r="JS111" s="34"/>
      <c r="JT111" s="34"/>
      <c r="JU111" s="34"/>
      <c r="JV111" s="34"/>
      <c r="JW111" s="34"/>
      <c r="JX111" s="34"/>
      <c r="JY111" s="34"/>
      <c r="JZ111" s="34"/>
      <c r="KA111" s="34"/>
      <c r="KB111" s="34"/>
      <c r="KC111" s="34"/>
      <c r="KD111" s="34"/>
      <c r="KE111" s="34"/>
      <c r="KF111" s="34"/>
      <c r="KG111" s="34"/>
      <c r="KH111" s="34"/>
      <c r="KI111" s="34"/>
      <c r="KJ111" s="34"/>
      <c r="KK111" s="34"/>
      <c r="KL111" s="34"/>
      <c r="KM111" s="34"/>
      <c r="KN111" s="34"/>
      <c r="KO111" s="34"/>
      <c r="KP111" s="34"/>
      <c r="KQ111" s="34"/>
      <c r="KR111" s="34"/>
      <c r="KS111" s="34"/>
      <c r="KT111" s="34"/>
      <c r="KU111" s="34"/>
      <c r="KV111" s="34"/>
      <c r="KW111" s="34"/>
      <c r="KX111" s="34"/>
      <c r="KY111" s="34"/>
      <c r="KZ111" s="34"/>
      <c r="LA111" s="34"/>
      <c r="LB111" s="34"/>
      <c r="LC111" s="34"/>
      <c r="LD111" s="34"/>
      <c r="LE111" s="34"/>
      <c r="LF111" s="34"/>
      <c r="LG111" s="34"/>
      <c r="LH111" s="34"/>
      <c r="LI111" s="34"/>
      <c r="LJ111" s="34"/>
      <c r="LK111" s="34"/>
      <c r="LL111" s="34"/>
      <c r="LM111" s="34"/>
      <c r="LN111" s="34"/>
      <c r="LO111" s="34"/>
      <c r="LP111" s="34"/>
      <c r="LQ111" s="34"/>
      <c r="LR111" s="34"/>
      <c r="LS111" s="34"/>
      <c r="LT111" s="34"/>
      <c r="LU111" s="34"/>
      <c r="LV111" s="34"/>
      <c r="LW111" s="34"/>
      <c r="LX111" s="34"/>
      <c r="LY111" s="34"/>
      <c r="LZ111" s="34"/>
      <c r="MA111" s="34"/>
      <c r="MB111" s="34"/>
      <c r="MC111" s="34"/>
      <c r="MD111" s="34"/>
      <c r="ME111" s="34"/>
      <c r="MF111" s="34"/>
      <c r="MG111" s="34"/>
      <c r="MH111" s="34"/>
      <c r="MI111" s="34"/>
      <c r="MJ111" s="34"/>
      <c r="MK111" s="34"/>
      <c r="ML111" s="34"/>
      <c r="MM111" s="34"/>
      <c r="MN111" s="34"/>
      <c r="MO111" s="34"/>
      <c r="MP111" s="34"/>
      <c r="MQ111" s="34"/>
      <c r="MR111" s="34"/>
      <c r="MS111" s="34"/>
      <c r="MT111" s="34"/>
      <c r="MU111" s="34"/>
      <c r="MV111" s="34"/>
      <c r="MW111" s="34"/>
      <c r="MX111" s="34"/>
      <c r="MY111" s="34"/>
      <c r="MZ111" s="34"/>
      <c r="NA111" s="34"/>
      <c r="NB111" s="34"/>
      <c r="NC111" s="34"/>
      <c r="ND111" s="34"/>
      <c r="NE111" s="34"/>
      <c r="NF111" s="34"/>
      <c r="NG111" s="34"/>
      <c r="NH111" s="34"/>
      <c r="NI111" s="34"/>
      <c r="NJ111" s="34"/>
      <c r="NK111" s="34"/>
      <c r="NL111" s="34"/>
      <c r="NM111" s="34"/>
      <c r="NN111" s="34"/>
      <c r="NO111" s="34"/>
      <c r="NP111" s="34"/>
      <c r="NQ111" s="34"/>
      <c r="NR111" s="34"/>
      <c r="NS111" s="34"/>
      <c r="NT111" s="34"/>
      <c r="NU111" s="34"/>
      <c r="NV111" s="34"/>
      <c r="NW111" s="34"/>
      <c r="NX111" s="34"/>
      <c r="NY111" s="34"/>
      <c r="NZ111" s="34"/>
      <c r="OA111" s="34"/>
      <c r="OB111" s="34"/>
      <c r="OC111" s="34"/>
      <c r="OD111" s="34"/>
      <c r="OE111" s="34"/>
      <c r="OF111" s="34"/>
      <c r="OG111" s="34"/>
      <c r="OH111" s="34"/>
      <c r="OI111" s="34"/>
      <c r="OJ111" s="34"/>
      <c r="OK111" s="34"/>
      <c r="OL111" s="34"/>
      <c r="OM111" s="34"/>
      <c r="ON111" s="34"/>
      <c r="OO111" s="34"/>
      <c r="OP111" s="34"/>
      <c r="OQ111" s="34"/>
      <c r="OR111" s="34"/>
      <c r="OS111" s="34"/>
      <c r="OT111" s="34"/>
      <c r="OU111" s="34"/>
      <c r="OV111" s="34"/>
      <c r="OW111" s="34"/>
      <c r="OX111" s="34"/>
      <c r="OY111" s="34"/>
      <c r="OZ111" s="34"/>
      <c r="PA111" s="34"/>
      <c r="PB111" s="34"/>
      <c r="PC111" s="34"/>
      <c r="PD111" s="34"/>
      <c r="PE111" s="34"/>
      <c r="PF111" s="34"/>
      <c r="PG111" s="34"/>
      <c r="PH111" s="34"/>
      <c r="PI111" s="34"/>
      <c r="PJ111" s="34"/>
      <c r="PK111" s="34"/>
      <c r="PL111" s="34"/>
      <c r="PM111" s="34"/>
      <c r="PN111" s="34"/>
      <c r="PO111" s="34"/>
      <c r="PP111" s="34"/>
      <c r="PQ111" s="34"/>
      <c r="PR111" s="34"/>
      <c r="PS111" s="34"/>
      <c r="PT111" s="34"/>
      <c r="PU111" s="34"/>
      <c r="PV111" s="34"/>
      <c r="PW111" s="34"/>
      <c r="PX111" s="34"/>
      <c r="PY111" s="34"/>
      <c r="PZ111" s="34"/>
      <c r="QA111" s="34"/>
      <c r="QB111" s="34"/>
      <c r="QC111" s="34"/>
      <c r="QD111" s="34"/>
      <c r="QE111" s="34"/>
      <c r="QF111" s="34"/>
      <c r="QG111" s="34"/>
      <c r="QH111" s="34"/>
      <c r="QI111" s="34"/>
      <c r="QJ111" s="34"/>
      <c r="QK111" s="34"/>
      <c r="QL111" s="34"/>
      <c r="QM111" s="34"/>
      <c r="QN111" s="34"/>
      <c r="QO111" s="34"/>
      <c r="QP111" s="34"/>
      <c r="QQ111" s="34"/>
      <c r="QR111" s="34"/>
      <c r="QS111" s="34"/>
      <c r="QT111" s="34"/>
      <c r="QU111" s="34"/>
      <c r="QV111" s="34"/>
      <c r="QW111" s="34"/>
      <c r="QX111" s="34"/>
      <c r="QY111" s="34"/>
      <c r="QZ111" s="34"/>
      <c r="RA111" s="34"/>
      <c r="RB111" s="34"/>
      <c r="RC111" s="34"/>
      <c r="RD111" s="34"/>
      <c r="RE111" s="34"/>
      <c r="RF111" s="34"/>
      <c r="RG111" s="34"/>
      <c r="RH111" s="34"/>
      <c r="RI111" s="34"/>
      <c r="RJ111" s="34"/>
      <c r="RK111" s="34"/>
      <c r="RL111" s="34"/>
      <c r="RM111" s="34"/>
      <c r="RN111" s="34"/>
      <c r="RO111" s="34"/>
      <c r="RP111" s="34"/>
      <c r="RQ111" s="34"/>
      <c r="RR111" s="34"/>
      <c r="RS111" s="34"/>
      <c r="RT111" s="34"/>
      <c r="RU111" s="34"/>
      <c r="RV111" s="34"/>
      <c r="RW111" s="34"/>
      <c r="RX111" s="34"/>
      <c r="RY111" s="34"/>
      <c r="RZ111" s="34"/>
      <c r="SA111" s="34"/>
      <c r="SB111" s="34"/>
      <c r="SC111" s="34"/>
      <c r="SD111" s="34"/>
      <c r="SE111" s="34"/>
      <c r="SF111" s="34"/>
      <c r="SG111" s="34"/>
      <c r="SH111" s="34"/>
      <c r="SI111" s="34"/>
      <c r="SJ111" s="34"/>
      <c r="SK111" s="34"/>
      <c r="SL111" s="34"/>
      <c r="SM111" s="34"/>
      <c r="SN111" s="34"/>
      <c r="SO111" s="34"/>
      <c r="SP111" s="34"/>
      <c r="SQ111" s="34"/>
      <c r="SR111" s="34"/>
      <c r="SS111" s="34"/>
      <c r="ST111" s="34"/>
      <c r="SU111" s="34"/>
      <c r="SV111" s="34"/>
      <c r="SW111" s="34"/>
      <c r="SX111" s="34"/>
      <c r="SY111" s="34"/>
      <c r="SZ111" s="34"/>
      <c r="TA111" s="34"/>
      <c r="TB111" s="34"/>
      <c r="TC111" s="34"/>
      <c r="TD111" s="34"/>
      <c r="TE111" s="34"/>
      <c r="TF111" s="34"/>
      <c r="TG111" s="34"/>
      <c r="TH111" s="34"/>
      <c r="TI111" s="34"/>
      <c r="TJ111" s="34"/>
      <c r="TK111" s="34"/>
      <c r="TL111" s="34"/>
      <c r="TM111" s="34"/>
      <c r="TN111" s="34"/>
      <c r="TO111" s="34"/>
      <c r="TP111" s="34"/>
      <c r="TQ111" s="34"/>
      <c r="TR111" s="34"/>
      <c r="TS111" s="34"/>
      <c r="TT111" s="34"/>
      <c r="TU111" s="34"/>
      <c r="TV111" s="34"/>
      <c r="TW111" s="34"/>
      <c r="TX111" s="34"/>
      <c r="TY111" s="34"/>
      <c r="TZ111" s="34"/>
      <c r="UA111" s="34"/>
      <c r="UB111" s="34"/>
      <c r="UC111" s="34"/>
      <c r="UD111" s="34"/>
      <c r="UE111" s="34"/>
      <c r="UF111" s="34"/>
      <c r="UG111" s="34"/>
      <c r="UH111" s="34"/>
      <c r="UI111" s="34"/>
      <c r="UJ111" s="34"/>
      <c r="UK111" s="34"/>
      <c r="UL111" s="34"/>
      <c r="UM111" s="34"/>
      <c r="UN111" s="34"/>
      <c r="UO111" s="34"/>
      <c r="UP111" s="34"/>
      <c r="UQ111" s="34"/>
      <c r="UR111" s="34"/>
      <c r="US111" s="34"/>
      <c r="UT111" s="34"/>
      <c r="UU111" s="34"/>
      <c r="UV111" s="34"/>
      <c r="UW111" s="34"/>
      <c r="UX111" s="34"/>
      <c r="UY111" s="34"/>
      <c r="UZ111" s="34"/>
      <c r="VA111" s="34"/>
      <c r="VB111" s="34"/>
      <c r="VC111" s="34"/>
      <c r="VD111" s="34"/>
      <c r="VE111" s="34"/>
      <c r="VF111" s="34"/>
      <c r="VG111" s="34"/>
      <c r="VH111" s="34"/>
      <c r="VI111" s="34"/>
      <c r="VJ111" s="34"/>
      <c r="VK111" s="34"/>
      <c r="VL111" s="34"/>
      <c r="VM111" s="34"/>
      <c r="VN111" s="34"/>
      <c r="VO111" s="34"/>
      <c r="VP111" s="34"/>
      <c r="VQ111" s="34"/>
      <c r="VR111" s="34"/>
      <c r="VS111" s="34"/>
      <c r="VT111" s="34"/>
      <c r="VU111" s="34"/>
      <c r="VV111" s="34"/>
      <c r="VW111" s="34"/>
      <c r="VX111" s="34"/>
      <c r="VY111" s="34"/>
      <c r="VZ111" s="34"/>
      <c r="WA111" s="34"/>
      <c r="WB111" s="34"/>
      <c r="WC111" s="34"/>
      <c r="WD111" s="34"/>
      <c r="WE111" s="34"/>
      <c r="WF111" s="34"/>
      <c r="WG111" s="34"/>
      <c r="WH111" s="34"/>
      <c r="WI111" s="34"/>
      <c r="WJ111" s="34"/>
      <c r="WK111" s="34"/>
      <c r="WL111" s="34"/>
      <c r="WM111" s="34"/>
      <c r="WN111" s="34"/>
      <c r="WO111" s="34"/>
      <c r="WP111" s="34"/>
      <c r="WQ111" s="34"/>
      <c r="WR111" s="34"/>
      <c r="WS111" s="34"/>
      <c r="WT111" s="34"/>
      <c r="WU111" s="34"/>
      <c r="WV111" s="34"/>
      <c r="WW111" s="34"/>
      <c r="WX111" s="34"/>
      <c r="WY111" s="34"/>
      <c r="WZ111" s="34"/>
      <c r="XA111" s="34"/>
      <c r="XB111" s="34"/>
      <c r="XC111" s="34"/>
      <c r="XD111" s="34"/>
      <c r="XE111" s="34"/>
      <c r="XF111" s="34"/>
      <c r="XG111" s="34"/>
      <c r="XH111" s="34"/>
      <c r="XI111" s="34"/>
      <c r="XJ111" s="34"/>
      <c r="XK111" s="34"/>
      <c r="XL111" s="34"/>
      <c r="XM111" s="34"/>
      <c r="XN111" s="34"/>
      <c r="XO111" s="34"/>
      <c r="XP111" s="34"/>
      <c r="XQ111" s="34"/>
      <c r="XR111" s="34"/>
      <c r="XS111" s="34"/>
      <c r="XT111" s="34"/>
      <c r="XU111" s="34"/>
      <c r="XV111" s="34"/>
      <c r="XW111" s="34"/>
      <c r="XX111" s="34"/>
      <c r="XY111" s="34"/>
      <c r="XZ111" s="34"/>
      <c r="YA111" s="34"/>
      <c r="YB111" s="34"/>
      <c r="YC111" s="34"/>
      <c r="YD111" s="34"/>
      <c r="YE111" s="34"/>
      <c r="YF111" s="34"/>
      <c r="YG111" s="34"/>
      <c r="YH111" s="34"/>
      <c r="YI111" s="34"/>
      <c r="YJ111" s="34"/>
      <c r="YK111" s="34"/>
      <c r="YL111" s="34"/>
      <c r="YM111" s="34"/>
      <c r="YN111" s="34"/>
      <c r="YO111" s="34"/>
      <c r="YP111" s="34"/>
      <c r="YQ111" s="34"/>
      <c r="YR111" s="34"/>
      <c r="YS111" s="34"/>
      <c r="YT111" s="34"/>
      <c r="YU111" s="34"/>
      <c r="YV111" s="34"/>
      <c r="YW111" s="34"/>
      <c r="YX111" s="34"/>
      <c r="YY111" s="34"/>
      <c r="YZ111" s="34"/>
      <c r="ZA111" s="34"/>
      <c r="ZB111" s="34"/>
      <c r="ZC111" s="34"/>
      <c r="ZD111" s="34"/>
      <c r="ZE111" s="34"/>
      <c r="ZF111" s="34"/>
      <c r="ZG111" s="34"/>
      <c r="ZH111" s="34"/>
      <c r="ZI111" s="34"/>
      <c r="ZJ111" s="34"/>
      <c r="ZK111" s="34"/>
      <c r="ZL111" s="34"/>
      <c r="ZM111" s="34"/>
      <c r="ZN111" s="34"/>
      <c r="ZO111" s="34"/>
      <c r="ZP111" s="34"/>
      <c r="ZQ111" s="34"/>
      <c r="ZR111" s="34"/>
      <c r="ZS111" s="34"/>
      <c r="ZT111" s="34"/>
      <c r="ZU111" s="34"/>
      <c r="ZV111" s="34"/>
      <c r="ZW111" s="34"/>
      <c r="ZX111" s="34"/>
      <c r="ZY111" s="34"/>
      <c r="ZZ111" s="34"/>
      <c r="AAA111" s="34"/>
      <c r="AAB111" s="34"/>
      <c r="AAC111" s="34"/>
      <c r="AAD111" s="34"/>
      <c r="AAE111" s="34"/>
      <c r="AAF111" s="34"/>
      <c r="AAG111" s="34"/>
      <c r="AAH111" s="34"/>
      <c r="AAI111" s="34"/>
      <c r="AAJ111" s="34"/>
      <c r="AAK111" s="34"/>
      <c r="AAL111" s="34"/>
      <c r="AAM111" s="34"/>
      <c r="AAN111" s="34"/>
      <c r="AAO111" s="34"/>
      <c r="AAP111" s="34"/>
      <c r="AAQ111" s="34"/>
      <c r="AAR111" s="34"/>
      <c r="AAS111" s="34"/>
      <c r="AAT111" s="34"/>
      <c r="AAU111" s="34"/>
      <c r="AAV111" s="34"/>
      <c r="AAW111" s="34"/>
      <c r="AAX111" s="34"/>
      <c r="AAY111" s="34"/>
      <c r="AAZ111" s="34"/>
      <c r="ABA111" s="34"/>
      <c r="ABB111" s="34"/>
      <c r="ABC111" s="34"/>
      <c r="ABD111" s="34"/>
      <c r="ABE111" s="34"/>
      <c r="ABF111" s="34"/>
      <c r="ABG111" s="34"/>
      <c r="ABH111" s="34"/>
      <c r="ABI111" s="34"/>
      <c r="ABJ111" s="34"/>
      <c r="ABK111" s="34"/>
      <c r="ABL111" s="34"/>
      <c r="ABM111" s="34"/>
      <c r="ABN111" s="34"/>
      <c r="ABO111" s="34"/>
      <c r="ABP111" s="34"/>
      <c r="ABQ111" s="34"/>
      <c r="ABR111" s="34"/>
      <c r="ABS111" s="34"/>
      <c r="ABT111" s="34"/>
      <c r="ABU111" s="34"/>
      <c r="ABV111" s="34"/>
      <c r="ABW111" s="34"/>
      <c r="ABX111" s="34"/>
      <c r="ABY111" s="34"/>
      <c r="ABZ111" s="34"/>
      <c r="ACA111" s="34"/>
      <c r="ACB111" s="34"/>
      <c r="ACC111" s="34"/>
      <c r="ACD111" s="34"/>
      <c r="ACE111" s="34"/>
      <c r="ACF111" s="34"/>
      <c r="ACG111" s="34"/>
      <c r="ACH111" s="34"/>
      <c r="ACI111" s="34"/>
      <c r="ACJ111" s="34"/>
      <c r="ACK111" s="34"/>
      <c r="ACL111" s="34"/>
      <c r="ACM111" s="34"/>
      <c r="ACN111" s="34"/>
      <c r="ACO111" s="34"/>
      <c r="ACP111" s="34"/>
      <c r="ACQ111" s="34"/>
      <c r="ACR111" s="34"/>
      <c r="ACS111" s="34"/>
      <c r="ACT111" s="34"/>
      <c r="ACU111" s="34"/>
      <c r="ACV111" s="34"/>
      <c r="ACW111" s="34"/>
      <c r="ACX111" s="34"/>
      <c r="ACY111" s="34"/>
      <c r="ACZ111" s="34"/>
      <c r="ADA111" s="34"/>
      <c r="ADB111" s="34"/>
      <c r="ADC111" s="34"/>
      <c r="ADD111" s="34"/>
      <c r="ADE111" s="34"/>
      <c r="ADF111" s="34"/>
      <c r="ADG111" s="34"/>
      <c r="ADH111" s="34"/>
      <c r="ADI111" s="34"/>
      <c r="ADJ111" s="34"/>
      <c r="ADK111" s="34"/>
      <c r="ADL111" s="34"/>
      <c r="ADM111" s="34"/>
      <c r="ADN111" s="34"/>
      <c r="ADO111" s="34"/>
      <c r="ADP111" s="34"/>
      <c r="ADQ111" s="34"/>
      <c r="ADR111" s="34"/>
      <c r="ADS111" s="34"/>
      <c r="ADT111" s="34"/>
      <c r="ADU111" s="34"/>
      <c r="ADV111" s="34"/>
      <c r="ADW111" s="34"/>
      <c r="ADX111" s="34"/>
      <c r="ADY111" s="34"/>
      <c r="ADZ111" s="34"/>
      <c r="AEA111" s="34"/>
      <c r="AEB111" s="34"/>
      <c r="AEC111" s="34"/>
      <c r="AED111" s="34"/>
      <c r="AEE111" s="34"/>
      <c r="AEF111" s="34"/>
      <c r="AEG111" s="34"/>
      <c r="AEH111" s="34"/>
      <c r="AEI111" s="34"/>
      <c r="AEJ111" s="34"/>
      <c r="AEK111" s="34"/>
      <c r="AEL111" s="34"/>
      <c r="AEM111" s="34"/>
      <c r="AEN111" s="34"/>
      <c r="AEO111" s="34"/>
      <c r="AEP111" s="34"/>
      <c r="AEQ111" s="34"/>
      <c r="AER111" s="34"/>
      <c r="AES111" s="34"/>
      <c r="AET111" s="34"/>
      <c r="AEU111" s="34"/>
      <c r="AEV111" s="34"/>
      <c r="AEW111" s="34"/>
      <c r="AEX111" s="34"/>
      <c r="AEY111" s="34"/>
      <c r="AEZ111" s="34"/>
      <c r="AFA111" s="34"/>
      <c r="AFB111" s="34"/>
      <c r="AFC111" s="34"/>
      <c r="AFD111" s="34"/>
      <c r="AFE111" s="34"/>
      <c r="AFF111" s="34"/>
      <c r="AFG111" s="34"/>
      <c r="AFH111" s="34"/>
      <c r="AFI111" s="34"/>
      <c r="AFJ111" s="34"/>
      <c r="AFK111" s="34"/>
      <c r="AFL111" s="34"/>
      <c r="AFM111" s="34"/>
      <c r="AFN111" s="34"/>
      <c r="AFO111" s="34"/>
      <c r="AFP111" s="34"/>
      <c r="AFQ111" s="34"/>
      <c r="AFR111" s="34"/>
      <c r="AFS111" s="34"/>
      <c r="AFT111" s="34"/>
      <c r="AFU111" s="34"/>
      <c r="AFV111" s="34"/>
      <c r="AFW111" s="34"/>
      <c r="AFX111" s="34"/>
      <c r="AFY111" s="34"/>
      <c r="AFZ111" s="34"/>
      <c r="AGA111" s="34"/>
      <c r="AGB111" s="34"/>
      <c r="AGC111" s="34"/>
      <c r="AGD111" s="34"/>
      <c r="AGE111" s="34"/>
      <c r="AGF111" s="34"/>
      <c r="AGG111" s="34"/>
      <c r="AGH111" s="34"/>
      <c r="AGI111" s="34"/>
      <c r="AGJ111" s="34"/>
      <c r="AGK111" s="34"/>
      <c r="AGL111" s="34"/>
      <c r="AGM111" s="34"/>
      <c r="AGN111" s="34"/>
      <c r="AGO111" s="34"/>
      <c r="AGP111" s="34"/>
      <c r="AGQ111" s="34"/>
      <c r="AGR111" s="34"/>
      <c r="AGS111" s="34"/>
      <c r="AGT111" s="34"/>
      <c r="AGU111" s="34"/>
      <c r="AGV111" s="34"/>
      <c r="AGW111" s="34"/>
      <c r="AGX111" s="34"/>
      <c r="AGY111" s="34"/>
      <c r="AGZ111" s="34"/>
      <c r="AHA111" s="34"/>
      <c r="AHB111" s="34"/>
      <c r="AHC111" s="34"/>
      <c r="AHD111" s="34"/>
      <c r="AHE111" s="34"/>
      <c r="AHF111" s="34"/>
      <c r="AHG111" s="34"/>
      <c r="AHH111" s="34"/>
      <c r="AHI111" s="34"/>
      <c r="AHJ111" s="34"/>
      <c r="AHK111" s="34"/>
      <c r="AHL111" s="34"/>
      <c r="AHM111" s="34"/>
      <c r="AHN111" s="34"/>
      <c r="AHO111" s="34"/>
      <c r="AHP111" s="34"/>
      <c r="AHQ111" s="34"/>
      <c r="AHR111" s="34"/>
      <c r="AHS111" s="34"/>
      <c r="AHT111" s="34"/>
      <c r="AHU111" s="34"/>
      <c r="AHV111" s="34"/>
      <c r="AHW111" s="34"/>
      <c r="AHX111" s="34"/>
      <c r="AHY111" s="34"/>
      <c r="AHZ111" s="34"/>
      <c r="AIA111" s="34"/>
      <c r="AIB111" s="34"/>
      <c r="AIC111" s="34"/>
      <c r="AID111" s="34"/>
      <c r="AIE111" s="34"/>
      <c r="AIF111" s="34"/>
      <c r="AIG111" s="34"/>
      <c r="AIH111" s="34"/>
      <c r="AII111" s="34"/>
      <c r="AIJ111" s="34"/>
      <c r="AIK111" s="34"/>
      <c r="AIL111" s="34"/>
      <c r="AIM111" s="34"/>
      <c r="AIN111" s="34"/>
      <c r="AIO111" s="34"/>
      <c r="AIP111" s="34"/>
      <c r="AIQ111" s="34"/>
      <c r="AIR111" s="34"/>
      <c r="AIS111" s="34"/>
      <c r="AIT111" s="34"/>
      <c r="AIU111" s="34"/>
      <c r="AIV111" s="34"/>
      <c r="AIW111" s="34"/>
      <c r="AIX111" s="34"/>
      <c r="AIY111" s="34"/>
      <c r="AIZ111" s="34"/>
      <c r="AJA111" s="34"/>
      <c r="AJB111" s="34"/>
      <c r="AJC111" s="34"/>
      <c r="AJD111" s="34"/>
      <c r="AJE111" s="34"/>
      <c r="AJF111" s="34"/>
      <c r="AJG111" s="34"/>
      <c r="AJH111" s="34"/>
      <c r="AJI111" s="34"/>
      <c r="AJJ111" s="34"/>
      <c r="AJK111" s="34"/>
      <c r="AJL111" s="34"/>
      <c r="AJM111" s="34"/>
      <c r="AJN111" s="34"/>
      <c r="AJO111" s="34"/>
      <c r="AJP111" s="34"/>
      <c r="AJQ111" s="34"/>
      <c r="AJR111" s="34"/>
      <c r="AJS111" s="34"/>
      <c r="AJT111" s="34"/>
      <c r="AJU111" s="34"/>
      <c r="AJV111" s="34"/>
      <c r="AJW111" s="34"/>
      <c r="AJX111" s="34"/>
      <c r="AJY111" s="34"/>
      <c r="AJZ111" s="34"/>
      <c r="AKA111" s="34"/>
      <c r="AKB111" s="34"/>
      <c r="AKC111" s="34"/>
      <c r="AKD111" s="34"/>
      <c r="AKE111" s="34"/>
      <c r="AKF111" s="34"/>
      <c r="AKG111" s="34"/>
      <c r="AKH111" s="34"/>
      <c r="AKI111" s="34"/>
      <c r="AKJ111" s="34"/>
      <c r="AKK111" s="34"/>
      <c r="AKL111" s="34"/>
      <c r="AKM111" s="34"/>
      <c r="AKN111" s="34"/>
      <c r="AKO111" s="34"/>
      <c r="AKP111" s="34"/>
      <c r="AKQ111" s="34"/>
      <c r="AKR111" s="34"/>
      <c r="AKS111" s="34"/>
      <c r="AKT111" s="34"/>
      <c r="AKU111" s="34"/>
      <c r="AKV111" s="34"/>
      <c r="AKW111" s="34"/>
      <c r="AKX111" s="34"/>
      <c r="AKY111" s="34"/>
      <c r="AKZ111" s="34"/>
      <c r="ALA111" s="34"/>
      <c r="ALB111" s="34"/>
      <c r="ALC111" s="34"/>
      <c r="ALD111" s="34"/>
      <c r="ALE111" s="34"/>
      <c r="ALF111" s="34"/>
      <c r="ALG111" s="34"/>
      <c r="ALH111" s="34"/>
      <c r="ALI111" s="34"/>
      <c r="ALJ111" s="34"/>
      <c r="ALK111" s="34"/>
      <c r="ALL111" s="34"/>
      <c r="ALM111" s="34"/>
      <c r="ALN111" s="34"/>
      <c r="ALO111" s="34"/>
      <c r="ALP111" s="34"/>
      <c r="ALQ111" s="34"/>
      <c r="ALR111" s="34"/>
      <c r="ALS111" s="34"/>
      <c r="ALT111" s="34"/>
      <c r="ALU111" s="34"/>
      <c r="ALV111" s="34"/>
      <c r="ALW111" s="34"/>
      <c r="ALX111" s="34"/>
      <c r="ALY111" s="34"/>
      <c r="ALZ111" s="34"/>
      <c r="AMA111" s="34"/>
      <c r="AMB111" s="34"/>
      <c r="AMC111" s="34"/>
      <c r="AMD111" s="34"/>
      <c r="AME111" s="34"/>
      <c r="AMF111" s="34"/>
      <c r="AMG111" s="34"/>
      <c r="AMH111" s="34"/>
      <c r="AMI111" s="34"/>
      <c r="AMJ111" s="34"/>
      <c r="AMK111" s="34"/>
      <c r="AML111" s="34"/>
    </row>
    <row r="112" spans="1:1027" x14ac:dyDescent="0.2">
      <c r="A112" s="1" t="s">
        <v>504</v>
      </c>
      <c r="B112" s="1" t="s">
        <v>674</v>
      </c>
      <c r="D112" s="1">
        <v>37</v>
      </c>
      <c r="E112" s="10" t="s">
        <v>506</v>
      </c>
      <c r="F112" s="10" t="s">
        <v>508</v>
      </c>
      <c r="G112" s="11" t="s">
        <v>508</v>
      </c>
      <c r="H112" s="10" t="s">
        <v>507</v>
      </c>
      <c r="J112" s="10" t="s">
        <v>507</v>
      </c>
      <c r="L112" s="26"/>
      <c r="AA112" s="30"/>
      <c r="AB112" s="30"/>
      <c r="AML112" s="29"/>
    </row>
    <row r="113" spans="1:75 1026:1026" s="29" customFormat="1" x14ac:dyDescent="0.2">
      <c r="A113" s="18">
        <v>1</v>
      </c>
      <c r="B113" s="18" t="s">
        <v>61</v>
      </c>
      <c r="C113" s="18"/>
      <c r="D113" s="18">
        <v>32</v>
      </c>
      <c r="E113" s="42" t="s">
        <v>507</v>
      </c>
      <c r="F113" s="42" t="s">
        <v>507</v>
      </c>
      <c r="G113" s="43" t="s">
        <v>507</v>
      </c>
      <c r="H113" s="42" t="s">
        <v>507</v>
      </c>
      <c r="I113" s="42" t="s">
        <v>507</v>
      </c>
      <c r="J113" s="42" t="s">
        <v>507</v>
      </c>
      <c r="K113" s="21" t="s">
        <v>509</v>
      </c>
      <c r="L113" s="18"/>
      <c r="M113" s="1" t="s">
        <v>510</v>
      </c>
      <c r="N113" s="1"/>
      <c r="O113" s="18"/>
      <c r="P113" s="18"/>
      <c r="Q113" s="18"/>
      <c r="R113" s="18" t="s">
        <v>507</v>
      </c>
      <c r="S113" s="13"/>
      <c r="T113" s="1"/>
    </row>
    <row r="114" spans="1:75 1026:1026" s="18" customFormat="1" x14ac:dyDescent="0.2">
      <c r="A114" s="1">
        <v>2</v>
      </c>
      <c r="B114" s="1" t="s">
        <v>226</v>
      </c>
      <c r="C114" s="1" t="s">
        <v>228</v>
      </c>
      <c r="D114" s="1">
        <v>172</v>
      </c>
      <c r="E114" s="10" t="s">
        <v>507</v>
      </c>
      <c r="F114" s="10" t="s">
        <v>508</v>
      </c>
      <c r="G114" s="11" t="s">
        <v>508</v>
      </c>
      <c r="H114" s="10"/>
      <c r="I114" s="10"/>
      <c r="J114" s="10" t="s">
        <v>507</v>
      </c>
      <c r="K114" s="12"/>
      <c r="L114" s="26"/>
      <c r="M114" s="1"/>
      <c r="N114" s="1"/>
      <c r="O114" s="1"/>
      <c r="P114" s="1"/>
      <c r="Q114" s="1"/>
      <c r="R114" s="1"/>
      <c r="S114" s="13"/>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75 1026:1026" x14ac:dyDescent="0.2">
      <c r="A115" s="18">
        <v>1</v>
      </c>
      <c r="B115" s="18" t="s">
        <v>675</v>
      </c>
      <c r="C115" s="18" t="s">
        <v>676</v>
      </c>
      <c r="D115" s="18">
        <v>99</v>
      </c>
      <c r="E115" s="19" t="s">
        <v>507</v>
      </c>
      <c r="F115" s="19" t="s">
        <v>507</v>
      </c>
      <c r="G115" s="20" t="s">
        <v>507</v>
      </c>
      <c r="H115" s="19" t="s">
        <v>507</v>
      </c>
      <c r="I115" s="19" t="s">
        <v>507</v>
      </c>
      <c r="J115" s="19" t="s">
        <v>507</v>
      </c>
      <c r="K115" s="21" t="s">
        <v>509</v>
      </c>
      <c r="L115" s="18"/>
      <c r="M115" s="1" t="s">
        <v>510</v>
      </c>
      <c r="O115" s="18"/>
      <c r="P115" s="18"/>
      <c r="Q115" s="18"/>
      <c r="R115" s="18" t="s">
        <v>677</v>
      </c>
      <c r="S115" s="13" t="s">
        <v>640</v>
      </c>
      <c r="T115" s="6"/>
      <c r="AML115" s="18"/>
    </row>
    <row r="116" spans="1:75 1026:1026" s="18" customFormat="1" x14ac:dyDescent="0.2">
      <c r="A116" s="29" t="s">
        <v>678</v>
      </c>
      <c r="B116" s="29" t="s">
        <v>679</v>
      </c>
      <c r="C116" s="29"/>
      <c r="D116" s="29">
        <v>41</v>
      </c>
      <c r="E116" s="64" t="s">
        <v>507</v>
      </c>
      <c r="F116" s="65" t="s">
        <v>508</v>
      </c>
      <c r="G116" s="66" t="s">
        <v>508</v>
      </c>
      <c r="H116" s="65"/>
      <c r="I116" s="65"/>
      <c r="J116" s="65" t="s">
        <v>507</v>
      </c>
      <c r="K116" s="23"/>
      <c r="L116" s="29"/>
      <c r="M116" s="1"/>
      <c r="N116" s="1"/>
      <c r="O116" s="29"/>
      <c r="P116" s="29"/>
      <c r="Q116" s="29"/>
      <c r="R116" s="29"/>
      <c r="S116" s="52" t="s">
        <v>680</v>
      </c>
      <c r="T116" s="29"/>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spans="1:75 1026:1026" s="1" customFormat="1" x14ac:dyDescent="0.2">
      <c r="A117" s="1">
        <v>4</v>
      </c>
      <c r="B117" s="1" t="s">
        <v>681</v>
      </c>
      <c r="C117" s="1" t="s">
        <v>682</v>
      </c>
      <c r="D117" s="1">
        <v>169</v>
      </c>
      <c r="E117" s="24" t="s">
        <v>507</v>
      </c>
      <c r="F117" s="24">
        <v>117</v>
      </c>
      <c r="G117" s="25" t="s">
        <v>540</v>
      </c>
      <c r="H117" s="24" t="s">
        <v>507</v>
      </c>
      <c r="I117" s="24"/>
      <c r="J117" s="24" t="s">
        <v>507</v>
      </c>
      <c r="K117" s="12"/>
      <c r="S117" s="13" t="s">
        <v>683</v>
      </c>
      <c r="T117" s="6"/>
    </row>
    <row r="118" spans="1:75 1026:1026" x14ac:dyDescent="0.2">
      <c r="A118" s="18">
        <v>3</v>
      </c>
      <c r="B118" s="18" t="s">
        <v>684</v>
      </c>
      <c r="C118" s="18" t="s">
        <v>233</v>
      </c>
      <c r="D118" s="18">
        <v>138</v>
      </c>
      <c r="E118" s="19" t="s">
        <v>507</v>
      </c>
      <c r="F118" s="19" t="s">
        <v>507</v>
      </c>
      <c r="G118" s="20" t="s">
        <v>540</v>
      </c>
      <c r="H118" s="19" t="s">
        <v>507</v>
      </c>
      <c r="I118" s="19" t="s">
        <v>507</v>
      </c>
      <c r="J118" s="19" t="s">
        <v>507</v>
      </c>
      <c r="K118" s="21" t="s">
        <v>509</v>
      </c>
      <c r="L118" s="18"/>
      <c r="M118" s="1" t="s">
        <v>510</v>
      </c>
      <c r="O118" s="18"/>
      <c r="P118" s="18"/>
      <c r="Q118" s="18"/>
      <c r="R118" s="18"/>
      <c r="AA118" s="30"/>
      <c r="AB118" s="30"/>
      <c r="AML118" s="29"/>
    </row>
    <row r="119" spans="1:75 1026:1026" s="18" customFormat="1" x14ac:dyDescent="0.2">
      <c r="A119" s="18">
        <v>4</v>
      </c>
      <c r="B119" s="18" t="s">
        <v>685</v>
      </c>
      <c r="C119" s="18" t="s">
        <v>686</v>
      </c>
      <c r="D119" s="18">
        <v>42</v>
      </c>
      <c r="E119" s="42" t="s">
        <v>507</v>
      </c>
      <c r="F119" s="42" t="s">
        <v>507</v>
      </c>
      <c r="G119" s="20" t="s">
        <v>508</v>
      </c>
      <c r="H119" s="18" t="s">
        <v>507</v>
      </c>
      <c r="I119" s="18" t="s">
        <v>507</v>
      </c>
      <c r="J119" s="19" t="s">
        <v>507</v>
      </c>
      <c r="K119" s="21" t="s">
        <v>509</v>
      </c>
      <c r="M119" s="1" t="s">
        <v>510</v>
      </c>
      <c r="N119" s="1"/>
      <c r="S119" s="13"/>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spans="1:75 1026:1026" s="18" customFormat="1" x14ac:dyDescent="0.2">
      <c r="A120" s="18">
        <v>2</v>
      </c>
      <c r="B120" s="18" t="s">
        <v>687</v>
      </c>
      <c r="C120" s="18" t="s">
        <v>236</v>
      </c>
      <c r="D120" s="18">
        <v>34</v>
      </c>
      <c r="E120" s="19" t="s">
        <v>507</v>
      </c>
      <c r="F120" s="19" t="s">
        <v>507</v>
      </c>
      <c r="G120" s="20" t="s">
        <v>507</v>
      </c>
      <c r="H120" s="18" t="s">
        <v>507</v>
      </c>
      <c r="I120" s="18" t="s">
        <v>507</v>
      </c>
      <c r="J120" s="19" t="s">
        <v>507</v>
      </c>
      <c r="K120" s="21" t="s">
        <v>509</v>
      </c>
      <c r="M120" s="1" t="s">
        <v>510</v>
      </c>
      <c r="N120" s="1"/>
      <c r="S120" s="13"/>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spans="1:75 1026:1026" s="18" customFormat="1" x14ac:dyDescent="0.2">
      <c r="A121" s="18" t="s">
        <v>504</v>
      </c>
      <c r="B121" s="18" t="s">
        <v>688</v>
      </c>
      <c r="D121" s="18">
        <v>145</v>
      </c>
      <c r="E121" s="19" t="s">
        <v>506</v>
      </c>
      <c r="F121" s="19" t="s">
        <v>507</v>
      </c>
      <c r="G121" s="20" t="s">
        <v>540</v>
      </c>
      <c r="H121" s="18" t="s">
        <v>507</v>
      </c>
      <c r="I121" s="18" t="s">
        <v>507</v>
      </c>
      <c r="J121" s="19" t="s">
        <v>507</v>
      </c>
      <c r="K121" s="21" t="s">
        <v>509</v>
      </c>
      <c r="M121" s="1" t="s">
        <v>510</v>
      </c>
      <c r="N121" s="1"/>
      <c r="Q121" s="18" t="s">
        <v>527</v>
      </c>
      <c r="S121" s="13"/>
      <c r="T121" s="6"/>
      <c r="U121" s="1"/>
      <c r="V121" s="1"/>
      <c r="W121" s="1"/>
      <c r="X121" s="1"/>
      <c r="Y121" s="1"/>
      <c r="Z121" s="1"/>
      <c r="AA121" s="30"/>
      <c r="AB121" s="30"/>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spans="1:75 1026:1026" s="18" customFormat="1" x14ac:dyDescent="0.2">
      <c r="A122" s="1" t="s">
        <v>521</v>
      </c>
      <c r="B122" s="1" t="s">
        <v>689</v>
      </c>
      <c r="C122" s="1"/>
      <c r="D122" s="1">
        <v>324</v>
      </c>
      <c r="E122" s="10" t="s">
        <v>506</v>
      </c>
      <c r="F122" s="10" t="s">
        <v>508</v>
      </c>
      <c r="G122" s="11" t="s">
        <v>508</v>
      </c>
      <c r="H122" s="1" t="s">
        <v>507</v>
      </c>
      <c r="I122" s="1"/>
      <c r="J122" s="10" t="s">
        <v>507</v>
      </c>
      <c r="K122" s="12"/>
      <c r="L122" s="26"/>
      <c r="M122" s="1"/>
      <c r="N122" s="1"/>
      <c r="O122" s="1"/>
      <c r="P122" s="1"/>
      <c r="Q122" s="1"/>
      <c r="R122" s="1"/>
      <c r="S122" s="13"/>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spans="1:75 1026:1026" s="18" customFormat="1" x14ac:dyDescent="0.2">
      <c r="A123" s="18">
        <v>2</v>
      </c>
      <c r="B123" s="18" t="s">
        <v>690</v>
      </c>
      <c r="C123" s="18" t="s">
        <v>240</v>
      </c>
      <c r="D123" s="18">
        <v>14</v>
      </c>
      <c r="E123" s="42" t="s">
        <v>507</v>
      </c>
      <c r="F123" s="42" t="s">
        <v>507</v>
      </c>
      <c r="G123" s="43" t="s">
        <v>507</v>
      </c>
      <c r="H123" s="42" t="s">
        <v>507</v>
      </c>
      <c r="I123" s="42" t="s">
        <v>507</v>
      </c>
      <c r="J123" s="42" t="s">
        <v>507</v>
      </c>
      <c r="K123" s="21" t="s">
        <v>509</v>
      </c>
      <c r="M123" s="1" t="s">
        <v>510</v>
      </c>
      <c r="N123" s="1"/>
      <c r="S123" s="13"/>
      <c r="T123" s="33"/>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spans="1:75 1026:1026" s="31" customFormat="1" x14ac:dyDescent="0.2">
      <c r="A124" s="54">
        <v>2</v>
      </c>
      <c r="B124" s="18" t="s">
        <v>242</v>
      </c>
      <c r="C124" s="18" t="s">
        <v>244</v>
      </c>
      <c r="D124" s="18">
        <v>63</v>
      </c>
      <c r="E124" s="42" t="s">
        <v>507</v>
      </c>
      <c r="F124" s="42" t="s">
        <v>507</v>
      </c>
      <c r="G124" s="43" t="s">
        <v>508</v>
      </c>
      <c r="H124" s="42" t="s">
        <v>507</v>
      </c>
      <c r="I124" s="42" t="s">
        <v>507</v>
      </c>
      <c r="J124" s="42" t="s">
        <v>507</v>
      </c>
      <c r="K124" s="21" t="s">
        <v>509</v>
      </c>
      <c r="L124" s="18"/>
      <c r="M124" s="1" t="s">
        <v>514</v>
      </c>
      <c r="N124" s="1"/>
      <c r="O124" s="18"/>
      <c r="P124" s="18"/>
      <c r="Q124" s="18"/>
      <c r="R124" s="18"/>
      <c r="S124" s="13"/>
      <c r="T124" s="33"/>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spans="1:75 1026:1026" s="18" customFormat="1" x14ac:dyDescent="0.2">
      <c r="A125" s="18">
        <v>4</v>
      </c>
      <c r="B125" s="18" t="s">
        <v>691</v>
      </c>
      <c r="C125" s="18" t="s">
        <v>692</v>
      </c>
      <c r="D125" s="18">
        <v>48</v>
      </c>
      <c r="E125" s="42" t="s">
        <v>507</v>
      </c>
      <c r="F125" s="42" t="s">
        <v>507</v>
      </c>
      <c r="G125" s="43" t="s">
        <v>508</v>
      </c>
      <c r="H125" s="42" t="s">
        <v>507</v>
      </c>
      <c r="I125" s="42" t="s">
        <v>507</v>
      </c>
      <c r="J125" s="42" t="s">
        <v>507</v>
      </c>
      <c r="K125" s="21" t="s">
        <v>509</v>
      </c>
      <c r="M125" s="1" t="s">
        <v>514</v>
      </c>
      <c r="N125" s="1"/>
      <c r="S125" s="13"/>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spans="1:75 1026:1026" s="18" customFormat="1" x14ac:dyDescent="0.2">
      <c r="A126" s="18">
        <v>2</v>
      </c>
      <c r="B126" s="18" t="s">
        <v>693</v>
      </c>
      <c r="C126" s="18" t="s">
        <v>250</v>
      </c>
      <c r="D126" s="18">
        <v>360</v>
      </c>
      <c r="E126" s="19" t="s">
        <v>507</v>
      </c>
      <c r="F126" s="19" t="s">
        <v>507</v>
      </c>
      <c r="G126" s="20" t="s">
        <v>540</v>
      </c>
      <c r="H126" s="19" t="s">
        <v>507</v>
      </c>
      <c r="I126" s="19"/>
      <c r="J126" s="19" t="s">
        <v>507</v>
      </c>
      <c r="K126" s="21" t="s">
        <v>509</v>
      </c>
      <c r="M126" s="1" t="s">
        <v>510</v>
      </c>
      <c r="N126" s="1"/>
      <c r="S126" s="13"/>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spans="1:75 1026:1026" x14ac:dyDescent="0.2">
      <c r="A127" s="18">
        <v>4</v>
      </c>
      <c r="B127" s="28" t="s">
        <v>73</v>
      </c>
      <c r="C127" s="28" t="s">
        <v>75</v>
      </c>
      <c r="D127" s="28">
        <v>253</v>
      </c>
      <c r="E127" s="42" t="s">
        <v>507</v>
      </c>
      <c r="F127" s="42" t="s">
        <v>507</v>
      </c>
      <c r="G127" s="43" t="s">
        <v>540</v>
      </c>
      <c r="H127" s="42" t="s">
        <v>507</v>
      </c>
      <c r="I127" s="42"/>
      <c r="J127" s="67" t="s">
        <v>507</v>
      </c>
      <c r="K127" s="21" t="s">
        <v>509</v>
      </c>
      <c r="L127" s="28"/>
      <c r="M127" s="33" t="s">
        <v>694</v>
      </c>
      <c r="N127" s="33"/>
      <c r="O127" s="28"/>
      <c r="P127" s="28"/>
      <c r="Q127" s="28" t="s">
        <v>527</v>
      </c>
      <c r="R127" s="28"/>
      <c r="AA127" s="30"/>
      <c r="AB127" s="30"/>
      <c r="AML127" s="18"/>
    </row>
    <row r="128" spans="1:75 1026:1026" s="18" customFormat="1" x14ac:dyDescent="0.2">
      <c r="A128" s="1">
        <v>4</v>
      </c>
      <c r="B128" s="33" t="s">
        <v>374</v>
      </c>
      <c r="C128" s="33" t="s">
        <v>376</v>
      </c>
      <c r="D128" s="33">
        <v>100</v>
      </c>
      <c r="E128" s="24" t="s">
        <v>507</v>
      </c>
      <c r="F128" s="24" t="s">
        <v>508</v>
      </c>
      <c r="G128" s="25" t="s">
        <v>508</v>
      </c>
      <c r="H128" s="24" t="s">
        <v>507</v>
      </c>
      <c r="I128" s="24"/>
      <c r="J128" s="24" t="s">
        <v>507</v>
      </c>
      <c r="K128" s="68"/>
      <c r="L128" s="69"/>
      <c r="M128" s="33"/>
      <c r="N128" s="1"/>
      <c r="O128" s="33"/>
      <c r="P128" s="33"/>
      <c r="Q128" s="33"/>
      <c r="R128" s="33"/>
      <c r="S128" s="52" t="s">
        <v>695</v>
      </c>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75 1026:1026" s="18" customFormat="1" x14ac:dyDescent="0.2">
      <c r="A129" s="18" t="s">
        <v>504</v>
      </c>
      <c r="B129" s="18" t="s">
        <v>696</v>
      </c>
      <c r="D129" s="18">
        <v>216</v>
      </c>
      <c r="E129" s="19" t="s">
        <v>506</v>
      </c>
      <c r="F129" s="19" t="s">
        <v>507</v>
      </c>
      <c r="G129" s="20" t="s">
        <v>540</v>
      </c>
      <c r="H129" s="19" t="s">
        <v>507</v>
      </c>
      <c r="I129" s="19" t="s">
        <v>507</v>
      </c>
      <c r="J129" s="19" t="s">
        <v>507</v>
      </c>
      <c r="K129" s="21" t="s">
        <v>509</v>
      </c>
      <c r="M129" s="1" t="s">
        <v>510</v>
      </c>
      <c r="N129" s="1"/>
      <c r="S129" s="70"/>
      <c r="T129" s="6"/>
      <c r="U129" s="33"/>
      <c r="V129" s="33"/>
      <c r="W129" s="33"/>
      <c r="X129" s="33"/>
      <c r="Y129" s="33"/>
      <c r="Z129" s="33"/>
      <c r="AA129" s="30"/>
      <c r="AB129" s="30"/>
      <c r="AC129" s="33"/>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spans="1:75 1026:1026" x14ac:dyDescent="0.2">
      <c r="A130" s="18">
        <v>3</v>
      </c>
      <c r="B130" s="18" t="s">
        <v>697</v>
      </c>
      <c r="C130" s="18" t="s">
        <v>698</v>
      </c>
      <c r="D130" s="18">
        <v>86</v>
      </c>
      <c r="E130" s="42" t="s">
        <v>507</v>
      </c>
      <c r="F130" s="42" t="s">
        <v>507</v>
      </c>
      <c r="G130" s="43" t="s">
        <v>507</v>
      </c>
      <c r="H130" s="42" t="s">
        <v>507</v>
      </c>
      <c r="I130" s="42" t="s">
        <v>507</v>
      </c>
      <c r="J130" s="42" t="s">
        <v>507</v>
      </c>
      <c r="K130" s="21" t="s">
        <v>509</v>
      </c>
      <c r="L130" s="18"/>
      <c r="M130" s="1" t="s">
        <v>510</v>
      </c>
      <c r="O130" s="18"/>
      <c r="P130" s="18"/>
      <c r="Q130" s="18"/>
      <c r="R130" s="18"/>
      <c r="S130" s="70"/>
      <c r="U130" s="33"/>
      <c r="V130" s="33"/>
      <c r="W130" s="33"/>
      <c r="X130" s="33"/>
      <c r="Y130" s="33"/>
      <c r="Z130" s="33"/>
      <c r="AA130" s="30"/>
      <c r="AB130" s="30"/>
      <c r="AC130" s="33"/>
      <c r="AML130" s="18"/>
    </row>
    <row r="131" spans="1:75 1026:1026" s="18" customFormat="1" x14ac:dyDescent="0.2">
      <c r="A131" s="1" t="s">
        <v>504</v>
      </c>
      <c r="B131" s="1" t="s">
        <v>699</v>
      </c>
      <c r="C131" s="1"/>
      <c r="D131" s="1">
        <v>123</v>
      </c>
      <c r="E131" s="10" t="s">
        <v>506</v>
      </c>
      <c r="F131" s="10" t="s">
        <v>508</v>
      </c>
      <c r="G131" s="11" t="s">
        <v>508</v>
      </c>
      <c r="H131" s="10" t="s">
        <v>507</v>
      </c>
      <c r="I131" s="10"/>
      <c r="J131" s="10" t="s">
        <v>507</v>
      </c>
      <c r="K131" s="12"/>
      <c r="L131" s="18" t="s">
        <v>509</v>
      </c>
      <c r="M131" s="1"/>
      <c r="N131" s="1" t="s">
        <v>542</v>
      </c>
      <c r="O131" s="1"/>
      <c r="P131" s="1"/>
      <c r="Q131" s="1"/>
      <c r="R131" s="1"/>
      <c r="S131" s="13"/>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spans="1:75 1026:1026" s="18" customFormat="1" x14ac:dyDescent="0.2">
      <c r="A132" s="18" t="s">
        <v>504</v>
      </c>
      <c r="B132" s="18" t="s">
        <v>700</v>
      </c>
      <c r="D132" s="18">
        <v>22</v>
      </c>
      <c r="E132" s="42" t="s">
        <v>506</v>
      </c>
      <c r="F132" s="19" t="s">
        <v>507</v>
      </c>
      <c r="G132" s="20" t="s">
        <v>508</v>
      </c>
      <c r="H132" s="19" t="s">
        <v>507</v>
      </c>
      <c r="I132" s="19"/>
      <c r="J132" s="19" t="s">
        <v>507</v>
      </c>
      <c r="K132" s="23" t="s">
        <v>701</v>
      </c>
      <c r="M132" s="1" t="s">
        <v>510</v>
      </c>
      <c r="N132" s="1"/>
      <c r="Q132" s="18" t="s">
        <v>527</v>
      </c>
      <c r="S132" s="13"/>
      <c r="T132" s="6"/>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spans="1:75 1026:1026" s="31" customFormat="1" x14ac:dyDescent="0.2">
      <c r="A133" s="1">
        <v>4</v>
      </c>
      <c r="B133" s="1" t="s">
        <v>702</v>
      </c>
      <c r="C133" s="1" t="s">
        <v>703</v>
      </c>
      <c r="D133" s="1">
        <v>77</v>
      </c>
      <c r="E133" s="10" t="s">
        <v>507</v>
      </c>
      <c r="F133" s="10" t="s">
        <v>508</v>
      </c>
      <c r="G133" s="11" t="s">
        <v>508</v>
      </c>
      <c r="H133" s="10"/>
      <c r="I133" s="10"/>
      <c r="J133" s="10" t="s">
        <v>507</v>
      </c>
      <c r="K133" s="12"/>
      <c r="L133" s="26"/>
      <c r="M133" s="1"/>
      <c r="N133" s="1"/>
      <c r="O133" s="1"/>
      <c r="P133" s="1"/>
      <c r="Q133" s="1"/>
      <c r="R133" s="1"/>
      <c r="S133" s="13"/>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spans="1:75 1026:1026" s="47" customFormat="1" x14ac:dyDescent="0.2">
      <c r="A134" s="18">
        <v>1</v>
      </c>
      <c r="B134" s="18" t="s">
        <v>704</v>
      </c>
      <c r="C134" s="18"/>
      <c r="D134" s="18">
        <v>181</v>
      </c>
      <c r="E134" s="19" t="s">
        <v>507</v>
      </c>
      <c r="F134" s="19" t="s">
        <v>507</v>
      </c>
      <c r="G134" s="20" t="s">
        <v>611</v>
      </c>
      <c r="H134" s="19" t="s">
        <v>507</v>
      </c>
      <c r="I134" s="19" t="s">
        <v>507</v>
      </c>
      <c r="J134" s="19" t="s">
        <v>507</v>
      </c>
      <c r="K134" s="21" t="s">
        <v>509</v>
      </c>
      <c r="L134" s="18"/>
      <c r="M134" s="1" t="s">
        <v>510</v>
      </c>
      <c r="N134" s="1"/>
      <c r="O134" s="18"/>
      <c r="P134" s="18"/>
      <c r="Q134" s="18"/>
      <c r="R134" s="18"/>
      <c r="S134" s="13"/>
      <c r="T134" s="6"/>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spans="1:75 1026:1026" x14ac:dyDescent="0.2">
      <c r="A135" s="18">
        <v>1</v>
      </c>
      <c r="B135" s="18" t="s">
        <v>83</v>
      </c>
      <c r="C135" s="18"/>
      <c r="D135" s="18">
        <v>47</v>
      </c>
      <c r="E135" s="19" t="s">
        <v>507</v>
      </c>
      <c r="F135" s="19" t="s">
        <v>507</v>
      </c>
      <c r="G135" s="20" t="s">
        <v>507</v>
      </c>
      <c r="H135" s="19" t="s">
        <v>507</v>
      </c>
      <c r="I135" s="19" t="s">
        <v>507</v>
      </c>
      <c r="J135" s="19" t="s">
        <v>507</v>
      </c>
      <c r="K135" s="21" t="s">
        <v>509</v>
      </c>
      <c r="L135" s="18"/>
      <c r="M135" s="1" t="s">
        <v>510</v>
      </c>
      <c r="O135" s="18"/>
      <c r="P135" s="18"/>
      <c r="Q135" s="18"/>
      <c r="R135" s="18"/>
      <c r="T135" s="33"/>
      <c r="AA135" s="30"/>
      <c r="AB135" s="30"/>
      <c r="AML135" s="47"/>
    </row>
    <row r="136" spans="1:75 1026:1026" s="18" customFormat="1" x14ac:dyDescent="0.2">
      <c r="A136" s="18">
        <v>4</v>
      </c>
      <c r="B136" s="1" t="s">
        <v>705</v>
      </c>
      <c r="C136" s="18" t="s">
        <v>706</v>
      </c>
      <c r="D136" s="18">
        <v>126</v>
      </c>
      <c r="E136" s="42" t="s">
        <v>507</v>
      </c>
      <c r="F136" s="42" t="s">
        <v>507</v>
      </c>
      <c r="G136" s="43" t="s">
        <v>508</v>
      </c>
      <c r="H136" s="42" t="s">
        <v>507</v>
      </c>
      <c r="I136" s="42" t="s">
        <v>507</v>
      </c>
      <c r="J136" s="42" t="s">
        <v>507</v>
      </c>
      <c r="K136" s="21" t="s">
        <v>509</v>
      </c>
      <c r="M136" s="1" t="s">
        <v>510</v>
      </c>
      <c r="N136" s="1"/>
      <c r="S136" s="13"/>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spans="1:75 1026:1026" x14ac:dyDescent="0.2">
      <c r="A137" s="71">
        <v>2</v>
      </c>
      <c r="B137" s="1" t="s">
        <v>252</v>
      </c>
      <c r="C137" s="1" t="s">
        <v>254</v>
      </c>
      <c r="D137" s="1">
        <v>128</v>
      </c>
      <c r="E137" s="10" t="s">
        <v>507</v>
      </c>
      <c r="F137" s="10" t="s">
        <v>508</v>
      </c>
      <c r="G137" s="11" t="s">
        <v>508</v>
      </c>
      <c r="J137" s="10" t="s">
        <v>507</v>
      </c>
      <c r="L137" s="26"/>
      <c r="AML137" s="1"/>
    </row>
    <row r="138" spans="1:75 1026:1026" x14ac:dyDescent="0.2">
      <c r="A138" s="1">
        <v>4</v>
      </c>
      <c r="B138" s="1" t="s">
        <v>380</v>
      </c>
      <c r="C138" s="1" t="s">
        <v>382</v>
      </c>
      <c r="D138" s="1">
        <v>28</v>
      </c>
      <c r="E138" s="10" t="s">
        <v>507</v>
      </c>
      <c r="F138" s="10" t="s">
        <v>508</v>
      </c>
      <c r="G138" s="11" t="s">
        <v>508</v>
      </c>
      <c r="H138" s="10" t="s">
        <v>507</v>
      </c>
      <c r="J138" s="10" t="s">
        <v>507</v>
      </c>
      <c r="L138" s="18" t="s">
        <v>509</v>
      </c>
      <c r="N138" s="1" t="s">
        <v>542</v>
      </c>
      <c r="T138" s="6"/>
      <c r="AA138" s="30"/>
      <c r="AB138" s="30"/>
    </row>
    <row r="139" spans="1:75 1026:1026" x14ac:dyDescent="0.2">
      <c r="A139" s="18">
        <v>4</v>
      </c>
      <c r="B139" s="28" t="s">
        <v>256</v>
      </c>
      <c r="C139" s="28" t="s">
        <v>258</v>
      </c>
      <c r="D139" s="28">
        <v>53</v>
      </c>
      <c r="E139" s="42" t="s">
        <v>507</v>
      </c>
      <c r="F139" s="42" t="s">
        <v>507</v>
      </c>
      <c r="G139" s="43" t="s">
        <v>507</v>
      </c>
      <c r="H139" s="42" t="s">
        <v>507</v>
      </c>
      <c r="I139" s="42" t="s">
        <v>507</v>
      </c>
      <c r="J139" s="42" t="s">
        <v>507</v>
      </c>
      <c r="K139" s="72" t="s">
        <v>509</v>
      </c>
      <c r="L139" s="28"/>
      <c r="M139" s="33" t="s">
        <v>510</v>
      </c>
      <c r="N139" s="33"/>
      <c r="O139" s="28"/>
      <c r="P139" s="28"/>
      <c r="Q139" s="28"/>
      <c r="R139" s="28"/>
    </row>
    <row r="140" spans="1:75 1026:1026" x14ac:dyDescent="0.2">
      <c r="A140" s="18">
        <v>2</v>
      </c>
      <c r="B140" s="28" t="s">
        <v>707</v>
      </c>
      <c r="C140" s="28" t="s">
        <v>262</v>
      </c>
      <c r="D140" s="28">
        <v>23</v>
      </c>
      <c r="E140" s="42" t="s">
        <v>507</v>
      </c>
      <c r="F140" s="42" t="s">
        <v>507</v>
      </c>
      <c r="G140" s="43" t="s">
        <v>508</v>
      </c>
      <c r="H140" s="42" t="s">
        <v>507</v>
      </c>
      <c r="I140" s="42"/>
      <c r="J140" s="42" t="s">
        <v>507</v>
      </c>
      <c r="K140" s="72" t="s">
        <v>509</v>
      </c>
      <c r="L140" s="18"/>
      <c r="M140" s="33"/>
      <c r="AA140" s="30"/>
      <c r="AB140" s="30"/>
    </row>
    <row r="141" spans="1:75 1026:1026" s="18" customFormat="1" x14ac:dyDescent="0.2">
      <c r="A141" s="18">
        <v>1</v>
      </c>
      <c r="B141" s="18" t="s">
        <v>531</v>
      </c>
      <c r="D141" s="18">
        <v>188</v>
      </c>
      <c r="E141" s="19" t="s">
        <v>507</v>
      </c>
      <c r="F141" s="19" t="s">
        <v>507</v>
      </c>
      <c r="G141" s="20" t="s">
        <v>611</v>
      </c>
      <c r="H141" s="19" t="s">
        <v>507</v>
      </c>
      <c r="I141" s="19"/>
      <c r="J141" s="32" t="s">
        <v>507</v>
      </c>
      <c r="K141" s="21" t="s">
        <v>509</v>
      </c>
      <c r="M141" s="1" t="s">
        <v>708</v>
      </c>
      <c r="N141" s="1"/>
      <c r="S141" s="70"/>
      <c r="T141" s="1"/>
      <c r="U141" s="33"/>
      <c r="V141" s="33"/>
      <c r="W141" s="33"/>
      <c r="X141" s="33"/>
      <c r="Y141" s="33"/>
      <c r="Z141" s="33"/>
      <c r="AA141" s="30"/>
      <c r="AB141" s="30"/>
      <c r="AC141" s="33"/>
      <c r="AD141" s="33"/>
      <c r="AE141" s="33"/>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spans="1:75 1026:1026" x14ac:dyDescent="0.2">
      <c r="A142" s="1">
        <v>4</v>
      </c>
      <c r="B142" s="1" t="s">
        <v>709</v>
      </c>
      <c r="C142" s="1" t="s">
        <v>710</v>
      </c>
      <c r="D142" s="1">
        <v>281</v>
      </c>
      <c r="E142" s="10" t="s">
        <v>507</v>
      </c>
      <c r="F142" s="10" t="s">
        <v>508</v>
      </c>
      <c r="G142" s="11" t="s">
        <v>508</v>
      </c>
      <c r="J142" s="10" t="s">
        <v>507</v>
      </c>
      <c r="L142" s="26"/>
      <c r="AML142" s="18"/>
    </row>
    <row r="143" spans="1:75 1026:1026" s="18" customFormat="1" x14ac:dyDescent="0.2">
      <c r="A143" s="1" t="s">
        <v>678</v>
      </c>
      <c r="B143" s="1" t="s">
        <v>711</v>
      </c>
      <c r="C143" s="1"/>
      <c r="D143" s="1">
        <v>468</v>
      </c>
      <c r="E143" s="10" t="s">
        <v>506</v>
      </c>
      <c r="F143" s="10" t="s">
        <v>508</v>
      </c>
      <c r="G143" s="11" t="s">
        <v>508</v>
      </c>
      <c r="H143" s="10" t="s">
        <v>507</v>
      </c>
      <c r="I143" s="10"/>
      <c r="J143" s="10" t="s">
        <v>507</v>
      </c>
      <c r="K143" s="12"/>
      <c r="L143" s="26"/>
      <c r="M143" s="1"/>
      <c r="N143" s="1"/>
      <c r="O143" s="1"/>
      <c r="P143" s="1"/>
      <c r="Q143" s="1"/>
      <c r="R143" s="1"/>
      <c r="S143" s="13"/>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spans="1:75 1026:1026" s="33" customFormat="1" x14ac:dyDescent="0.2">
      <c r="A144" s="18">
        <v>3</v>
      </c>
      <c r="B144" s="18" t="s">
        <v>712</v>
      </c>
      <c r="C144" s="18" t="s">
        <v>713</v>
      </c>
      <c r="D144" s="18">
        <v>328</v>
      </c>
      <c r="E144" s="42" t="s">
        <v>507</v>
      </c>
      <c r="F144" s="42" t="s">
        <v>507</v>
      </c>
      <c r="G144" s="43" t="s">
        <v>611</v>
      </c>
      <c r="H144" s="42" t="s">
        <v>507</v>
      </c>
      <c r="I144" s="42" t="s">
        <v>507</v>
      </c>
      <c r="J144" s="42" t="s">
        <v>507</v>
      </c>
      <c r="K144" s="21" t="s">
        <v>509</v>
      </c>
      <c r="L144" s="18"/>
      <c r="M144" s="1" t="s">
        <v>510</v>
      </c>
      <c r="O144" s="18"/>
      <c r="P144" s="18"/>
      <c r="Q144" s="18" t="s">
        <v>527</v>
      </c>
      <c r="R144" s="18"/>
      <c r="S144" s="13"/>
      <c r="T144" s="1"/>
      <c r="U144" s="1"/>
      <c r="V144" s="1"/>
      <c r="W144" s="1"/>
      <c r="X144" s="1"/>
      <c r="Y144" s="1"/>
      <c r="Z144" s="1"/>
      <c r="AA144" s="30"/>
      <c r="AB144" s="1"/>
      <c r="AC144" s="1"/>
      <c r="AD144" s="1"/>
      <c r="AE144" s="1"/>
    </row>
    <row r="145" spans="1:75 1026:1026" s="18" customFormat="1" x14ac:dyDescent="0.2">
      <c r="A145" s="18">
        <v>3</v>
      </c>
      <c r="B145" s="18" t="s">
        <v>264</v>
      </c>
      <c r="C145" s="18" t="s">
        <v>266</v>
      </c>
      <c r="D145" s="18">
        <v>200</v>
      </c>
      <c r="E145" s="42" t="s">
        <v>507</v>
      </c>
      <c r="F145" s="42" t="s">
        <v>507</v>
      </c>
      <c r="G145" s="43" t="s">
        <v>508</v>
      </c>
      <c r="H145" s="42" t="s">
        <v>507</v>
      </c>
      <c r="I145" s="42"/>
      <c r="J145" s="67" t="s">
        <v>507</v>
      </c>
      <c r="K145" s="21" t="s">
        <v>509</v>
      </c>
      <c r="M145" s="1" t="s">
        <v>708</v>
      </c>
      <c r="N145" s="1"/>
      <c r="Q145" s="18" t="s">
        <v>527</v>
      </c>
      <c r="S145" s="13"/>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spans="1:75 1026:1026" s="31" customFormat="1" x14ac:dyDescent="0.2">
      <c r="A146" s="18">
        <v>1</v>
      </c>
      <c r="B146" s="18" t="s">
        <v>714</v>
      </c>
      <c r="C146" s="18"/>
      <c r="D146" s="18">
        <v>191</v>
      </c>
      <c r="E146" s="42" t="s">
        <v>507</v>
      </c>
      <c r="F146" s="42" t="s">
        <v>507</v>
      </c>
      <c r="G146" s="43" t="s">
        <v>611</v>
      </c>
      <c r="H146" s="42" t="s">
        <v>507</v>
      </c>
      <c r="I146" s="42" t="s">
        <v>507</v>
      </c>
      <c r="J146" s="42" t="s">
        <v>507</v>
      </c>
      <c r="K146" s="21" t="s">
        <v>509</v>
      </c>
      <c r="L146" s="18"/>
      <c r="M146" s="1" t="s">
        <v>510</v>
      </c>
      <c r="N146" s="1"/>
      <c r="O146" s="18"/>
      <c r="P146" s="18"/>
      <c r="Q146" s="18"/>
      <c r="R146" s="18"/>
      <c r="S146" s="13"/>
      <c r="T146" s="6"/>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spans="1:75 1026:1026" s="18" customFormat="1" x14ac:dyDescent="0.2">
      <c r="A147" s="18">
        <v>4</v>
      </c>
      <c r="B147" s="18" t="s">
        <v>535</v>
      </c>
      <c r="C147" s="18" t="s">
        <v>715</v>
      </c>
      <c r="D147" s="18">
        <v>305</v>
      </c>
      <c r="E147" s="19" t="s">
        <v>507</v>
      </c>
      <c r="F147" s="19" t="s">
        <v>507</v>
      </c>
      <c r="G147" s="20" t="s">
        <v>611</v>
      </c>
      <c r="H147" s="19" t="s">
        <v>507</v>
      </c>
      <c r="I147" s="19"/>
      <c r="J147" s="19" t="s">
        <v>507</v>
      </c>
      <c r="K147" s="23"/>
      <c r="M147" s="1"/>
      <c r="N147" s="1"/>
      <c r="S147" s="13" t="s">
        <v>640</v>
      </c>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spans="1:75 1026:1026" s="18" customFormat="1" x14ac:dyDescent="0.2">
      <c r="A148" s="1">
        <v>4</v>
      </c>
      <c r="B148" s="1" t="s">
        <v>716</v>
      </c>
      <c r="C148" s="1" t="s">
        <v>717</v>
      </c>
      <c r="D148" s="1">
        <v>383</v>
      </c>
      <c r="E148" s="10" t="s">
        <v>507</v>
      </c>
      <c r="F148" s="10" t="s">
        <v>508</v>
      </c>
      <c r="G148" s="11" t="s">
        <v>508</v>
      </c>
      <c r="H148" s="10"/>
      <c r="I148" s="10"/>
      <c r="J148" s="10" t="s">
        <v>507</v>
      </c>
      <c r="K148" s="12"/>
      <c r="L148" s="26"/>
      <c r="M148" s="1"/>
      <c r="N148" s="1"/>
      <c r="O148" s="1"/>
      <c r="P148" s="1"/>
      <c r="Q148" s="1"/>
      <c r="R148" s="1"/>
      <c r="S148" s="13"/>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spans="1:75 1026:1026" x14ac:dyDescent="0.2">
      <c r="A149" s="18">
        <v>1</v>
      </c>
      <c r="B149" s="18" t="s">
        <v>718</v>
      </c>
      <c r="C149" s="18"/>
      <c r="D149" s="18">
        <v>129</v>
      </c>
      <c r="E149" s="19" t="s">
        <v>507</v>
      </c>
      <c r="F149" s="19" t="s">
        <v>507</v>
      </c>
      <c r="G149" s="20" t="s">
        <v>540</v>
      </c>
      <c r="H149" s="19" t="s">
        <v>507</v>
      </c>
      <c r="I149" s="19" t="s">
        <v>507</v>
      </c>
      <c r="J149" s="19" t="s">
        <v>507</v>
      </c>
      <c r="K149" s="21" t="s">
        <v>509</v>
      </c>
      <c r="L149" s="18"/>
      <c r="M149" s="1" t="s">
        <v>514</v>
      </c>
      <c r="O149" s="18"/>
      <c r="P149" s="18"/>
      <c r="Q149" s="18"/>
      <c r="R149" s="18"/>
      <c r="AML149" s="18"/>
    </row>
    <row r="150" spans="1:75 1026:1026" s="18" customFormat="1" x14ac:dyDescent="0.2">
      <c r="A150" s="1" t="s">
        <v>504</v>
      </c>
      <c r="B150" s="1" t="s">
        <v>719</v>
      </c>
      <c r="C150" s="1"/>
      <c r="D150" s="1">
        <v>31</v>
      </c>
      <c r="E150" s="10" t="s">
        <v>506</v>
      </c>
      <c r="F150" s="10" t="s">
        <v>508</v>
      </c>
      <c r="G150" s="11" t="s">
        <v>508</v>
      </c>
      <c r="H150" s="10" t="s">
        <v>507</v>
      </c>
      <c r="I150" s="10"/>
      <c r="J150" s="10" t="s">
        <v>507</v>
      </c>
      <c r="K150" s="12"/>
      <c r="L150" s="18" t="s">
        <v>509</v>
      </c>
      <c r="M150" s="1"/>
      <c r="N150" s="1" t="s">
        <v>542</v>
      </c>
      <c r="O150" s="1"/>
      <c r="P150" s="1"/>
      <c r="Q150" s="1"/>
      <c r="R150" s="1"/>
      <c r="S150" s="13"/>
      <c r="T150" s="1"/>
      <c r="U150" s="1"/>
      <c r="V150" s="1"/>
      <c r="W150" s="1"/>
      <c r="X150" s="1"/>
      <c r="Y150" s="1"/>
      <c r="Z150" s="1"/>
      <c r="AA150" s="30"/>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spans="1:75 1026:1026" x14ac:dyDescent="0.2">
      <c r="A151" s="18" t="s">
        <v>604</v>
      </c>
      <c r="B151" s="18" t="s">
        <v>538</v>
      </c>
      <c r="C151" s="18"/>
      <c r="D151" s="18">
        <v>78</v>
      </c>
      <c r="E151" s="19" t="s">
        <v>506</v>
      </c>
      <c r="F151" s="19" t="s">
        <v>507</v>
      </c>
      <c r="G151" s="20" t="s">
        <v>508</v>
      </c>
      <c r="H151" s="19" t="s">
        <v>507</v>
      </c>
      <c r="I151" s="19"/>
      <c r="J151" s="67" t="s">
        <v>507</v>
      </c>
      <c r="K151" s="21" t="s">
        <v>509</v>
      </c>
      <c r="L151" s="18"/>
      <c r="M151" s="1" t="s">
        <v>708</v>
      </c>
      <c r="O151" s="18"/>
      <c r="P151" s="18"/>
      <c r="Q151" s="18"/>
      <c r="R151" s="18"/>
      <c r="AA151" s="30"/>
      <c r="AML151" s="18"/>
    </row>
    <row r="152" spans="1:75 1026:1026" s="18" customFormat="1" x14ac:dyDescent="0.2">
      <c r="A152" s="18">
        <v>1</v>
      </c>
      <c r="B152" s="18" t="s">
        <v>720</v>
      </c>
      <c r="D152" s="18">
        <v>42</v>
      </c>
      <c r="E152" s="19" t="s">
        <v>507</v>
      </c>
      <c r="F152" s="19" t="s">
        <v>507</v>
      </c>
      <c r="G152" s="20" t="s">
        <v>507</v>
      </c>
      <c r="H152" s="19" t="s">
        <v>507</v>
      </c>
      <c r="I152" s="19"/>
      <c r="J152" s="32" t="s">
        <v>507</v>
      </c>
      <c r="K152" s="21" t="s">
        <v>509</v>
      </c>
      <c r="M152" s="1" t="s">
        <v>598</v>
      </c>
      <c r="N152" s="1"/>
      <c r="S152" s="13" t="s">
        <v>721</v>
      </c>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spans="1:75 1026:1026" s="31" customFormat="1" x14ac:dyDescent="0.2">
      <c r="A153" s="1">
        <v>2</v>
      </c>
      <c r="B153" s="1" t="s">
        <v>269</v>
      </c>
      <c r="C153" s="1" t="s">
        <v>270</v>
      </c>
      <c r="D153" s="1">
        <v>232</v>
      </c>
      <c r="E153" s="24" t="s">
        <v>507</v>
      </c>
      <c r="F153" s="24" t="s">
        <v>508</v>
      </c>
      <c r="G153" s="25" t="s">
        <v>508</v>
      </c>
      <c r="H153" s="24"/>
      <c r="I153" s="24"/>
      <c r="J153" s="24" t="s">
        <v>507</v>
      </c>
      <c r="K153" s="12"/>
      <c r="L153" s="26"/>
      <c r="M153" s="1"/>
      <c r="N153" s="1"/>
      <c r="O153" s="1"/>
      <c r="P153" s="1"/>
      <c r="Q153" s="1"/>
      <c r="R153" s="1"/>
      <c r="S153" s="13" t="s">
        <v>722</v>
      </c>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spans="1:75 1026:1026" s="31" customFormat="1" x14ac:dyDescent="0.2">
      <c r="A154">
        <v>5</v>
      </c>
      <c r="B154" s="1" t="s">
        <v>723</v>
      </c>
      <c r="C154" s="1"/>
      <c r="D154" s="1">
        <v>86</v>
      </c>
      <c r="E154" s="24" t="s">
        <v>507</v>
      </c>
      <c r="F154" s="24" t="s">
        <v>508</v>
      </c>
      <c r="G154" s="25" t="s">
        <v>508</v>
      </c>
      <c r="H154" s="24" t="s">
        <v>507</v>
      </c>
      <c r="I154" s="24"/>
      <c r="J154" s="24" t="s">
        <v>507</v>
      </c>
      <c r="K154" s="12"/>
      <c r="L154" s="18" t="s">
        <v>509</v>
      </c>
      <c r="M154" s="1"/>
      <c r="N154" s="1" t="s">
        <v>542</v>
      </c>
      <c r="O154" s="1"/>
      <c r="P154" s="1"/>
      <c r="Q154" s="1" t="s">
        <v>527</v>
      </c>
      <c r="R154" s="1"/>
      <c r="S154" s="13"/>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spans="1:75 1026:1026" s="18" customFormat="1" x14ac:dyDescent="0.2">
      <c r="A155" s="18">
        <v>1</v>
      </c>
      <c r="B155" s="18" t="s">
        <v>103</v>
      </c>
      <c r="D155" s="18">
        <v>289</v>
      </c>
      <c r="E155" s="42" t="s">
        <v>507</v>
      </c>
      <c r="F155" s="42" t="s">
        <v>507</v>
      </c>
      <c r="G155" s="43" t="s">
        <v>540</v>
      </c>
      <c r="H155" s="42" t="s">
        <v>507</v>
      </c>
      <c r="I155" s="42" t="s">
        <v>507</v>
      </c>
      <c r="J155" s="42" t="s">
        <v>507</v>
      </c>
      <c r="K155" s="21" t="s">
        <v>509</v>
      </c>
      <c r="M155" s="1" t="s">
        <v>510</v>
      </c>
      <c r="N155" s="1"/>
      <c r="Q155" s="18" t="s">
        <v>527</v>
      </c>
      <c r="S155" s="13"/>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spans="1:75 1026:1026" s="18" customFormat="1" x14ac:dyDescent="0.2">
      <c r="A156" s="1">
        <v>4</v>
      </c>
      <c r="B156" s="1" t="s">
        <v>724</v>
      </c>
      <c r="C156" s="1" t="s">
        <v>725</v>
      </c>
      <c r="D156" s="33">
        <v>113</v>
      </c>
      <c r="E156" s="24" t="s">
        <v>507</v>
      </c>
      <c r="F156" s="24" t="s">
        <v>508</v>
      </c>
      <c r="G156" s="25" t="s">
        <v>508</v>
      </c>
      <c r="H156" s="24"/>
      <c r="I156" s="24"/>
      <c r="J156" s="24" t="s">
        <v>507</v>
      </c>
      <c r="K156" s="12"/>
      <c r="L156" s="26"/>
      <c r="M156" s="1"/>
      <c r="N156" s="1"/>
      <c r="O156" s="1"/>
      <c r="P156" s="1"/>
      <c r="Q156" s="1"/>
      <c r="R156" s="1"/>
      <c r="S156" s="13"/>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spans="1:75 1026:1026" s="18" customFormat="1" x14ac:dyDescent="0.2">
      <c r="A157" s="18">
        <v>2</v>
      </c>
      <c r="B157" s="18" t="s">
        <v>272</v>
      </c>
      <c r="C157" s="18" t="s">
        <v>274</v>
      </c>
      <c r="D157" s="18">
        <v>129</v>
      </c>
      <c r="E157" s="42" t="s">
        <v>507</v>
      </c>
      <c r="F157" s="42" t="s">
        <v>507</v>
      </c>
      <c r="G157" s="43" t="s">
        <v>508</v>
      </c>
      <c r="H157" s="42" t="s">
        <v>507</v>
      </c>
      <c r="I157" s="42"/>
      <c r="J157" s="67" t="s">
        <v>507</v>
      </c>
      <c r="K157" s="21" t="s">
        <v>509</v>
      </c>
      <c r="M157" s="1" t="s">
        <v>598</v>
      </c>
      <c r="N157" s="1"/>
      <c r="S157" s="13"/>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75 1026:1026" x14ac:dyDescent="0.2">
      <c r="A158" s="18">
        <v>2</v>
      </c>
      <c r="B158" s="18" t="s">
        <v>276</v>
      </c>
      <c r="C158" s="18" t="s">
        <v>277</v>
      </c>
      <c r="D158" s="18">
        <v>179</v>
      </c>
      <c r="E158" s="42" t="s">
        <v>507</v>
      </c>
      <c r="F158" s="42" t="s">
        <v>507</v>
      </c>
      <c r="G158" s="43" t="s">
        <v>507</v>
      </c>
      <c r="H158" s="42" t="s">
        <v>507</v>
      </c>
      <c r="I158" s="42"/>
      <c r="J158" s="67" t="s">
        <v>507</v>
      </c>
      <c r="K158" s="21" t="s">
        <v>509</v>
      </c>
      <c r="L158" s="18"/>
      <c r="M158" s="1" t="s">
        <v>598</v>
      </c>
      <c r="O158" s="18"/>
      <c r="P158" s="18"/>
      <c r="Q158" s="18"/>
      <c r="R158" s="18"/>
      <c r="T158" s="6"/>
      <c r="AML158" s="18"/>
    </row>
    <row r="159" spans="1:75 1026:1026" s="18" customFormat="1" x14ac:dyDescent="0.2">
      <c r="A159" s="18">
        <v>2</v>
      </c>
      <c r="B159" s="18" t="s">
        <v>278</v>
      </c>
      <c r="C159" s="18" t="s">
        <v>279</v>
      </c>
      <c r="D159" s="18">
        <v>93</v>
      </c>
      <c r="E159" s="42" t="s">
        <v>507</v>
      </c>
      <c r="F159" s="42" t="s">
        <v>507</v>
      </c>
      <c r="G159" s="43" t="s">
        <v>508</v>
      </c>
      <c r="H159" s="42" t="s">
        <v>507</v>
      </c>
      <c r="I159" s="42"/>
      <c r="J159" s="67" t="s">
        <v>507</v>
      </c>
      <c r="K159" s="21" t="s">
        <v>509</v>
      </c>
      <c r="M159" s="1" t="s">
        <v>598</v>
      </c>
      <c r="N159" s="1"/>
      <c r="S159" s="13"/>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spans="1:75 1026:1026" s="18" customFormat="1" x14ac:dyDescent="0.2">
      <c r="A160" s="18">
        <v>2</v>
      </c>
      <c r="B160" s="18" t="s">
        <v>280</v>
      </c>
      <c r="C160" s="18" t="s">
        <v>281</v>
      </c>
      <c r="D160" s="18">
        <v>96</v>
      </c>
      <c r="E160" s="19" t="s">
        <v>507</v>
      </c>
      <c r="F160" s="19" t="s">
        <v>507</v>
      </c>
      <c r="G160" s="20" t="s">
        <v>507</v>
      </c>
      <c r="H160" s="19" t="s">
        <v>507</v>
      </c>
      <c r="I160" s="19"/>
      <c r="J160" s="32" t="s">
        <v>507</v>
      </c>
      <c r="K160" s="21" t="s">
        <v>509</v>
      </c>
      <c r="M160" s="1" t="s">
        <v>598</v>
      </c>
      <c r="N160" s="1"/>
      <c r="S160" s="13"/>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spans="1:1027" s="47" customFormat="1" x14ac:dyDescent="0.2">
      <c r="A161" s="18">
        <v>2</v>
      </c>
      <c r="B161" s="18" t="s">
        <v>282</v>
      </c>
      <c r="C161" s="18" t="s">
        <v>283</v>
      </c>
      <c r="D161" s="18">
        <v>153</v>
      </c>
      <c r="E161" s="42" t="s">
        <v>507</v>
      </c>
      <c r="F161" s="42" t="s">
        <v>507</v>
      </c>
      <c r="G161" s="43" t="s">
        <v>507</v>
      </c>
      <c r="H161" s="42" t="s">
        <v>507</v>
      </c>
      <c r="I161" s="42"/>
      <c r="J161" s="67" t="s">
        <v>507</v>
      </c>
      <c r="K161" s="21" t="s">
        <v>509</v>
      </c>
      <c r="L161" s="18"/>
      <c r="M161" s="1" t="s">
        <v>598</v>
      </c>
      <c r="N161" s="1"/>
      <c r="O161" s="18"/>
      <c r="P161" s="18"/>
      <c r="Q161" s="18"/>
      <c r="R161" s="18"/>
      <c r="S161" s="13"/>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spans="1:1027" s="31" customFormat="1" x14ac:dyDescent="0.2">
      <c r="A162" s="71">
        <v>2</v>
      </c>
      <c r="B162" s="1" t="s">
        <v>284</v>
      </c>
      <c r="C162" s="1" t="s">
        <v>286</v>
      </c>
      <c r="D162" s="1">
        <v>17</v>
      </c>
      <c r="E162" s="10" t="s">
        <v>507</v>
      </c>
      <c r="F162" s="10" t="s">
        <v>508</v>
      </c>
      <c r="G162" s="11" t="s">
        <v>508</v>
      </c>
      <c r="H162" s="10" t="s">
        <v>507</v>
      </c>
      <c r="I162" s="10"/>
      <c r="J162" s="10" t="s">
        <v>507</v>
      </c>
      <c r="K162" s="12"/>
      <c r="L162" s="26"/>
      <c r="M162" s="1"/>
      <c r="N162" s="1"/>
      <c r="O162" s="1"/>
      <c r="P162" s="1"/>
      <c r="Q162" s="1"/>
      <c r="R162" s="1"/>
      <c r="S162" s="13" t="s">
        <v>726</v>
      </c>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spans="1:1027" x14ac:dyDescent="0.2">
      <c r="A163" s="18">
        <v>4</v>
      </c>
      <c r="B163" s="18" t="s">
        <v>727</v>
      </c>
      <c r="C163" s="18" t="s">
        <v>728</v>
      </c>
      <c r="D163" s="28">
        <v>317</v>
      </c>
      <c r="E163" s="42" t="s">
        <v>507</v>
      </c>
      <c r="F163" s="42" t="s">
        <v>507</v>
      </c>
      <c r="G163" s="43" t="s">
        <v>508</v>
      </c>
      <c r="H163" s="42" t="s">
        <v>507</v>
      </c>
      <c r="I163" s="42" t="s">
        <v>507</v>
      </c>
      <c r="J163" s="42" t="s">
        <v>507</v>
      </c>
      <c r="K163" s="21" t="s">
        <v>509</v>
      </c>
      <c r="L163" s="18"/>
      <c r="M163" s="1" t="s">
        <v>510</v>
      </c>
      <c r="O163" s="18" t="s">
        <v>507</v>
      </c>
      <c r="P163" s="18"/>
      <c r="Q163" s="18"/>
      <c r="R163" s="18"/>
      <c r="T163" s="6"/>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c r="DY163" s="18"/>
      <c r="DZ163" s="18"/>
      <c r="EA163" s="18"/>
      <c r="EB163" s="18"/>
      <c r="EC163" s="18"/>
      <c r="ED163" s="18"/>
      <c r="EE163" s="18"/>
      <c r="EF163" s="18"/>
      <c r="EG163" s="18"/>
      <c r="EH163" s="18"/>
      <c r="EI163" s="18"/>
      <c r="EJ163" s="18"/>
      <c r="EK163" s="18"/>
      <c r="EL163" s="18"/>
      <c r="EM163" s="18"/>
      <c r="EN163" s="18"/>
      <c r="EO163" s="18"/>
      <c r="EP163" s="18"/>
      <c r="EQ163" s="18"/>
      <c r="ER163" s="18"/>
      <c r="ES163" s="18"/>
      <c r="ET163" s="18"/>
      <c r="EU163" s="18"/>
      <c r="EV163" s="18"/>
      <c r="EW163" s="18"/>
      <c r="EX163" s="18"/>
      <c r="EY163" s="18"/>
      <c r="EZ163" s="18"/>
      <c r="FA163" s="18"/>
      <c r="FB163" s="18"/>
      <c r="FC163" s="18"/>
      <c r="FD163" s="18"/>
      <c r="FE163" s="18"/>
      <c r="FF163" s="18"/>
      <c r="FG163" s="18"/>
      <c r="FH163" s="18"/>
      <c r="FI163" s="18"/>
      <c r="FJ163" s="18"/>
      <c r="FK163" s="18"/>
      <c r="FL163" s="18"/>
      <c r="FM163" s="18"/>
      <c r="FN163" s="18"/>
      <c r="FO163" s="18"/>
      <c r="FP163" s="18"/>
      <c r="FQ163" s="18"/>
      <c r="FR163" s="18"/>
      <c r="FS163" s="18"/>
      <c r="FT163" s="18"/>
      <c r="FU163" s="18"/>
      <c r="FV163" s="18"/>
      <c r="FW163" s="18"/>
      <c r="FX163" s="18"/>
      <c r="FY163" s="18"/>
      <c r="FZ163" s="18"/>
      <c r="GA163" s="18"/>
      <c r="GB163" s="18"/>
      <c r="GC163" s="18"/>
      <c r="GD163" s="18"/>
      <c r="GE163" s="18"/>
      <c r="GF163" s="18"/>
      <c r="GG163" s="18"/>
      <c r="GH163" s="18"/>
      <c r="GI163" s="18"/>
      <c r="GJ163" s="18"/>
      <c r="GK163" s="18"/>
      <c r="GL163" s="18"/>
      <c r="GM163" s="18"/>
      <c r="GN163" s="18"/>
      <c r="GO163" s="18"/>
      <c r="GP163" s="18"/>
      <c r="GQ163" s="18"/>
      <c r="GR163" s="18"/>
      <c r="GS163" s="18"/>
      <c r="GT163" s="18"/>
      <c r="GU163" s="18"/>
      <c r="GV163" s="18"/>
      <c r="GW163" s="18"/>
      <c r="GX163" s="18"/>
      <c r="GY163" s="18"/>
      <c r="GZ163" s="18"/>
      <c r="HA163" s="18"/>
      <c r="HB163" s="18"/>
      <c r="HC163" s="18"/>
      <c r="HD163" s="18"/>
      <c r="HE163" s="18"/>
      <c r="HF163" s="18"/>
      <c r="HG163" s="18"/>
      <c r="HH163" s="18"/>
      <c r="HI163" s="18"/>
      <c r="HJ163" s="18"/>
      <c r="HK163" s="18"/>
      <c r="HL163" s="18"/>
      <c r="HM163" s="18"/>
      <c r="HN163" s="18"/>
      <c r="HO163" s="18"/>
      <c r="HP163" s="18"/>
      <c r="HQ163" s="18"/>
      <c r="HR163" s="18"/>
      <c r="HS163" s="18"/>
      <c r="HT163" s="18"/>
      <c r="HU163" s="18"/>
      <c r="HV163" s="18"/>
      <c r="HW163" s="18"/>
      <c r="HX163" s="18"/>
      <c r="HY163" s="18"/>
      <c r="HZ163" s="18"/>
      <c r="IA163" s="18"/>
      <c r="IB163" s="18"/>
      <c r="IC163" s="18"/>
      <c r="ID163" s="18"/>
      <c r="IE163" s="18"/>
      <c r="IF163" s="18"/>
      <c r="IG163" s="18"/>
      <c r="IH163" s="18"/>
      <c r="II163" s="18"/>
      <c r="IJ163" s="18"/>
      <c r="IK163" s="18"/>
      <c r="IL163" s="18"/>
      <c r="IM163" s="18"/>
      <c r="IN163" s="18"/>
      <c r="IO163" s="18"/>
      <c r="IP163" s="18"/>
      <c r="IQ163" s="18"/>
      <c r="IR163" s="18"/>
      <c r="IS163" s="18"/>
      <c r="IT163" s="18"/>
      <c r="IU163" s="18"/>
      <c r="IV163" s="18"/>
      <c r="IW163" s="18"/>
      <c r="IX163" s="18"/>
      <c r="IY163" s="18"/>
      <c r="IZ163" s="18"/>
      <c r="JA163" s="18"/>
      <c r="JB163" s="18"/>
      <c r="JC163" s="18"/>
      <c r="JD163" s="18"/>
      <c r="JE163" s="18"/>
      <c r="JF163" s="18"/>
      <c r="JG163" s="18"/>
      <c r="JH163" s="18"/>
      <c r="JI163" s="18"/>
      <c r="JJ163" s="18"/>
      <c r="JK163" s="18"/>
      <c r="JL163" s="18"/>
      <c r="JM163" s="18"/>
      <c r="JN163" s="18"/>
      <c r="JO163" s="18"/>
      <c r="JP163" s="18"/>
      <c r="JQ163" s="18"/>
      <c r="JR163" s="18"/>
      <c r="JS163" s="18"/>
      <c r="JT163" s="18"/>
      <c r="JU163" s="18"/>
      <c r="JV163" s="18"/>
      <c r="JW163" s="18"/>
      <c r="JX163" s="18"/>
      <c r="JY163" s="18"/>
      <c r="JZ163" s="18"/>
      <c r="KA163" s="18"/>
      <c r="KB163" s="18"/>
      <c r="KC163" s="18"/>
      <c r="KD163" s="18"/>
      <c r="KE163" s="18"/>
      <c r="KF163" s="18"/>
      <c r="KG163" s="18"/>
      <c r="KH163" s="18"/>
      <c r="KI163" s="18"/>
      <c r="KJ163" s="18"/>
      <c r="KK163" s="18"/>
      <c r="KL163" s="18"/>
      <c r="KM163" s="18"/>
      <c r="KN163" s="18"/>
      <c r="KO163" s="18"/>
      <c r="KP163" s="18"/>
      <c r="KQ163" s="18"/>
      <c r="KR163" s="18"/>
      <c r="KS163" s="18"/>
      <c r="KT163" s="18"/>
      <c r="KU163" s="18"/>
      <c r="KV163" s="18"/>
      <c r="KW163" s="18"/>
      <c r="KX163" s="18"/>
      <c r="KY163" s="18"/>
      <c r="KZ163" s="18"/>
      <c r="LA163" s="18"/>
      <c r="LB163" s="18"/>
      <c r="LC163" s="18"/>
      <c r="LD163" s="18"/>
      <c r="LE163" s="18"/>
      <c r="LF163" s="18"/>
      <c r="LG163" s="18"/>
      <c r="LH163" s="18"/>
      <c r="LI163" s="18"/>
      <c r="LJ163" s="18"/>
      <c r="LK163" s="18"/>
      <c r="LL163" s="18"/>
      <c r="LM163" s="18"/>
      <c r="LN163" s="18"/>
      <c r="LO163" s="18"/>
      <c r="LP163" s="18"/>
      <c r="LQ163" s="18"/>
      <c r="LR163" s="18"/>
      <c r="LS163" s="18"/>
      <c r="LT163" s="18"/>
      <c r="LU163" s="18"/>
      <c r="LV163" s="18"/>
      <c r="LW163" s="18"/>
      <c r="LX163" s="18"/>
      <c r="LY163" s="18"/>
      <c r="LZ163" s="18"/>
      <c r="MA163" s="18"/>
      <c r="MB163" s="18"/>
      <c r="MC163" s="18"/>
      <c r="MD163" s="18"/>
      <c r="ME163" s="18"/>
      <c r="MF163" s="18"/>
      <c r="MG163" s="18"/>
      <c r="MH163" s="18"/>
      <c r="MI163" s="18"/>
      <c r="MJ163" s="18"/>
      <c r="MK163" s="18"/>
      <c r="ML163" s="18"/>
      <c r="MM163" s="18"/>
      <c r="MN163" s="18"/>
      <c r="MO163" s="18"/>
      <c r="MP163" s="18"/>
      <c r="MQ163" s="18"/>
      <c r="MR163" s="18"/>
      <c r="MS163" s="18"/>
      <c r="MT163" s="18"/>
      <c r="MU163" s="18"/>
      <c r="MV163" s="18"/>
      <c r="MW163" s="18"/>
      <c r="MX163" s="18"/>
      <c r="MY163" s="18"/>
      <c r="MZ163" s="18"/>
      <c r="NA163" s="18"/>
      <c r="NB163" s="18"/>
      <c r="NC163" s="18"/>
      <c r="ND163" s="18"/>
      <c r="NE163" s="18"/>
      <c r="NF163" s="18"/>
      <c r="NG163" s="18"/>
      <c r="NH163" s="18"/>
      <c r="NI163" s="18"/>
      <c r="NJ163" s="18"/>
      <c r="NK163" s="18"/>
      <c r="NL163" s="18"/>
      <c r="NM163" s="18"/>
      <c r="NN163" s="18"/>
      <c r="NO163" s="18"/>
      <c r="NP163" s="18"/>
      <c r="NQ163" s="18"/>
      <c r="NR163" s="18"/>
      <c r="NS163" s="18"/>
      <c r="NT163" s="18"/>
      <c r="NU163" s="18"/>
      <c r="NV163" s="18"/>
      <c r="NW163" s="18"/>
      <c r="NX163" s="18"/>
      <c r="NY163" s="18"/>
      <c r="NZ163" s="18"/>
      <c r="OA163" s="18"/>
      <c r="OB163" s="18"/>
      <c r="OC163" s="18"/>
      <c r="OD163" s="18"/>
      <c r="OE163" s="18"/>
      <c r="OF163" s="18"/>
      <c r="OG163" s="18"/>
      <c r="OH163" s="18"/>
      <c r="OI163" s="18"/>
      <c r="OJ163" s="18"/>
      <c r="OK163" s="18"/>
      <c r="OL163" s="18"/>
      <c r="OM163" s="18"/>
      <c r="ON163" s="18"/>
      <c r="OO163" s="18"/>
      <c r="OP163" s="18"/>
      <c r="OQ163" s="18"/>
      <c r="OR163" s="18"/>
      <c r="OS163" s="18"/>
      <c r="OT163" s="18"/>
      <c r="OU163" s="18"/>
      <c r="OV163" s="18"/>
      <c r="OW163" s="18"/>
      <c r="OX163" s="18"/>
      <c r="OY163" s="18"/>
      <c r="OZ163" s="18"/>
      <c r="PA163" s="18"/>
      <c r="PB163" s="18"/>
      <c r="PC163" s="18"/>
      <c r="PD163" s="18"/>
      <c r="PE163" s="18"/>
      <c r="PF163" s="18"/>
      <c r="PG163" s="18"/>
      <c r="PH163" s="18"/>
      <c r="PI163" s="18"/>
      <c r="PJ163" s="18"/>
      <c r="PK163" s="18"/>
      <c r="PL163" s="18"/>
      <c r="PM163" s="18"/>
      <c r="PN163" s="18"/>
      <c r="PO163" s="18"/>
      <c r="PP163" s="18"/>
      <c r="PQ163" s="18"/>
      <c r="PR163" s="18"/>
      <c r="PS163" s="18"/>
      <c r="PT163" s="18"/>
      <c r="PU163" s="18"/>
      <c r="PV163" s="18"/>
      <c r="PW163" s="18"/>
      <c r="PX163" s="18"/>
      <c r="PY163" s="18"/>
      <c r="PZ163" s="18"/>
      <c r="QA163" s="18"/>
      <c r="QB163" s="18"/>
      <c r="QC163" s="18"/>
      <c r="QD163" s="18"/>
      <c r="QE163" s="18"/>
      <c r="QF163" s="18"/>
      <c r="QG163" s="18"/>
      <c r="QH163" s="18"/>
      <c r="QI163" s="18"/>
      <c r="QJ163" s="18"/>
      <c r="QK163" s="18"/>
      <c r="QL163" s="18"/>
      <c r="QM163" s="18"/>
      <c r="QN163" s="18"/>
      <c r="QO163" s="18"/>
      <c r="QP163" s="18"/>
      <c r="QQ163" s="18"/>
      <c r="QR163" s="18"/>
      <c r="QS163" s="18"/>
      <c r="QT163" s="18"/>
      <c r="QU163" s="18"/>
      <c r="QV163" s="18"/>
      <c r="QW163" s="18"/>
      <c r="QX163" s="18"/>
      <c r="QY163" s="18"/>
      <c r="QZ163" s="18"/>
      <c r="RA163" s="18"/>
      <c r="RB163" s="18"/>
      <c r="RC163" s="18"/>
      <c r="RD163" s="18"/>
      <c r="RE163" s="18"/>
      <c r="RF163" s="18"/>
      <c r="RG163" s="18"/>
      <c r="RH163" s="18"/>
      <c r="RI163" s="18"/>
      <c r="RJ163" s="18"/>
      <c r="RK163" s="18"/>
      <c r="RL163" s="18"/>
      <c r="RM163" s="18"/>
      <c r="RN163" s="18"/>
      <c r="RO163" s="18"/>
      <c r="RP163" s="18"/>
      <c r="RQ163" s="18"/>
      <c r="RR163" s="18"/>
      <c r="RS163" s="18"/>
      <c r="RT163" s="18"/>
      <c r="RU163" s="18"/>
      <c r="RV163" s="18"/>
      <c r="RW163" s="18"/>
      <c r="RX163" s="18"/>
      <c r="RY163" s="18"/>
      <c r="RZ163" s="18"/>
      <c r="SA163" s="18"/>
      <c r="SB163" s="18"/>
      <c r="SC163" s="18"/>
      <c r="SD163" s="18"/>
      <c r="SE163" s="18"/>
      <c r="SF163" s="18"/>
      <c r="SG163" s="18"/>
      <c r="SH163" s="18"/>
      <c r="SI163" s="18"/>
      <c r="SJ163" s="18"/>
      <c r="SK163" s="18"/>
      <c r="SL163" s="18"/>
      <c r="SM163" s="18"/>
      <c r="SN163" s="18"/>
      <c r="SO163" s="18"/>
      <c r="SP163" s="18"/>
      <c r="SQ163" s="18"/>
      <c r="SR163" s="18"/>
      <c r="SS163" s="18"/>
      <c r="ST163" s="18"/>
      <c r="SU163" s="18"/>
      <c r="SV163" s="18"/>
      <c r="SW163" s="18"/>
      <c r="SX163" s="18"/>
      <c r="SY163" s="18"/>
      <c r="SZ163" s="18"/>
      <c r="TA163" s="18"/>
      <c r="TB163" s="18"/>
      <c r="TC163" s="18"/>
      <c r="TD163" s="18"/>
      <c r="TE163" s="18"/>
      <c r="TF163" s="18"/>
      <c r="TG163" s="18"/>
      <c r="TH163" s="18"/>
      <c r="TI163" s="18"/>
      <c r="TJ163" s="18"/>
      <c r="TK163" s="18"/>
      <c r="TL163" s="18"/>
      <c r="TM163" s="18"/>
      <c r="TN163" s="18"/>
      <c r="TO163" s="18"/>
      <c r="TP163" s="18"/>
      <c r="TQ163" s="18"/>
      <c r="TR163" s="18"/>
      <c r="TS163" s="18"/>
      <c r="TT163" s="18"/>
      <c r="TU163" s="18"/>
      <c r="TV163" s="18"/>
      <c r="TW163" s="18"/>
      <c r="TX163" s="18"/>
      <c r="TY163" s="18"/>
      <c r="TZ163" s="18"/>
      <c r="UA163" s="18"/>
      <c r="UB163" s="18"/>
      <c r="UC163" s="18"/>
      <c r="UD163" s="18"/>
      <c r="UE163" s="18"/>
      <c r="UF163" s="18"/>
      <c r="UG163" s="18"/>
      <c r="UH163" s="18"/>
      <c r="UI163" s="18"/>
      <c r="UJ163" s="18"/>
      <c r="UK163" s="18"/>
      <c r="UL163" s="18"/>
      <c r="UM163" s="18"/>
      <c r="UN163" s="18"/>
      <c r="UO163" s="18"/>
      <c r="UP163" s="18"/>
      <c r="UQ163" s="18"/>
      <c r="UR163" s="18"/>
      <c r="US163" s="18"/>
      <c r="UT163" s="18"/>
      <c r="UU163" s="18"/>
      <c r="UV163" s="18"/>
      <c r="UW163" s="18"/>
      <c r="UX163" s="18"/>
      <c r="UY163" s="18"/>
      <c r="UZ163" s="18"/>
      <c r="VA163" s="18"/>
      <c r="VB163" s="18"/>
      <c r="VC163" s="18"/>
      <c r="VD163" s="18"/>
      <c r="VE163" s="18"/>
      <c r="VF163" s="18"/>
      <c r="VG163" s="18"/>
      <c r="VH163" s="18"/>
      <c r="VI163" s="18"/>
      <c r="VJ163" s="18"/>
      <c r="VK163" s="18"/>
      <c r="VL163" s="18"/>
      <c r="VM163" s="18"/>
      <c r="VN163" s="18"/>
      <c r="VO163" s="18"/>
      <c r="VP163" s="18"/>
      <c r="VQ163" s="18"/>
      <c r="VR163" s="18"/>
      <c r="VS163" s="18"/>
      <c r="VT163" s="18"/>
      <c r="VU163" s="18"/>
      <c r="VV163" s="18"/>
      <c r="VW163" s="18"/>
      <c r="VX163" s="18"/>
      <c r="VY163" s="18"/>
      <c r="VZ163" s="18"/>
      <c r="WA163" s="18"/>
      <c r="WB163" s="18"/>
      <c r="WC163" s="18"/>
      <c r="WD163" s="18"/>
      <c r="WE163" s="18"/>
      <c r="WF163" s="18"/>
      <c r="WG163" s="18"/>
      <c r="WH163" s="18"/>
      <c r="WI163" s="18"/>
      <c r="WJ163" s="18"/>
      <c r="WK163" s="18"/>
      <c r="WL163" s="18"/>
      <c r="WM163" s="18"/>
      <c r="WN163" s="18"/>
      <c r="WO163" s="18"/>
      <c r="WP163" s="18"/>
      <c r="WQ163" s="18"/>
      <c r="WR163" s="18"/>
      <c r="WS163" s="18"/>
      <c r="WT163" s="18"/>
      <c r="WU163" s="18"/>
      <c r="WV163" s="18"/>
      <c r="WW163" s="18"/>
      <c r="WX163" s="18"/>
      <c r="WY163" s="18"/>
      <c r="WZ163" s="18"/>
      <c r="XA163" s="18"/>
      <c r="XB163" s="18"/>
      <c r="XC163" s="18"/>
      <c r="XD163" s="18"/>
      <c r="XE163" s="18"/>
      <c r="XF163" s="18"/>
      <c r="XG163" s="18"/>
      <c r="XH163" s="18"/>
      <c r="XI163" s="18"/>
      <c r="XJ163" s="18"/>
      <c r="XK163" s="18"/>
      <c r="XL163" s="18"/>
      <c r="XM163" s="18"/>
      <c r="XN163" s="18"/>
      <c r="XO163" s="18"/>
      <c r="XP163" s="18"/>
      <c r="XQ163" s="18"/>
      <c r="XR163" s="18"/>
      <c r="XS163" s="18"/>
      <c r="XT163" s="18"/>
      <c r="XU163" s="18"/>
      <c r="XV163" s="18"/>
      <c r="XW163" s="18"/>
      <c r="XX163" s="18"/>
      <c r="XY163" s="18"/>
      <c r="XZ163" s="18"/>
      <c r="YA163" s="18"/>
      <c r="YB163" s="18"/>
      <c r="YC163" s="18"/>
      <c r="YD163" s="18"/>
      <c r="YE163" s="18"/>
      <c r="YF163" s="18"/>
      <c r="YG163" s="18"/>
      <c r="YH163" s="18"/>
      <c r="YI163" s="18"/>
      <c r="YJ163" s="18"/>
      <c r="YK163" s="18"/>
      <c r="YL163" s="18"/>
      <c r="YM163" s="18"/>
      <c r="YN163" s="18"/>
      <c r="YO163" s="18"/>
      <c r="YP163" s="18"/>
      <c r="YQ163" s="18"/>
      <c r="YR163" s="18"/>
      <c r="YS163" s="18"/>
      <c r="YT163" s="18"/>
      <c r="YU163" s="18"/>
      <c r="YV163" s="18"/>
      <c r="YW163" s="18"/>
      <c r="YX163" s="18"/>
      <c r="YY163" s="18"/>
      <c r="YZ163" s="18"/>
      <c r="ZA163" s="18"/>
      <c r="ZB163" s="18"/>
      <c r="ZC163" s="18"/>
      <c r="ZD163" s="18"/>
      <c r="ZE163" s="18"/>
      <c r="ZF163" s="18"/>
      <c r="ZG163" s="18"/>
      <c r="ZH163" s="18"/>
      <c r="ZI163" s="18"/>
      <c r="ZJ163" s="18"/>
      <c r="ZK163" s="18"/>
      <c r="ZL163" s="18"/>
      <c r="ZM163" s="18"/>
      <c r="ZN163" s="18"/>
      <c r="ZO163" s="18"/>
      <c r="ZP163" s="18"/>
      <c r="ZQ163" s="18"/>
      <c r="ZR163" s="18"/>
      <c r="ZS163" s="18"/>
      <c r="ZT163" s="18"/>
      <c r="ZU163" s="18"/>
      <c r="ZV163" s="18"/>
      <c r="ZW163" s="18"/>
      <c r="ZX163" s="18"/>
      <c r="ZY163" s="18"/>
      <c r="ZZ163" s="18"/>
      <c r="AAA163" s="18"/>
      <c r="AAB163" s="18"/>
      <c r="AAC163" s="18"/>
      <c r="AAD163" s="18"/>
      <c r="AAE163" s="18"/>
      <c r="AAF163" s="18"/>
      <c r="AAG163" s="18"/>
      <c r="AAH163" s="18"/>
      <c r="AAI163" s="18"/>
      <c r="AAJ163" s="18"/>
      <c r="AAK163" s="18"/>
      <c r="AAL163" s="18"/>
      <c r="AAM163" s="18"/>
      <c r="AAN163" s="18"/>
      <c r="AAO163" s="18"/>
      <c r="AAP163" s="18"/>
      <c r="AAQ163" s="18"/>
      <c r="AAR163" s="18"/>
      <c r="AAS163" s="18"/>
      <c r="AAT163" s="18"/>
      <c r="AAU163" s="18"/>
      <c r="AAV163" s="18"/>
      <c r="AAW163" s="18"/>
      <c r="AAX163" s="18"/>
      <c r="AAY163" s="18"/>
      <c r="AAZ163" s="18"/>
      <c r="ABA163" s="18"/>
      <c r="ABB163" s="18"/>
      <c r="ABC163" s="18"/>
      <c r="ABD163" s="18"/>
      <c r="ABE163" s="18"/>
      <c r="ABF163" s="18"/>
      <c r="ABG163" s="18"/>
      <c r="ABH163" s="18"/>
      <c r="ABI163" s="18"/>
      <c r="ABJ163" s="18"/>
      <c r="ABK163" s="18"/>
      <c r="ABL163" s="18"/>
      <c r="ABM163" s="18"/>
      <c r="ABN163" s="18"/>
      <c r="ABO163" s="18"/>
      <c r="ABP163" s="18"/>
      <c r="ABQ163" s="18"/>
      <c r="ABR163" s="18"/>
      <c r="ABS163" s="18"/>
      <c r="ABT163" s="18"/>
      <c r="ABU163" s="18"/>
      <c r="ABV163" s="18"/>
      <c r="ABW163" s="18"/>
      <c r="ABX163" s="18"/>
      <c r="ABY163" s="18"/>
      <c r="ABZ163" s="18"/>
      <c r="ACA163" s="18"/>
      <c r="ACB163" s="18"/>
      <c r="ACC163" s="18"/>
      <c r="ACD163" s="18"/>
      <c r="ACE163" s="18"/>
      <c r="ACF163" s="18"/>
      <c r="ACG163" s="18"/>
      <c r="ACH163" s="18"/>
      <c r="ACI163" s="18"/>
      <c r="ACJ163" s="18"/>
      <c r="ACK163" s="18"/>
      <c r="ACL163" s="18"/>
      <c r="ACM163" s="18"/>
      <c r="ACN163" s="18"/>
      <c r="ACO163" s="18"/>
      <c r="ACP163" s="18"/>
      <c r="ACQ163" s="18"/>
      <c r="ACR163" s="18"/>
      <c r="ACS163" s="18"/>
      <c r="ACT163" s="18"/>
      <c r="ACU163" s="18"/>
      <c r="ACV163" s="18"/>
      <c r="ACW163" s="18"/>
      <c r="ACX163" s="18"/>
      <c r="ACY163" s="18"/>
      <c r="ACZ163" s="18"/>
      <c r="ADA163" s="18"/>
      <c r="ADB163" s="18"/>
      <c r="ADC163" s="18"/>
      <c r="ADD163" s="18"/>
      <c r="ADE163" s="18"/>
      <c r="ADF163" s="18"/>
      <c r="ADG163" s="18"/>
      <c r="ADH163" s="18"/>
      <c r="ADI163" s="18"/>
      <c r="ADJ163" s="18"/>
      <c r="ADK163" s="18"/>
      <c r="ADL163" s="18"/>
      <c r="ADM163" s="18"/>
      <c r="ADN163" s="18"/>
      <c r="ADO163" s="18"/>
      <c r="ADP163" s="18"/>
      <c r="ADQ163" s="18"/>
      <c r="ADR163" s="18"/>
      <c r="ADS163" s="18"/>
      <c r="ADT163" s="18"/>
      <c r="ADU163" s="18"/>
      <c r="ADV163" s="18"/>
      <c r="ADW163" s="18"/>
      <c r="ADX163" s="18"/>
      <c r="ADY163" s="18"/>
      <c r="ADZ163" s="18"/>
      <c r="AEA163" s="18"/>
      <c r="AEB163" s="18"/>
      <c r="AEC163" s="18"/>
      <c r="AED163" s="18"/>
      <c r="AEE163" s="18"/>
      <c r="AEF163" s="18"/>
      <c r="AEG163" s="18"/>
      <c r="AEH163" s="18"/>
      <c r="AEI163" s="18"/>
      <c r="AEJ163" s="18"/>
      <c r="AEK163" s="18"/>
      <c r="AEL163" s="18"/>
      <c r="AEM163" s="18"/>
      <c r="AEN163" s="18"/>
      <c r="AEO163" s="18"/>
      <c r="AEP163" s="18"/>
      <c r="AEQ163" s="18"/>
      <c r="AER163" s="18"/>
      <c r="AES163" s="18"/>
      <c r="AET163" s="18"/>
      <c r="AEU163" s="18"/>
      <c r="AEV163" s="18"/>
      <c r="AEW163" s="18"/>
      <c r="AEX163" s="18"/>
      <c r="AEY163" s="18"/>
      <c r="AEZ163" s="18"/>
      <c r="AFA163" s="18"/>
      <c r="AFB163" s="18"/>
      <c r="AFC163" s="18"/>
      <c r="AFD163" s="18"/>
      <c r="AFE163" s="18"/>
      <c r="AFF163" s="18"/>
      <c r="AFG163" s="18"/>
      <c r="AFH163" s="18"/>
      <c r="AFI163" s="18"/>
      <c r="AFJ163" s="18"/>
      <c r="AFK163" s="18"/>
      <c r="AFL163" s="18"/>
      <c r="AFM163" s="18"/>
      <c r="AFN163" s="18"/>
      <c r="AFO163" s="18"/>
      <c r="AFP163" s="18"/>
      <c r="AFQ163" s="18"/>
      <c r="AFR163" s="18"/>
      <c r="AFS163" s="18"/>
      <c r="AFT163" s="18"/>
      <c r="AFU163" s="18"/>
      <c r="AFV163" s="18"/>
      <c r="AFW163" s="18"/>
      <c r="AFX163" s="18"/>
      <c r="AFY163" s="18"/>
      <c r="AFZ163" s="18"/>
      <c r="AGA163" s="18"/>
      <c r="AGB163" s="18"/>
      <c r="AGC163" s="18"/>
      <c r="AGD163" s="18"/>
      <c r="AGE163" s="18"/>
      <c r="AGF163" s="18"/>
      <c r="AGG163" s="18"/>
      <c r="AGH163" s="18"/>
      <c r="AGI163" s="18"/>
      <c r="AGJ163" s="18"/>
      <c r="AGK163" s="18"/>
      <c r="AGL163" s="18"/>
      <c r="AGM163" s="18"/>
      <c r="AGN163" s="18"/>
      <c r="AGO163" s="18"/>
      <c r="AGP163" s="18"/>
      <c r="AGQ163" s="18"/>
      <c r="AGR163" s="18"/>
      <c r="AGS163" s="18"/>
      <c r="AGT163" s="18"/>
      <c r="AGU163" s="18"/>
      <c r="AGV163" s="18"/>
      <c r="AGW163" s="18"/>
      <c r="AGX163" s="18"/>
      <c r="AGY163" s="18"/>
      <c r="AGZ163" s="18"/>
      <c r="AHA163" s="18"/>
      <c r="AHB163" s="18"/>
      <c r="AHC163" s="18"/>
      <c r="AHD163" s="18"/>
      <c r="AHE163" s="18"/>
      <c r="AHF163" s="18"/>
      <c r="AHG163" s="18"/>
      <c r="AHH163" s="18"/>
      <c r="AHI163" s="18"/>
      <c r="AHJ163" s="18"/>
      <c r="AHK163" s="18"/>
      <c r="AHL163" s="18"/>
      <c r="AHM163" s="18"/>
      <c r="AHN163" s="18"/>
      <c r="AHO163" s="18"/>
      <c r="AHP163" s="18"/>
      <c r="AHQ163" s="18"/>
      <c r="AHR163" s="18"/>
      <c r="AHS163" s="18"/>
      <c r="AHT163" s="18"/>
      <c r="AHU163" s="18"/>
      <c r="AHV163" s="18"/>
      <c r="AHW163" s="18"/>
      <c r="AHX163" s="18"/>
      <c r="AHY163" s="18"/>
      <c r="AHZ163" s="18"/>
      <c r="AIA163" s="18"/>
      <c r="AIB163" s="18"/>
      <c r="AIC163" s="18"/>
      <c r="AID163" s="18"/>
      <c r="AIE163" s="18"/>
      <c r="AIF163" s="18"/>
      <c r="AIG163" s="18"/>
      <c r="AIH163" s="18"/>
      <c r="AII163" s="18"/>
      <c r="AIJ163" s="18"/>
      <c r="AIK163" s="18"/>
      <c r="AIL163" s="18"/>
      <c r="AIM163" s="18"/>
      <c r="AIN163" s="18"/>
      <c r="AIO163" s="18"/>
      <c r="AIP163" s="18"/>
      <c r="AIQ163" s="18"/>
      <c r="AIR163" s="18"/>
      <c r="AIS163" s="18"/>
      <c r="AIT163" s="18"/>
      <c r="AIU163" s="18"/>
      <c r="AIV163" s="18"/>
      <c r="AIW163" s="18"/>
      <c r="AIX163" s="18"/>
      <c r="AIY163" s="18"/>
      <c r="AIZ163" s="18"/>
      <c r="AJA163" s="18"/>
      <c r="AJB163" s="18"/>
      <c r="AJC163" s="18"/>
      <c r="AJD163" s="18"/>
      <c r="AJE163" s="18"/>
      <c r="AJF163" s="18"/>
      <c r="AJG163" s="18"/>
      <c r="AJH163" s="18"/>
      <c r="AJI163" s="18"/>
      <c r="AJJ163" s="18"/>
      <c r="AJK163" s="18"/>
      <c r="AJL163" s="18"/>
      <c r="AJM163" s="18"/>
      <c r="AJN163" s="18"/>
      <c r="AJO163" s="18"/>
      <c r="AJP163" s="18"/>
      <c r="AJQ163" s="18"/>
      <c r="AJR163" s="18"/>
      <c r="AJS163" s="18"/>
      <c r="AJT163" s="18"/>
      <c r="AJU163" s="18"/>
      <c r="AJV163" s="18"/>
      <c r="AJW163" s="18"/>
      <c r="AJX163" s="18"/>
      <c r="AJY163" s="18"/>
      <c r="AJZ163" s="18"/>
      <c r="AKA163" s="18"/>
      <c r="AKB163" s="18"/>
      <c r="AKC163" s="18"/>
      <c r="AKD163" s="18"/>
      <c r="AKE163" s="18"/>
      <c r="AKF163" s="18"/>
      <c r="AKG163" s="18"/>
      <c r="AKH163" s="18"/>
      <c r="AKI163" s="18"/>
      <c r="AKJ163" s="18"/>
      <c r="AKK163" s="18"/>
      <c r="AKL163" s="18"/>
      <c r="AKM163" s="18"/>
      <c r="AKN163" s="18"/>
      <c r="AKO163" s="18"/>
      <c r="AKP163" s="18"/>
      <c r="AKQ163" s="18"/>
      <c r="AKR163" s="18"/>
      <c r="AKS163" s="18"/>
      <c r="AKT163" s="18"/>
      <c r="AKU163" s="18"/>
      <c r="AKV163" s="18"/>
      <c r="AKW163" s="18"/>
      <c r="AKX163" s="18"/>
      <c r="AKY163" s="18"/>
      <c r="AKZ163" s="18"/>
      <c r="ALA163" s="18"/>
      <c r="ALB163" s="18"/>
      <c r="ALC163" s="18"/>
      <c r="ALD163" s="18"/>
      <c r="ALE163" s="18"/>
      <c r="ALF163" s="18"/>
      <c r="ALG163" s="18"/>
      <c r="ALH163" s="18"/>
      <c r="ALI163" s="18"/>
      <c r="ALJ163" s="18"/>
      <c r="ALK163" s="18"/>
      <c r="ALL163" s="18"/>
      <c r="ALM163" s="18"/>
      <c r="ALN163" s="18"/>
      <c r="ALO163" s="18"/>
      <c r="ALP163" s="18"/>
      <c r="ALQ163" s="18"/>
      <c r="ALR163" s="18"/>
      <c r="ALS163" s="18"/>
      <c r="ALT163" s="18"/>
      <c r="ALU163" s="18"/>
      <c r="ALV163" s="18"/>
      <c r="ALW163" s="18"/>
      <c r="ALX163" s="18"/>
      <c r="ALY163" s="18"/>
      <c r="ALZ163" s="18"/>
      <c r="AMA163" s="18"/>
      <c r="AMB163" s="18"/>
      <c r="AMC163" s="18"/>
      <c r="AMD163" s="18"/>
      <c r="AME163" s="18"/>
      <c r="AMF163" s="18"/>
      <c r="AMG163" s="18"/>
      <c r="AMH163" s="18"/>
      <c r="AMI163" s="18"/>
      <c r="AMJ163" s="18"/>
      <c r="AMK163" s="18"/>
      <c r="AML163" s="18"/>
      <c r="AMM163" s="18"/>
    </row>
    <row r="164" spans="1:1027" s="1" customFormat="1" x14ac:dyDescent="0.2">
      <c r="A164" s="1" t="s">
        <v>678</v>
      </c>
      <c r="B164" s="1" t="s">
        <v>729</v>
      </c>
      <c r="D164" s="1">
        <v>238</v>
      </c>
      <c r="E164" s="10" t="s">
        <v>506</v>
      </c>
      <c r="F164" s="10" t="s">
        <v>508</v>
      </c>
      <c r="G164" s="11" t="s">
        <v>508</v>
      </c>
      <c r="H164" s="10" t="s">
        <v>507</v>
      </c>
      <c r="I164" s="10"/>
      <c r="J164" s="10" t="s">
        <v>507</v>
      </c>
      <c r="K164" s="12"/>
      <c r="L164" s="26"/>
      <c r="S164" s="13"/>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c r="DY164" s="18"/>
      <c r="DZ164" s="18"/>
      <c r="EA164" s="18"/>
      <c r="EB164" s="18"/>
      <c r="EC164" s="18"/>
      <c r="ED164" s="18"/>
      <c r="EE164" s="18"/>
      <c r="EF164" s="18"/>
      <c r="EG164" s="18"/>
      <c r="EH164" s="18"/>
      <c r="EI164" s="18"/>
      <c r="EJ164" s="18"/>
      <c r="EK164" s="18"/>
      <c r="EL164" s="18"/>
      <c r="EM164" s="18"/>
      <c r="EN164" s="18"/>
      <c r="EO164" s="18"/>
      <c r="EP164" s="18"/>
      <c r="EQ164" s="18"/>
      <c r="ER164" s="18"/>
      <c r="ES164" s="18"/>
      <c r="ET164" s="18"/>
      <c r="EU164" s="18"/>
      <c r="EV164" s="18"/>
      <c r="EW164" s="18"/>
      <c r="EX164" s="18"/>
      <c r="EY164" s="18"/>
      <c r="EZ164" s="18"/>
      <c r="FA164" s="18"/>
      <c r="FB164" s="18"/>
      <c r="FC164" s="18"/>
      <c r="FD164" s="18"/>
      <c r="FE164" s="18"/>
      <c r="FF164" s="18"/>
      <c r="FG164" s="18"/>
      <c r="FH164" s="18"/>
      <c r="FI164" s="18"/>
      <c r="FJ164" s="18"/>
      <c r="FK164" s="18"/>
      <c r="FL164" s="18"/>
      <c r="FM164" s="18"/>
      <c r="FN164" s="18"/>
      <c r="FO164" s="18"/>
      <c r="FP164" s="18"/>
      <c r="FQ164" s="18"/>
      <c r="FR164" s="18"/>
      <c r="FS164" s="18"/>
      <c r="FT164" s="18"/>
      <c r="FU164" s="18"/>
      <c r="FV164" s="18"/>
      <c r="FW164" s="18"/>
      <c r="FX164" s="18"/>
      <c r="FY164" s="18"/>
      <c r="FZ164" s="18"/>
      <c r="GA164" s="18"/>
      <c r="GB164" s="18"/>
      <c r="GC164" s="18"/>
      <c r="GD164" s="18"/>
      <c r="GE164" s="18"/>
      <c r="GF164" s="18"/>
      <c r="GG164" s="18"/>
      <c r="GH164" s="18"/>
      <c r="GI164" s="18"/>
      <c r="GJ164" s="18"/>
      <c r="GK164" s="18"/>
      <c r="GL164" s="18"/>
      <c r="GM164" s="18"/>
      <c r="GN164" s="18"/>
      <c r="GO164" s="18"/>
      <c r="GP164" s="18"/>
      <c r="GQ164" s="18"/>
      <c r="GR164" s="18"/>
      <c r="GS164" s="18"/>
      <c r="GT164" s="18"/>
      <c r="GU164" s="18"/>
      <c r="GV164" s="18"/>
      <c r="GW164" s="18"/>
      <c r="GX164" s="18"/>
      <c r="GY164" s="18"/>
      <c r="GZ164" s="18"/>
      <c r="HA164" s="18"/>
      <c r="HB164" s="18"/>
      <c r="HC164" s="18"/>
      <c r="HD164" s="18"/>
      <c r="HE164" s="18"/>
      <c r="HF164" s="18"/>
      <c r="HG164" s="18"/>
      <c r="HH164" s="18"/>
      <c r="HI164" s="18"/>
      <c r="HJ164" s="18"/>
      <c r="HK164" s="18"/>
      <c r="HL164" s="18"/>
      <c r="HM164" s="18"/>
      <c r="HN164" s="18"/>
      <c r="HO164" s="18"/>
      <c r="HP164" s="18"/>
      <c r="HQ164" s="18"/>
      <c r="HR164" s="18"/>
      <c r="HS164" s="18"/>
      <c r="HT164" s="18"/>
      <c r="HU164" s="18"/>
      <c r="HV164" s="18"/>
      <c r="HW164" s="18"/>
      <c r="HX164" s="18"/>
      <c r="HY164" s="18"/>
      <c r="HZ164" s="18"/>
      <c r="IA164" s="18"/>
      <c r="IB164" s="18"/>
      <c r="IC164" s="18"/>
      <c r="ID164" s="18"/>
      <c r="IE164" s="18"/>
      <c r="IF164" s="18"/>
      <c r="IG164" s="18"/>
      <c r="IH164" s="18"/>
      <c r="II164" s="18"/>
      <c r="IJ164" s="18"/>
      <c r="IK164" s="18"/>
      <c r="IL164" s="18"/>
      <c r="IM164" s="18"/>
      <c r="IN164" s="18"/>
      <c r="IO164" s="18"/>
      <c r="IP164" s="18"/>
      <c r="IQ164" s="18"/>
      <c r="IR164" s="18"/>
      <c r="IS164" s="18"/>
      <c r="IT164" s="18"/>
      <c r="IU164" s="18"/>
      <c r="IV164" s="18"/>
      <c r="IW164" s="18"/>
      <c r="IX164" s="18"/>
      <c r="IY164" s="18"/>
      <c r="IZ164" s="18"/>
      <c r="JA164" s="18"/>
      <c r="JB164" s="18"/>
      <c r="JC164" s="18"/>
      <c r="JD164" s="18"/>
      <c r="JE164" s="18"/>
      <c r="JF164" s="18"/>
      <c r="JG164" s="18"/>
      <c r="JH164" s="18"/>
      <c r="JI164" s="18"/>
      <c r="JJ164" s="18"/>
      <c r="JK164" s="18"/>
      <c r="JL164" s="18"/>
      <c r="JM164" s="18"/>
      <c r="JN164" s="18"/>
      <c r="JO164" s="18"/>
      <c r="JP164" s="18"/>
      <c r="JQ164" s="18"/>
      <c r="JR164" s="18"/>
      <c r="JS164" s="18"/>
      <c r="JT164" s="18"/>
      <c r="JU164" s="18"/>
      <c r="JV164" s="18"/>
      <c r="JW164" s="18"/>
      <c r="JX164" s="18"/>
      <c r="JY164" s="18"/>
      <c r="JZ164" s="18"/>
      <c r="KA164" s="18"/>
      <c r="KB164" s="18"/>
      <c r="KC164" s="18"/>
      <c r="KD164" s="18"/>
      <c r="KE164" s="18"/>
      <c r="KF164" s="18"/>
      <c r="KG164" s="18"/>
      <c r="KH164" s="18"/>
      <c r="KI164" s="18"/>
      <c r="KJ164" s="18"/>
      <c r="KK164" s="18"/>
      <c r="KL164" s="18"/>
      <c r="KM164" s="18"/>
      <c r="KN164" s="18"/>
      <c r="KO164" s="18"/>
      <c r="KP164" s="18"/>
      <c r="KQ164" s="18"/>
      <c r="KR164" s="18"/>
      <c r="KS164" s="18"/>
      <c r="KT164" s="18"/>
      <c r="KU164" s="18"/>
      <c r="KV164" s="18"/>
      <c r="KW164" s="18"/>
      <c r="KX164" s="18"/>
      <c r="KY164" s="18"/>
      <c r="KZ164" s="18"/>
      <c r="LA164" s="18"/>
      <c r="LB164" s="18"/>
      <c r="LC164" s="18"/>
      <c r="LD164" s="18"/>
      <c r="LE164" s="18"/>
      <c r="LF164" s="18"/>
      <c r="LG164" s="18"/>
      <c r="LH164" s="18"/>
      <c r="LI164" s="18"/>
      <c r="LJ164" s="18"/>
      <c r="LK164" s="18"/>
      <c r="LL164" s="18"/>
      <c r="LM164" s="18"/>
      <c r="LN164" s="18"/>
      <c r="LO164" s="18"/>
      <c r="LP164" s="18"/>
      <c r="LQ164" s="18"/>
      <c r="LR164" s="18"/>
      <c r="LS164" s="18"/>
      <c r="LT164" s="18"/>
      <c r="LU164" s="18"/>
      <c r="LV164" s="18"/>
      <c r="LW164" s="18"/>
      <c r="LX164" s="18"/>
      <c r="LY164" s="18"/>
      <c r="LZ164" s="18"/>
      <c r="MA164" s="18"/>
      <c r="MB164" s="18"/>
      <c r="MC164" s="18"/>
      <c r="MD164" s="18"/>
      <c r="ME164" s="18"/>
      <c r="MF164" s="18"/>
      <c r="MG164" s="18"/>
      <c r="MH164" s="18"/>
      <c r="MI164" s="18"/>
      <c r="MJ164" s="18"/>
      <c r="MK164" s="18"/>
      <c r="ML164" s="18"/>
      <c r="MM164" s="18"/>
      <c r="MN164" s="18"/>
      <c r="MO164" s="18"/>
      <c r="MP164" s="18"/>
      <c r="MQ164" s="18"/>
      <c r="MR164" s="18"/>
      <c r="MS164" s="18"/>
      <c r="MT164" s="18"/>
      <c r="MU164" s="18"/>
      <c r="MV164" s="18"/>
      <c r="MW164" s="18"/>
      <c r="MX164" s="18"/>
      <c r="MY164" s="18"/>
      <c r="MZ164" s="18"/>
      <c r="NA164" s="18"/>
      <c r="NB164" s="18"/>
      <c r="NC164" s="18"/>
      <c r="ND164" s="18"/>
      <c r="NE164" s="18"/>
      <c r="NF164" s="18"/>
      <c r="NG164" s="18"/>
      <c r="NH164" s="18"/>
      <c r="NI164" s="18"/>
      <c r="NJ164" s="18"/>
      <c r="NK164" s="18"/>
      <c r="NL164" s="18"/>
      <c r="NM164" s="18"/>
      <c r="NN164" s="18"/>
      <c r="NO164" s="18"/>
      <c r="NP164" s="18"/>
      <c r="NQ164" s="18"/>
      <c r="NR164" s="18"/>
      <c r="NS164" s="18"/>
      <c r="NT164" s="18"/>
      <c r="NU164" s="18"/>
      <c r="NV164" s="18"/>
      <c r="NW164" s="18"/>
      <c r="NX164" s="18"/>
      <c r="NY164" s="18"/>
      <c r="NZ164" s="18"/>
      <c r="OA164" s="18"/>
      <c r="OB164" s="18"/>
      <c r="OC164" s="18"/>
      <c r="OD164" s="18"/>
      <c r="OE164" s="18"/>
      <c r="OF164" s="18"/>
      <c r="OG164" s="18"/>
      <c r="OH164" s="18"/>
      <c r="OI164" s="18"/>
      <c r="OJ164" s="18"/>
      <c r="OK164" s="18"/>
      <c r="OL164" s="18"/>
      <c r="OM164" s="18"/>
      <c r="ON164" s="18"/>
      <c r="OO164" s="18"/>
      <c r="OP164" s="18"/>
      <c r="OQ164" s="18"/>
      <c r="OR164" s="18"/>
      <c r="OS164" s="18"/>
      <c r="OT164" s="18"/>
      <c r="OU164" s="18"/>
      <c r="OV164" s="18"/>
      <c r="OW164" s="18"/>
      <c r="OX164" s="18"/>
      <c r="OY164" s="18"/>
      <c r="OZ164" s="18"/>
      <c r="PA164" s="18"/>
      <c r="PB164" s="18"/>
      <c r="PC164" s="18"/>
      <c r="PD164" s="18"/>
      <c r="PE164" s="18"/>
      <c r="PF164" s="18"/>
      <c r="PG164" s="18"/>
      <c r="PH164" s="18"/>
      <c r="PI164" s="18"/>
      <c r="PJ164" s="18"/>
      <c r="PK164" s="18"/>
      <c r="PL164" s="18"/>
      <c r="PM164" s="18"/>
      <c r="PN164" s="18"/>
      <c r="PO164" s="18"/>
      <c r="PP164" s="18"/>
      <c r="PQ164" s="18"/>
      <c r="PR164" s="18"/>
      <c r="PS164" s="18"/>
      <c r="PT164" s="18"/>
      <c r="PU164" s="18"/>
      <c r="PV164" s="18"/>
      <c r="PW164" s="18"/>
      <c r="PX164" s="18"/>
      <c r="PY164" s="18"/>
      <c r="PZ164" s="18"/>
      <c r="QA164" s="18"/>
      <c r="QB164" s="18"/>
      <c r="QC164" s="18"/>
      <c r="QD164" s="18"/>
      <c r="QE164" s="18"/>
      <c r="QF164" s="18"/>
      <c r="QG164" s="18"/>
      <c r="QH164" s="18"/>
      <c r="QI164" s="18"/>
      <c r="QJ164" s="18"/>
      <c r="QK164" s="18"/>
      <c r="QL164" s="18"/>
      <c r="QM164" s="18"/>
      <c r="QN164" s="18"/>
      <c r="QO164" s="18"/>
      <c r="QP164" s="18"/>
      <c r="QQ164" s="18"/>
      <c r="QR164" s="18"/>
      <c r="QS164" s="18"/>
      <c r="QT164" s="18"/>
      <c r="QU164" s="18"/>
      <c r="QV164" s="18"/>
      <c r="QW164" s="18"/>
      <c r="QX164" s="18"/>
      <c r="QY164" s="18"/>
      <c r="QZ164" s="18"/>
      <c r="RA164" s="18"/>
      <c r="RB164" s="18"/>
      <c r="RC164" s="18"/>
      <c r="RD164" s="18"/>
      <c r="RE164" s="18"/>
      <c r="RF164" s="18"/>
      <c r="RG164" s="18"/>
      <c r="RH164" s="18"/>
      <c r="RI164" s="18"/>
      <c r="RJ164" s="18"/>
      <c r="RK164" s="18"/>
      <c r="RL164" s="18"/>
      <c r="RM164" s="18"/>
      <c r="RN164" s="18"/>
      <c r="RO164" s="18"/>
      <c r="RP164" s="18"/>
      <c r="RQ164" s="18"/>
      <c r="RR164" s="18"/>
      <c r="RS164" s="18"/>
      <c r="RT164" s="18"/>
      <c r="RU164" s="18"/>
      <c r="RV164" s="18"/>
      <c r="RW164" s="18"/>
      <c r="RX164" s="18"/>
      <c r="RY164" s="18"/>
      <c r="RZ164" s="18"/>
      <c r="SA164" s="18"/>
      <c r="SB164" s="18"/>
      <c r="SC164" s="18"/>
      <c r="SD164" s="18"/>
      <c r="SE164" s="18"/>
      <c r="SF164" s="18"/>
      <c r="SG164" s="18"/>
      <c r="SH164" s="18"/>
      <c r="SI164" s="18"/>
      <c r="SJ164" s="18"/>
      <c r="SK164" s="18"/>
      <c r="SL164" s="18"/>
      <c r="SM164" s="18"/>
      <c r="SN164" s="18"/>
      <c r="SO164" s="18"/>
      <c r="SP164" s="18"/>
      <c r="SQ164" s="18"/>
      <c r="SR164" s="18"/>
      <c r="SS164" s="18"/>
      <c r="ST164" s="18"/>
      <c r="SU164" s="18"/>
      <c r="SV164" s="18"/>
      <c r="SW164" s="18"/>
      <c r="SX164" s="18"/>
      <c r="SY164" s="18"/>
      <c r="SZ164" s="18"/>
      <c r="TA164" s="18"/>
      <c r="TB164" s="18"/>
      <c r="TC164" s="18"/>
      <c r="TD164" s="18"/>
      <c r="TE164" s="18"/>
      <c r="TF164" s="18"/>
      <c r="TG164" s="18"/>
      <c r="TH164" s="18"/>
      <c r="TI164" s="18"/>
      <c r="TJ164" s="18"/>
      <c r="TK164" s="18"/>
      <c r="TL164" s="18"/>
      <c r="TM164" s="18"/>
      <c r="TN164" s="18"/>
      <c r="TO164" s="18"/>
      <c r="TP164" s="18"/>
      <c r="TQ164" s="18"/>
      <c r="TR164" s="18"/>
      <c r="TS164" s="18"/>
      <c r="TT164" s="18"/>
      <c r="TU164" s="18"/>
      <c r="TV164" s="18"/>
      <c r="TW164" s="18"/>
      <c r="TX164" s="18"/>
      <c r="TY164" s="18"/>
      <c r="TZ164" s="18"/>
      <c r="UA164" s="18"/>
      <c r="UB164" s="18"/>
      <c r="UC164" s="18"/>
      <c r="UD164" s="18"/>
      <c r="UE164" s="18"/>
      <c r="UF164" s="18"/>
      <c r="UG164" s="18"/>
      <c r="UH164" s="18"/>
      <c r="UI164" s="18"/>
      <c r="UJ164" s="18"/>
      <c r="UK164" s="18"/>
      <c r="UL164" s="18"/>
      <c r="UM164" s="18"/>
      <c r="UN164" s="18"/>
      <c r="UO164" s="18"/>
      <c r="UP164" s="18"/>
      <c r="UQ164" s="18"/>
      <c r="UR164" s="18"/>
      <c r="US164" s="18"/>
      <c r="UT164" s="18"/>
      <c r="UU164" s="18"/>
      <c r="UV164" s="18"/>
      <c r="UW164" s="18"/>
      <c r="UX164" s="18"/>
      <c r="UY164" s="18"/>
      <c r="UZ164" s="18"/>
      <c r="VA164" s="18"/>
      <c r="VB164" s="18"/>
      <c r="VC164" s="18"/>
      <c r="VD164" s="18"/>
      <c r="VE164" s="18"/>
      <c r="VF164" s="18"/>
      <c r="VG164" s="18"/>
      <c r="VH164" s="18"/>
      <c r="VI164" s="18"/>
      <c r="VJ164" s="18"/>
      <c r="VK164" s="18"/>
      <c r="VL164" s="18"/>
      <c r="VM164" s="18"/>
      <c r="VN164" s="18"/>
      <c r="VO164" s="18"/>
      <c r="VP164" s="18"/>
      <c r="VQ164" s="18"/>
      <c r="VR164" s="18"/>
      <c r="VS164" s="18"/>
      <c r="VT164" s="18"/>
      <c r="VU164" s="18"/>
      <c r="VV164" s="18"/>
      <c r="VW164" s="18"/>
      <c r="VX164" s="18"/>
      <c r="VY164" s="18"/>
      <c r="VZ164" s="18"/>
      <c r="WA164" s="18"/>
      <c r="WB164" s="18"/>
      <c r="WC164" s="18"/>
      <c r="WD164" s="18"/>
      <c r="WE164" s="18"/>
      <c r="WF164" s="18"/>
      <c r="WG164" s="18"/>
      <c r="WH164" s="18"/>
      <c r="WI164" s="18"/>
      <c r="WJ164" s="18"/>
      <c r="WK164" s="18"/>
      <c r="WL164" s="18"/>
      <c r="WM164" s="18"/>
      <c r="WN164" s="18"/>
      <c r="WO164" s="18"/>
      <c r="WP164" s="18"/>
      <c r="WQ164" s="18"/>
      <c r="WR164" s="18"/>
      <c r="WS164" s="18"/>
      <c r="WT164" s="18"/>
      <c r="WU164" s="18"/>
      <c r="WV164" s="18"/>
      <c r="WW164" s="18"/>
      <c r="WX164" s="18"/>
      <c r="WY164" s="18"/>
      <c r="WZ164" s="18"/>
      <c r="XA164" s="18"/>
      <c r="XB164" s="18"/>
      <c r="XC164" s="18"/>
      <c r="XD164" s="18"/>
      <c r="XE164" s="18"/>
      <c r="XF164" s="18"/>
      <c r="XG164" s="18"/>
      <c r="XH164" s="18"/>
      <c r="XI164" s="18"/>
      <c r="XJ164" s="18"/>
      <c r="XK164" s="18"/>
      <c r="XL164" s="18"/>
      <c r="XM164" s="18"/>
      <c r="XN164" s="18"/>
      <c r="XO164" s="18"/>
      <c r="XP164" s="18"/>
      <c r="XQ164" s="18"/>
      <c r="XR164" s="18"/>
      <c r="XS164" s="18"/>
      <c r="XT164" s="18"/>
      <c r="XU164" s="18"/>
      <c r="XV164" s="18"/>
      <c r="XW164" s="18"/>
      <c r="XX164" s="18"/>
      <c r="XY164" s="18"/>
      <c r="XZ164" s="18"/>
      <c r="YA164" s="18"/>
      <c r="YB164" s="18"/>
      <c r="YC164" s="18"/>
      <c r="YD164" s="18"/>
      <c r="YE164" s="18"/>
      <c r="YF164" s="18"/>
      <c r="YG164" s="18"/>
      <c r="YH164" s="18"/>
      <c r="YI164" s="18"/>
      <c r="YJ164" s="18"/>
      <c r="YK164" s="18"/>
      <c r="YL164" s="18"/>
      <c r="YM164" s="18"/>
      <c r="YN164" s="18"/>
      <c r="YO164" s="18"/>
      <c r="YP164" s="18"/>
      <c r="YQ164" s="18"/>
      <c r="YR164" s="18"/>
      <c r="YS164" s="18"/>
      <c r="YT164" s="18"/>
      <c r="YU164" s="18"/>
      <c r="YV164" s="18"/>
      <c r="YW164" s="18"/>
      <c r="YX164" s="18"/>
      <c r="YY164" s="18"/>
      <c r="YZ164" s="18"/>
      <c r="ZA164" s="18"/>
      <c r="ZB164" s="18"/>
      <c r="ZC164" s="18"/>
      <c r="ZD164" s="18"/>
      <c r="ZE164" s="18"/>
      <c r="ZF164" s="18"/>
      <c r="ZG164" s="18"/>
      <c r="ZH164" s="18"/>
      <c r="ZI164" s="18"/>
      <c r="ZJ164" s="18"/>
      <c r="ZK164" s="18"/>
      <c r="ZL164" s="18"/>
      <c r="ZM164" s="18"/>
      <c r="ZN164" s="18"/>
      <c r="ZO164" s="18"/>
      <c r="ZP164" s="18"/>
      <c r="ZQ164" s="18"/>
      <c r="ZR164" s="18"/>
      <c r="ZS164" s="18"/>
      <c r="ZT164" s="18"/>
      <c r="ZU164" s="18"/>
      <c r="ZV164" s="18"/>
      <c r="ZW164" s="18"/>
      <c r="ZX164" s="18"/>
      <c r="ZY164" s="18"/>
      <c r="ZZ164" s="18"/>
      <c r="AAA164" s="18"/>
      <c r="AAB164" s="18"/>
      <c r="AAC164" s="18"/>
      <c r="AAD164" s="18"/>
      <c r="AAE164" s="18"/>
      <c r="AAF164" s="18"/>
      <c r="AAG164" s="18"/>
      <c r="AAH164" s="18"/>
      <c r="AAI164" s="18"/>
      <c r="AAJ164" s="18"/>
      <c r="AAK164" s="18"/>
      <c r="AAL164" s="18"/>
      <c r="AAM164" s="18"/>
      <c r="AAN164" s="18"/>
      <c r="AAO164" s="18"/>
      <c r="AAP164" s="18"/>
      <c r="AAQ164" s="18"/>
      <c r="AAR164" s="18"/>
      <c r="AAS164" s="18"/>
      <c r="AAT164" s="18"/>
      <c r="AAU164" s="18"/>
      <c r="AAV164" s="18"/>
      <c r="AAW164" s="18"/>
      <c r="AAX164" s="18"/>
      <c r="AAY164" s="18"/>
      <c r="AAZ164" s="18"/>
      <c r="ABA164" s="18"/>
      <c r="ABB164" s="18"/>
      <c r="ABC164" s="18"/>
      <c r="ABD164" s="18"/>
      <c r="ABE164" s="18"/>
      <c r="ABF164" s="18"/>
      <c r="ABG164" s="18"/>
      <c r="ABH164" s="18"/>
      <c r="ABI164" s="18"/>
      <c r="ABJ164" s="18"/>
      <c r="ABK164" s="18"/>
      <c r="ABL164" s="18"/>
      <c r="ABM164" s="18"/>
      <c r="ABN164" s="18"/>
      <c r="ABO164" s="18"/>
      <c r="ABP164" s="18"/>
      <c r="ABQ164" s="18"/>
      <c r="ABR164" s="18"/>
      <c r="ABS164" s="18"/>
      <c r="ABT164" s="18"/>
      <c r="ABU164" s="18"/>
      <c r="ABV164" s="18"/>
      <c r="ABW164" s="18"/>
      <c r="ABX164" s="18"/>
      <c r="ABY164" s="18"/>
      <c r="ABZ164" s="18"/>
      <c r="ACA164" s="18"/>
      <c r="ACB164" s="18"/>
      <c r="ACC164" s="18"/>
      <c r="ACD164" s="18"/>
      <c r="ACE164" s="18"/>
      <c r="ACF164" s="18"/>
      <c r="ACG164" s="18"/>
      <c r="ACH164" s="18"/>
      <c r="ACI164" s="18"/>
      <c r="ACJ164" s="18"/>
      <c r="ACK164" s="18"/>
      <c r="ACL164" s="18"/>
      <c r="ACM164" s="18"/>
      <c r="ACN164" s="18"/>
      <c r="ACO164" s="18"/>
      <c r="ACP164" s="18"/>
      <c r="ACQ164" s="18"/>
      <c r="ACR164" s="18"/>
      <c r="ACS164" s="18"/>
      <c r="ACT164" s="18"/>
      <c r="ACU164" s="18"/>
      <c r="ACV164" s="18"/>
      <c r="ACW164" s="18"/>
      <c r="ACX164" s="18"/>
      <c r="ACY164" s="18"/>
      <c r="ACZ164" s="18"/>
      <c r="ADA164" s="18"/>
      <c r="ADB164" s="18"/>
      <c r="ADC164" s="18"/>
      <c r="ADD164" s="18"/>
      <c r="ADE164" s="18"/>
      <c r="ADF164" s="18"/>
      <c r="ADG164" s="18"/>
      <c r="ADH164" s="18"/>
      <c r="ADI164" s="18"/>
      <c r="ADJ164" s="18"/>
      <c r="ADK164" s="18"/>
      <c r="ADL164" s="18"/>
      <c r="ADM164" s="18"/>
      <c r="ADN164" s="18"/>
      <c r="ADO164" s="18"/>
      <c r="ADP164" s="18"/>
      <c r="ADQ164" s="18"/>
      <c r="ADR164" s="18"/>
      <c r="ADS164" s="18"/>
      <c r="ADT164" s="18"/>
      <c r="ADU164" s="18"/>
      <c r="ADV164" s="18"/>
      <c r="ADW164" s="18"/>
      <c r="ADX164" s="18"/>
      <c r="ADY164" s="18"/>
      <c r="ADZ164" s="18"/>
      <c r="AEA164" s="18"/>
      <c r="AEB164" s="18"/>
      <c r="AEC164" s="18"/>
      <c r="AED164" s="18"/>
      <c r="AEE164" s="18"/>
      <c r="AEF164" s="18"/>
      <c r="AEG164" s="18"/>
      <c r="AEH164" s="18"/>
      <c r="AEI164" s="18"/>
      <c r="AEJ164" s="18"/>
      <c r="AEK164" s="18"/>
      <c r="AEL164" s="18"/>
      <c r="AEM164" s="18"/>
      <c r="AEN164" s="18"/>
      <c r="AEO164" s="18"/>
      <c r="AEP164" s="18"/>
      <c r="AEQ164" s="18"/>
      <c r="AER164" s="18"/>
      <c r="AES164" s="18"/>
      <c r="AET164" s="18"/>
      <c r="AEU164" s="18"/>
      <c r="AEV164" s="18"/>
      <c r="AEW164" s="18"/>
      <c r="AEX164" s="18"/>
      <c r="AEY164" s="18"/>
      <c r="AEZ164" s="18"/>
      <c r="AFA164" s="18"/>
      <c r="AFB164" s="18"/>
      <c r="AFC164" s="18"/>
      <c r="AFD164" s="18"/>
      <c r="AFE164" s="18"/>
      <c r="AFF164" s="18"/>
      <c r="AFG164" s="18"/>
      <c r="AFH164" s="18"/>
      <c r="AFI164" s="18"/>
      <c r="AFJ164" s="18"/>
      <c r="AFK164" s="18"/>
      <c r="AFL164" s="18"/>
      <c r="AFM164" s="18"/>
      <c r="AFN164" s="18"/>
      <c r="AFO164" s="18"/>
      <c r="AFP164" s="18"/>
      <c r="AFQ164" s="18"/>
      <c r="AFR164" s="18"/>
      <c r="AFS164" s="18"/>
      <c r="AFT164" s="18"/>
      <c r="AFU164" s="18"/>
      <c r="AFV164" s="18"/>
      <c r="AFW164" s="18"/>
      <c r="AFX164" s="18"/>
      <c r="AFY164" s="18"/>
      <c r="AFZ164" s="18"/>
      <c r="AGA164" s="18"/>
      <c r="AGB164" s="18"/>
      <c r="AGC164" s="18"/>
      <c r="AGD164" s="18"/>
      <c r="AGE164" s="18"/>
      <c r="AGF164" s="18"/>
      <c r="AGG164" s="18"/>
      <c r="AGH164" s="18"/>
      <c r="AGI164" s="18"/>
      <c r="AGJ164" s="18"/>
      <c r="AGK164" s="18"/>
      <c r="AGL164" s="18"/>
      <c r="AGM164" s="18"/>
      <c r="AGN164" s="18"/>
      <c r="AGO164" s="18"/>
      <c r="AGP164" s="18"/>
      <c r="AGQ164" s="18"/>
      <c r="AGR164" s="18"/>
      <c r="AGS164" s="18"/>
      <c r="AGT164" s="18"/>
      <c r="AGU164" s="18"/>
      <c r="AGV164" s="18"/>
      <c r="AGW164" s="18"/>
      <c r="AGX164" s="18"/>
      <c r="AGY164" s="18"/>
      <c r="AGZ164" s="18"/>
      <c r="AHA164" s="18"/>
      <c r="AHB164" s="18"/>
      <c r="AHC164" s="18"/>
      <c r="AHD164" s="18"/>
      <c r="AHE164" s="18"/>
      <c r="AHF164" s="18"/>
      <c r="AHG164" s="18"/>
      <c r="AHH164" s="18"/>
      <c r="AHI164" s="18"/>
      <c r="AHJ164" s="18"/>
      <c r="AHK164" s="18"/>
      <c r="AHL164" s="18"/>
      <c r="AHM164" s="18"/>
      <c r="AHN164" s="18"/>
      <c r="AHO164" s="18"/>
      <c r="AHP164" s="18"/>
      <c r="AHQ164" s="18"/>
      <c r="AHR164" s="18"/>
      <c r="AHS164" s="18"/>
      <c r="AHT164" s="18"/>
      <c r="AHU164" s="18"/>
      <c r="AHV164" s="18"/>
      <c r="AHW164" s="18"/>
      <c r="AHX164" s="18"/>
      <c r="AHY164" s="18"/>
      <c r="AHZ164" s="18"/>
      <c r="AIA164" s="18"/>
      <c r="AIB164" s="18"/>
      <c r="AIC164" s="18"/>
      <c r="AID164" s="18"/>
      <c r="AIE164" s="18"/>
      <c r="AIF164" s="18"/>
      <c r="AIG164" s="18"/>
      <c r="AIH164" s="18"/>
      <c r="AII164" s="18"/>
      <c r="AIJ164" s="18"/>
      <c r="AIK164" s="18"/>
      <c r="AIL164" s="18"/>
      <c r="AIM164" s="18"/>
      <c r="AIN164" s="18"/>
      <c r="AIO164" s="18"/>
      <c r="AIP164" s="18"/>
      <c r="AIQ164" s="18"/>
      <c r="AIR164" s="18"/>
      <c r="AIS164" s="18"/>
      <c r="AIT164" s="18"/>
      <c r="AIU164" s="18"/>
      <c r="AIV164" s="18"/>
      <c r="AIW164" s="18"/>
      <c r="AIX164" s="18"/>
      <c r="AIY164" s="18"/>
      <c r="AIZ164" s="18"/>
      <c r="AJA164" s="18"/>
      <c r="AJB164" s="18"/>
      <c r="AJC164" s="18"/>
      <c r="AJD164" s="18"/>
      <c r="AJE164" s="18"/>
      <c r="AJF164" s="18"/>
      <c r="AJG164" s="18"/>
      <c r="AJH164" s="18"/>
      <c r="AJI164" s="18"/>
      <c r="AJJ164" s="18"/>
      <c r="AJK164" s="18"/>
      <c r="AJL164" s="18"/>
      <c r="AJM164" s="18"/>
      <c r="AJN164" s="18"/>
      <c r="AJO164" s="18"/>
      <c r="AJP164" s="18"/>
      <c r="AJQ164" s="18"/>
      <c r="AJR164" s="18"/>
      <c r="AJS164" s="18"/>
      <c r="AJT164" s="18"/>
      <c r="AJU164" s="18"/>
      <c r="AJV164" s="18"/>
      <c r="AJW164" s="18"/>
      <c r="AJX164" s="18"/>
      <c r="AJY164" s="18"/>
      <c r="AJZ164" s="18"/>
      <c r="AKA164" s="18"/>
      <c r="AKB164" s="18"/>
      <c r="AKC164" s="18"/>
      <c r="AKD164" s="18"/>
      <c r="AKE164" s="18"/>
      <c r="AKF164" s="18"/>
      <c r="AKG164" s="18"/>
      <c r="AKH164" s="18"/>
      <c r="AKI164" s="18"/>
      <c r="AKJ164" s="18"/>
      <c r="AKK164" s="18"/>
      <c r="AKL164" s="18"/>
      <c r="AKM164" s="18"/>
      <c r="AKN164" s="18"/>
      <c r="AKO164" s="18"/>
      <c r="AKP164" s="18"/>
      <c r="AKQ164" s="18"/>
      <c r="AKR164" s="18"/>
      <c r="AKS164" s="18"/>
      <c r="AKT164" s="18"/>
      <c r="AKU164" s="18"/>
      <c r="AKV164" s="18"/>
      <c r="AKW164" s="18"/>
      <c r="AKX164" s="18"/>
      <c r="AKY164" s="18"/>
      <c r="AKZ164" s="18"/>
      <c r="ALA164" s="18"/>
      <c r="ALB164" s="18"/>
      <c r="ALC164" s="18"/>
      <c r="ALD164" s="18"/>
      <c r="ALE164" s="18"/>
      <c r="ALF164" s="18"/>
      <c r="ALG164" s="18"/>
      <c r="ALH164" s="18"/>
      <c r="ALI164" s="18"/>
      <c r="ALJ164" s="18"/>
      <c r="ALK164" s="18"/>
      <c r="ALL164" s="18"/>
      <c r="ALM164" s="18"/>
      <c r="ALN164" s="18"/>
      <c r="ALO164" s="18"/>
      <c r="ALP164" s="18"/>
      <c r="ALQ164" s="18"/>
      <c r="ALR164" s="18"/>
      <c r="ALS164" s="18"/>
      <c r="ALT164" s="18"/>
      <c r="ALU164" s="18"/>
      <c r="ALV164" s="18"/>
      <c r="ALW164" s="18"/>
      <c r="ALX164" s="18"/>
      <c r="ALY164" s="18"/>
      <c r="ALZ164" s="18"/>
      <c r="AMA164" s="18"/>
      <c r="AMB164" s="18"/>
      <c r="AMC164" s="18"/>
      <c r="AMD164" s="18"/>
      <c r="AME164" s="18"/>
      <c r="AMF164" s="18"/>
      <c r="AMG164" s="18"/>
      <c r="AMH164" s="18"/>
      <c r="AMI164" s="18"/>
      <c r="AMJ164" s="18"/>
      <c r="AMK164" s="18"/>
      <c r="AML164" s="18"/>
    </row>
    <row r="165" spans="1:1027" s="18" customFormat="1" x14ac:dyDescent="0.2">
      <c r="A165" s="18">
        <v>3</v>
      </c>
      <c r="B165" s="18" t="s">
        <v>730</v>
      </c>
      <c r="C165" s="18" t="s">
        <v>731</v>
      </c>
      <c r="D165" s="18">
        <v>395</v>
      </c>
      <c r="E165" s="42" t="s">
        <v>507</v>
      </c>
      <c r="F165" s="42" t="s">
        <v>507</v>
      </c>
      <c r="G165" s="43" t="s">
        <v>508</v>
      </c>
      <c r="H165" s="42" t="s">
        <v>507</v>
      </c>
      <c r="I165" s="42"/>
      <c r="J165" s="42" t="s">
        <v>507</v>
      </c>
      <c r="K165" s="73"/>
      <c r="M165" s="1"/>
      <c r="N165" s="1"/>
      <c r="S165" s="13" t="s">
        <v>640</v>
      </c>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c r="AMK165" s="1"/>
      <c r="AML165" s="1"/>
    </row>
    <row r="166" spans="1:1027" s="18" customFormat="1" x14ac:dyDescent="0.2">
      <c r="A166" s="1">
        <v>2</v>
      </c>
      <c r="B166" s="1" t="s">
        <v>289</v>
      </c>
      <c r="C166" s="1" t="s">
        <v>290</v>
      </c>
      <c r="D166" s="1">
        <v>12</v>
      </c>
      <c r="E166" s="24" t="s">
        <v>507</v>
      </c>
      <c r="F166" s="24" t="s">
        <v>508</v>
      </c>
      <c r="G166" s="25" t="s">
        <v>508</v>
      </c>
      <c r="H166" s="24" t="s">
        <v>507</v>
      </c>
      <c r="I166" s="24"/>
      <c r="J166" s="24" t="s">
        <v>507</v>
      </c>
      <c r="K166" s="12"/>
      <c r="L166" s="26"/>
      <c r="M166" s="1"/>
      <c r="N166" s="1"/>
      <c r="O166" s="1"/>
      <c r="P166" s="1"/>
      <c r="Q166" s="1"/>
      <c r="R166" s="1"/>
      <c r="S166" s="13" t="s">
        <v>726</v>
      </c>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spans="1:1027" s="18" customFormat="1" x14ac:dyDescent="0.2">
      <c r="A167" s="18">
        <v>4</v>
      </c>
      <c r="B167" s="18" t="s">
        <v>732</v>
      </c>
      <c r="C167" s="18" t="s">
        <v>733</v>
      </c>
      <c r="D167" s="18">
        <v>121</v>
      </c>
      <c r="E167" s="19" t="s">
        <v>507</v>
      </c>
      <c r="F167" s="19" t="s">
        <v>507</v>
      </c>
      <c r="G167" s="20" t="s">
        <v>540</v>
      </c>
      <c r="H167" s="19" t="s">
        <v>507</v>
      </c>
      <c r="I167" s="19"/>
      <c r="J167" s="19" t="s">
        <v>507</v>
      </c>
      <c r="K167" s="21" t="s">
        <v>509</v>
      </c>
      <c r="M167" s="1" t="s">
        <v>609</v>
      </c>
      <c r="N167" s="1"/>
      <c r="S167" s="13"/>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spans="1:1027" s="18" customFormat="1" x14ac:dyDescent="0.2">
      <c r="A168" s="18">
        <v>4</v>
      </c>
      <c r="B168" s="18" t="s">
        <v>734</v>
      </c>
      <c r="C168" s="18" t="s">
        <v>733</v>
      </c>
      <c r="D168" s="18">
        <v>132</v>
      </c>
      <c r="E168" s="19" t="s">
        <v>507</v>
      </c>
      <c r="F168" s="19" t="s">
        <v>507</v>
      </c>
      <c r="G168" s="20" t="s">
        <v>508</v>
      </c>
      <c r="H168" s="19" t="s">
        <v>507</v>
      </c>
      <c r="I168" s="19"/>
      <c r="J168" s="19" t="s">
        <v>507</v>
      </c>
      <c r="K168" s="21" t="s">
        <v>509</v>
      </c>
      <c r="M168" s="1" t="s">
        <v>609</v>
      </c>
      <c r="N168" s="1"/>
      <c r="S168" s="13"/>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spans="1:1027" s="18" customFormat="1" x14ac:dyDescent="0.2">
      <c r="A169" s="1">
        <v>4</v>
      </c>
      <c r="B169" s="1" t="s">
        <v>735</v>
      </c>
      <c r="C169" s="1" t="s">
        <v>736</v>
      </c>
      <c r="D169" s="1">
        <v>715</v>
      </c>
      <c r="E169" s="24" t="s">
        <v>507</v>
      </c>
      <c r="F169" s="24" t="s">
        <v>508</v>
      </c>
      <c r="G169" s="25" t="s">
        <v>508</v>
      </c>
      <c r="H169" s="24"/>
      <c r="I169" s="24"/>
      <c r="J169" s="24" t="s">
        <v>507</v>
      </c>
      <c r="K169" s="12"/>
      <c r="L169" s="26"/>
      <c r="M169" s="1"/>
      <c r="N169" s="1"/>
      <c r="O169" s="1"/>
      <c r="P169" s="1"/>
      <c r="Q169" s="1"/>
      <c r="R169" s="1"/>
      <c r="S169" s="13" t="s">
        <v>737</v>
      </c>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spans="1:1027" s="18" customFormat="1" x14ac:dyDescent="0.2">
      <c r="A170" s="54">
        <v>2</v>
      </c>
      <c r="B170" s="18" t="s">
        <v>294</v>
      </c>
      <c r="C170" s="18" t="s">
        <v>296</v>
      </c>
      <c r="D170" s="18">
        <v>209</v>
      </c>
      <c r="E170" s="19" t="s">
        <v>507</v>
      </c>
      <c r="F170" s="19" t="s">
        <v>507</v>
      </c>
      <c r="G170" s="20" t="s">
        <v>508</v>
      </c>
      <c r="H170" s="19" t="s">
        <v>507</v>
      </c>
      <c r="I170" s="19"/>
      <c r="J170" s="19" t="s">
        <v>507</v>
      </c>
      <c r="K170" s="21" t="s">
        <v>509</v>
      </c>
      <c r="M170" s="1" t="s">
        <v>609</v>
      </c>
      <c r="N170" s="1"/>
      <c r="S170" s="13"/>
      <c r="T170" s="6"/>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1"/>
      <c r="DZ170" s="31"/>
      <c r="EA170" s="31"/>
      <c r="EB170" s="31"/>
      <c r="EC170" s="31"/>
      <c r="ED170" s="31"/>
      <c r="EE170" s="31"/>
      <c r="EF170" s="31"/>
      <c r="EG170" s="31"/>
      <c r="EH170" s="31"/>
      <c r="EI170" s="31"/>
      <c r="EJ170" s="31"/>
      <c r="EK170" s="31"/>
      <c r="EL170" s="31"/>
      <c r="EM170" s="31"/>
      <c r="EN170" s="31"/>
      <c r="EO170" s="31"/>
      <c r="EP170" s="31"/>
      <c r="EQ170" s="31"/>
      <c r="ER170" s="31"/>
      <c r="ES170" s="31"/>
      <c r="ET170" s="31"/>
      <c r="EU170" s="31"/>
      <c r="EV170" s="31"/>
      <c r="EW170" s="31"/>
      <c r="EX170" s="31"/>
      <c r="EY170" s="31"/>
      <c r="EZ170" s="31"/>
      <c r="FA170" s="31"/>
      <c r="FB170" s="31"/>
      <c r="FC170" s="31"/>
      <c r="FD170" s="31"/>
      <c r="FE170" s="31"/>
      <c r="FF170" s="31"/>
      <c r="FG170" s="31"/>
      <c r="FH170" s="31"/>
      <c r="FI170" s="31"/>
      <c r="FJ170" s="31"/>
      <c r="FK170" s="31"/>
      <c r="FL170" s="31"/>
      <c r="FM170" s="31"/>
      <c r="FN170" s="31"/>
      <c r="FO170" s="31"/>
      <c r="FP170" s="31"/>
      <c r="FQ170" s="31"/>
      <c r="FR170" s="31"/>
      <c r="FS170" s="31"/>
      <c r="FT170" s="31"/>
      <c r="FU170" s="31"/>
      <c r="FV170" s="31"/>
      <c r="FW170" s="31"/>
      <c r="FX170" s="31"/>
      <c r="FY170" s="31"/>
      <c r="FZ170" s="31"/>
      <c r="GA170" s="31"/>
      <c r="GB170" s="31"/>
      <c r="GC170" s="31"/>
      <c r="GD170" s="31"/>
      <c r="GE170" s="31"/>
      <c r="GF170" s="31"/>
      <c r="GG170" s="31"/>
      <c r="GH170" s="31"/>
      <c r="GI170" s="31"/>
      <c r="GJ170" s="31"/>
      <c r="GK170" s="31"/>
      <c r="GL170" s="31"/>
      <c r="GM170" s="31"/>
      <c r="GN170" s="31"/>
      <c r="GO170" s="31"/>
      <c r="GP170" s="31"/>
      <c r="GQ170" s="31"/>
      <c r="GR170" s="31"/>
      <c r="GS170" s="31"/>
      <c r="GT170" s="31"/>
      <c r="GU170" s="31"/>
      <c r="GV170" s="31"/>
      <c r="GW170" s="31"/>
      <c r="GX170" s="31"/>
      <c r="GY170" s="31"/>
      <c r="GZ170" s="31"/>
      <c r="HA170" s="31"/>
      <c r="HB170" s="31"/>
      <c r="HC170" s="31"/>
      <c r="HD170" s="31"/>
      <c r="HE170" s="31"/>
      <c r="HF170" s="31"/>
      <c r="HG170" s="31"/>
      <c r="HH170" s="31"/>
      <c r="HI170" s="31"/>
      <c r="HJ170" s="31"/>
      <c r="HK170" s="31"/>
      <c r="HL170" s="31"/>
      <c r="HM170" s="31"/>
      <c r="HN170" s="31"/>
      <c r="HO170" s="31"/>
      <c r="HP170" s="31"/>
      <c r="HQ170" s="31"/>
      <c r="HR170" s="31"/>
      <c r="HS170" s="31"/>
      <c r="HT170" s="31"/>
      <c r="HU170" s="31"/>
      <c r="HV170" s="31"/>
      <c r="HW170" s="31"/>
      <c r="HX170" s="31"/>
      <c r="HY170" s="31"/>
      <c r="HZ170" s="31"/>
      <c r="IA170" s="31"/>
      <c r="IB170" s="31"/>
      <c r="IC170" s="31"/>
      <c r="ID170" s="31"/>
      <c r="IE170" s="31"/>
      <c r="IF170" s="31"/>
      <c r="IG170" s="31"/>
      <c r="IH170" s="31"/>
      <c r="II170" s="31"/>
      <c r="IJ170" s="31"/>
      <c r="IK170" s="31"/>
      <c r="IL170" s="31"/>
      <c r="IM170" s="31"/>
      <c r="IN170" s="31"/>
      <c r="IO170" s="31"/>
      <c r="IP170" s="31"/>
      <c r="IQ170" s="31"/>
      <c r="IR170" s="31"/>
      <c r="IS170" s="31"/>
      <c r="IT170" s="31"/>
      <c r="IU170" s="31"/>
      <c r="IV170" s="31"/>
      <c r="IW170" s="31"/>
      <c r="IX170" s="31"/>
      <c r="IY170" s="31"/>
      <c r="IZ170" s="31"/>
      <c r="JA170" s="31"/>
      <c r="JB170" s="31"/>
      <c r="JC170" s="31"/>
      <c r="JD170" s="31"/>
      <c r="JE170" s="31"/>
      <c r="JF170" s="31"/>
      <c r="JG170" s="31"/>
      <c r="JH170" s="31"/>
      <c r="JI170" s="31"/>
      <c r="JJ170" s="31"/>
      <c r="JK170" s="31"/>
      <c r="JL170" s="31"/>
      <c r="JM170" s="31"/>
      <c r="JN170" s="31"/>
      <c r="JO170" s="31"/>
      <c r="JP170" s="31"/>
      <c r="JQ170" s="31"/>
      <c r="JR170" s="31"/>
      <c r="JS170" s="31"/>
      <c r="JT170" s="31"/>
      <c r="JU170" s="31"/>
      <c r="JV170" s="31"/>
      <c r="JW170" s="31"/>
      <c r="JX170" s="31"/>
      <c r="JY170" s="31"/>
      <c r="JZ170" s="31"/>
      <c r="KA170" s="31"/>
      <c r="KB170" s="31"/>
      <c r="KC170" s="31"/>
      <c r="KD170" s="31"/>
      <c r="KE170" s="31"/>
      <c r="KF170" s="31"/>
      <c r="KG170" s="31"/>
      <c r="KH170" s="31"/>
      <c r="KI170" s="31"/>
      <c r="KJ170" s="31"/>
      <c r="KK170" s="31"/>
      <c r="KL170" s="31"/>
      <c r="KM170" s="31"/>
      <c r="KN170" s="31"/>
      <c r="KO170" s="31"/>
      <c r="KP170" s="31"/>
      <c r="KQ170" s="31"/>
      <c r="KR170" s="31"/>
      <c r="KS170" s="31"/>
      <c r="KT170" s="31"/>
      <c r="KU170" s="31"/>
      <c r="KV170" s="31"/>
      <c r="KW170" s="31"/>
      <c r="KX170" s="31"/>
      <c r="KY170" s="31"/>
      <c r="KZ170" s="31"/>
      <c r="LA170" s="31"/>
      <c r="LB170" s="31"/>
      <c r="LC170" s="31"/>
      <c r="LD170" s="31"/>
      <c r="LE170" s="31"/>
      <c r="LF170" s="31"/>
      <c r="LG170" s="31"/>
      <c r="LH170" s="31"/>
      <c r="LI170" s="31"/>
      <c r="LJ170" s="31"/>
      <c r="LK170" s="31"/>
      <c r="LL170" s="31"/>
      <c r="LM170" s="31"/>
      <c r="LN170" s="31"/>
      <c r="LO170" s="31"/>
      <c r="LP170" s="31"/>
      <c r="LQ170" s="31"/>
      <c r="LR170" s="31"/>
      <c r="LS170" s="31"/>
      <c r="LT170" s="31"/>
      <c r="LU170" s="31"/>
      <c r="LV170" s="31"/>
      <c r="LW170" s="31"/>
      <c r="LX170" s="31"/>
      <c r="LY170" s="31"/>
      <c r="LZ170" s="31"/>
      <c r="MA170" s="31"/>
      <c r="MB170" s="31"/>
      <c r="MC170" s="31"/>
      <c r="MD170" s="31"/>
      <c r="ME170" s="31"/>
      <c r="MF170" s="31"/>
      <c r="MG170" s="31"/>
      <c r="MH170" s="31"/>
      <c r="MI170" s="31"/>
      <c r="MJ170" s="31"/>
      <c r="MK170" s="31"/>
      <c r="ML170" s="31"/>
      <c r="MM170" s="31"/>
      <c r="MN170" s="31"/>
      <c r="MO170" s="31"/>
      <c r="MP170" s="31"/>
      <c r="MQ170" s="31"/>
      <c r="MR170" s="31"/>
      <c r="MS170" s="31"/>
      <c r="MT170" s="31"/>
      <c r="MU170" s="31"/>
      <c r="MV170" s="31"/>
      <c r="MW170" s="31"/>
      <c r="MX170" s="31"/>
      <c r="MY170" s="31"/>
      <c r="MZ170" s="31"/>
      <c r="NA170" s="31"/>
      <c r="NB170" s="31"/>
      <c r="NC170" s="31"/>
      <c r="ND170" s="31"/>
      <c r="NE170" s="31"/>
      <c r="NF170" s="31"/>
      <c r="NG170" s="31"/>
      <c r="NH170" s="31"/>
      <c r="NI170" s="31"/>
      <c r="NJ170" s="31"/>
      <c r="NK170" s="31"/>
      <c r="NL170" s="31"/>
      <c r="NM170" s="31"/>
      <c r="NN170" s="31"/>
      <c r="NO170" s="31"/>
      <c r="NP170" s="31"/>
      <c r="NQ170" s="31"/>
      <c r="NR170" s="31"/>
      <c r="NS170" s="31"/>
      <c r="NT170" s="31"/>
      <c r="NU170" s="31"/>
      <c r="NV170" s="31"/>
      <c r="NW170" s="31"/>
      <c r="NX170" s="31"/>
      <c r="NY170" s="31"/>
      <c r="NZ170" s="31"/>
      <c r="OA170" s="31"/>
      <c r="OB170" s="31"/>
      <c r="OC170" s="31"/>
      <c r="OD170" s="31"/>
      <c r="OE170" s="31"/>
      <c r="OF170" s="31"/>
      <c r="OG170" s="31"/>
      <c r="OH170" s="31"/>
      <c r="OI170" s="31"/>
      <c r="OJ170" s="31"/>
      <c r="OK170" s="31"/>
      <c r="OL170" s="31"/>
      <c r="OM170" s="31"/>
      <c r="ON170" s="31"/>
      <c r="OO170" s="31"/>
      <c r="OP170" s="31"/>
      <c r="OQ170" s="31"/>
      <c r="OR170" s="31"/>
      <c r="OS170" s="31"/>
      <c r="OT170" s="31"/>
      <c r="OU170" s="31"/>
      <c r="OV170" s="31"/>
      <c r="OW170" s="31"/>
      <c r="OX170" s="31"/>
      <c r="OY170" s="31"/>
      <c r="OZ170" s="31"/>
      <c r="PA170" s="31"/>
      <c r="PB170" s="31"/>
      <c r="PC170" s="31"/>
      <c r="PD170" s="31"/>
      <c r="PE170" s="31"/>
      <c r="PF170" s="31"/>
      <c r="PG170" s="31"/>
      <c r="PH170" s="31"/>
      <c r="PI170" s="31"/>
      <c r="PJ170" s="31"/>
      <c r="PK170" s="31"/>
      <c r="PL170" s="31"/>
      <c r="PM170" s="31"/>
      <c r="PN170" s="31"/>
      <c r="PO170" s="31"/>
      <c r="PP170" s="31"/>
      <c r="PQ170" s="31"/>
      <c r="PR170" s="31"/>
      <c r="PS170" s="31"/>
      <c r="PT170" s="31"/>
      <c r="PU170" s="31"/>
      <c r="PV170" s="31"/>
      <c r="PW170" s="31"/>
      <c r="PX170" s="31"/>
      <c r="PY170" s="31"/>
      <c r="PZ170" s="31"/>
      <c r="QA170" s="31"/>
      <c r="QB170" s="31"/>
      <c r="QC170" s="31"/>
      <c r="QD170" s="31"/>
      <c r="QE170" s="31"/>
      <c r="QF170" s="31"/>
      <c r="QG170" s="31"/>
      <c r="QH170" s="31"/>
      <c r="QI170" s="31"/>
      <c r="QJ170" s="31"/>
      <c r="QK170" s="31"/>
      <c r="QL170" s="31"/>
      <c r="QM170" s="31"/>
      <c r="QN170" s="31"/>
      <c r="QO170" s="31"/>
      <c r="QP170" s="31"/>
      <c r="QQ170" s="31"/>
      <c r="QR170" s="31"/>
      <c r="QS170" s="31"/>
      <c r="QT170" s="31"/>
      <c r="QU170" s="31"/>
      <c r="QV170" s="31"/>
      <c r="QW170" s="31"/>
      <c r="QX170" s="31"/>
      <c r="QY170" s="31"/>
      <c r="QZ170" s="31"/>
      <c r="RA170" s="31"/>
      <c r="RB170" s="31"/>
      <c r="RC170" s="31"/>
      <c r="RD170" s="31"/>
      <c r="RE170" s="31"/>
      <c r="RF170" s="31"/>
      <c r="RG170" s="31"/>
      <c r="RH170" s="31"/>
      <c r="RI170" s="31"/>
      <c r="RJ170" s="31"/>
      <c r="RK170" s="31"/>
      <c r="RL170" s="31"/>
      <c r="RM170" s="31"/>
      <c r="RN170" s="31"/>
      <c r="RO170" s="31"/>
      <c r="RP170" s="31"/>
      <c r="RQ170" s="31"/>
      <c r="RR170" s="31"/>
      <c r="RS170" s="31"/>
      <c r="RT170" s="31"/>
      <c r="RU170" s="31"/>
      <c r="RV170" s="31"/>
      <c r="RW170" s="31"/>
      <c r="RX170" s="31"/>
      <c r="RY170" s="31"/>
      <c r="RZ170" s="31"/>
      <c r="SA170" s="31"/>
      <c r="SB170" s="31"/>
      <c r="SC170" s="31"/>
      <c r="SD170" s="31"/>
      <c r="SE170" s="31"/>
      <c r="SF170" s="31"/>
      <c r="SG170" s="31"/>
      <c r="SH170" s="31"/>
      <c r="SI170" s="31"/>
      <c r="SJ170" s="31"/>
      <c r="SK170" s="31"/>
      <c r="SL170" s="31"/>
      <c r="SM170" s="31"/>
      <c r="SN170" s="31"/>
      <c r="SO170" s="31"/>
      <c r="SP170" s="31"/>
      <c r="SQ170" s="31"/>
      <c r="SR170" s="31"/>
      <c r="SS170" s="31"/>
      <c r="ST170" s="31"/>
      <c r="SU170" s="31"/>
      <c r="SV170" s="31"/>
      <c r="SW170" s="31"/>
      <c r="SX170" s="31"/>
      <c r="SY170" s="31"/>
      <c r="SZ170" s="31"/>
      <c r="TA170" s="31"/>
      <c r="TB170" s="31"/>
      <c r="TC170" s="31"/>
      <c r="TD170" s="31"/>
      <c r="TE170" s="31"/>
      <c r="TF170" s="31"/>
      <c r="TG170" s="31"/>
      <c r="TH170" s="31"/>
      <c r="TI170" s="31"/>
      <c r="TJ170" s="31"/>
      <c r="TK170" s="31"/>
      <c r="TL170" s="31"/>
      <c r="TM170" s="31"/>
      <c r="TN170" s="31"/>
      <c r="TO170" s="31"/>
      <c r="TP170" s="31"/>
      <c r="TQ170" s="31"/>
      <c r="TR170" s="31"/>
      <c r="TS170" s="31"/>
      <c r="TT170" s="31"/>
      <c r="TU170" s="31"/>
      <c r="TV170" s="31"/>
      <c r="TW170" s="31"/>
      <c r="TX170" s="31"/>
      <c r="TY170" s="31"/>
      <c r="TZ170" s="31"/>
      <c r="UA170" s="31"/>
      <c r="UB170" s="31"/>
      <c r="UC170" s="31"/>
      <c r="UD170" s="31"/>
      <c r="UE170" s="31"/>
      <c r="UF170" s="31"/>
      <c r="UG170" s="31"/>
      <c r="UH170" s="31"/>
      <c r="UI170" s="31"/>
      <c r="UJ170" s="31"/>
      <c r="UK170" s="31"/>
      <c r="UL170" s="31"/>
      <c r="UM170" s="31"/>
      <c r="UN170" s="31"/>
      <c r="UO170" s="31"/>
      <c r="UP170" s="31"/>
      <c r="UQ170" s="31"/>
      <c r="UR170" s="31"/>
      <c r="US170" s="31"/>
      <c r="UT170" s="31"/>
      <c r="UU170" s="31"/>
      <c r="UV170" s="31"/>
      <c r="UW170" s="31"/>
      <c r="UX170" s="31"/>
      <c r="UY170" s="31"/>
      <c r="UZ170" s="31"/>
      <c r="VA170" s="31"/>
      <c r="VB170" s="31"/>
      <c r="VC170" s="31"/>
      <c r="VD170" s="31"/>
      <c r="VE170" s="31"/>
      <c r="VF170" s="31"/>
      <c r="VG170" s="31"/>
      <c r="VH170" s="31"/>
      <c r="VI170" s="31"/>
      <c r="VJ170" s="31"/>
      <c r="VK170" s="31"/>
      <c r="VL170" s="31"/>
      <c r="VM170" s="31"/>
      <c r="VN170" s="31"/>
      <c r="VO170" s="31"/>
      <c r="VP170" s="31"/>
      <c r="VQ170" s="31"/>
      <c r="VR170" s="31"/>
      <c r="VS170" s="31"/>
      <c r="VT170" s="31"/>
      <c r="VU170" s="31"/>
      <c r="VV170" s="31"/>
      <c r="VW170" s="31"/>
      <c r="VX170" s="31"/>
      <c r="VY170" s="31"/>
      <c r="VZ170" s="31"/>
      <c r="WA170" s="31"/>
      <c r="WB170" s="31"/>
      <c r="WC170" s="31"/>
      <c r="WD170" s="31"/>
      <c r="WE170" s="31"/>
      <c r="WF170" s="31"/>
      <c r="WG170" s="31"/>
      <c r="WH170" s="31"/>
      <c r="WI170" s="31"/>
      <c r="WJ170" s="31"/>
      <c r="WK170" s="31"/>
      <c r="WL170" s="31"/>
      <c r="WM170" s="31"/>
      <c r="WN170" s="31"/>
      <c r="WO170" s="31"/>
      <c r="WP170" s="31"/>
      <c r="WQ170" s="31"/>
      <c r="WR170" s="31"/>
      <c r="WS170" s="31"/>
      <c r="WT170" s="31"/>
      <c r="WU170" s="31"/>
      <c r="WV170" s="31"/>
      <c r="WW170" s="31"/>
      <c r="WX170" s="31"/>
      <c r="WY170" s="31"/>
      <c r="WZ170" s="31"/>
      <c r="XA170" s="31"/>
      <c r="XB170" s="31"/>
      <c r="XC170" s="31"/>
      <c r="XD170" s="31"/>
      <c r="XE170" s="31"/>
      <c r="XF170" s="31"/>
      <c r="XG170" s="31"/>
      <c r="XH170" s="31"/>
      <c r="XI170" s="31"/>
      <c r="XJ170" s="31"/>
      <c r="XK170" s="31"/>
      <c r="XL170" s="31"/>
      <c r="XM170" s="31"/>
      <c r="XN170" s="31"/>
      <c r="XO170" s="31"/>
      <c r="XP170" s="31"/>
      <c r="XQ170" s="31"/>
      <c r="XR170" s="31"/>
      <c r="XS170" s="31"/>
      <c r="XT170" s="31"/>
      <c r="XU170" s="31"/>
      <c r="XV170" s="31"/>
      <c r="XW170" s="31"/>
      <c r="XX170" s="31"/>
      <c r="XY170" s="31"/>
      <c r="XZ170" s="31"/>
      <c r="YA170" s="31"/>
      <c r="YB170" s="31"/>
      <c r="YC170" s="31"/>
      <c r="YD170" s="31"/>
      <c r="YE170" s="31"/>
      <c r="YF170" s="31"/>
      <c r="YG170" s="31"/>
      <c r="YH170" s="31"/>
      <c r="YI170" s="31"/>
      <c r="YJ170" s="31"/>
      <c r="YK170" s="31"/>
      <c r="YL170" s="31"/>
      <c r="YM170" s="31"/>
      <c r="YN170" s="31"/>
      <c r="YO170" s="31"/>
      <c r="YP170" s="31"/>
      <c r="YQ170" s="31"/>
      <c r="YR170" s="31"/>
      <c r="YS170" s="31"/>
      <c r="YT170" s="31"/>
      <c r="YU170" s="31"/>
      <c r="YV170" s="31"/>
      <c r="YW170" s="31"/>
      <c r="YX170" s="31"/>
      <c r="YY170" s="31"/>
      <c r="YZ170" s="31"/>
      <c r="ZA170" s="31"/>
      <c r="ZB170" s="31"/>
      <c r="ZC170" s="31"/>
      <c r="ZD170" s="31"/>
      <c r="ZE170" s="31"/>
      <c r="ZF170" s="31"/>
      <c r="ZG170" s="31"/>
      <c r="ZH170" s="31"/>
      <c r="ZI170" s="31"/>
      <c r="ZJ170" s="31"/>
      <c r="ZK170" s="31"/>
      <c r="ZL170" s="31"/>
      <c r="ZM170" s="31"/>
      <c r="ZN170" s="31"/>
      <c r="ZO170" s="31"/>
      <c r="ZP170" s="31"/>
      <c r="ZQ170" s="31"/>
      <c r="ZR170" s="31"/>
      <c r="ZS170" s="31"/>
      <c r="ZT170" s="31"/>
      <c r="ZU170" s="31"/>
      <c r="ZV170" s="31"/>
      <c r="ZW170" s="31"/>
      <c r="ZX170" s="31"/>
      <c r="ZY170" s="31"/>
      <c r="ZZ170" s="31"/>
      <c r="AAA170" s="31"/>
      <c r="AAB170" s="31"/>
      <c r="AAC170" s="31"/>
      <c r="AAD170" s="31"/>
      <c r="AAE170" s="31"/>
      <c r="AAF170" s="31"/>
      <c r="AAG170" s="31"/>
      <c r="AAH170" s="31"/>
      <c r="AAI170" s="31"/>
      <c r="AAJ170" s="31"/>
      <c r="AAK170" s="31"/>
      <c r="AAL170" s="31"/>
      <c r="AAM170" s="31"/>
      <c r="AAN170" s="31"/>
      <c r="AAO170" s="31"/>
      <c r="AAP170" s="31"/>
      <c r="AAQ170" s="31"/>
      <c r="AAR170" s="31"/>
      <c r="AAS170" s="31"/>
      <c r="AAT170" s="31"/>
      <c r="AAU170" s="31"/>
      <c r="AAV170" s="31"/>
      <c r="AAW170" s="31"/>
      <c r="AAX170" s="31"/>
      <c r="AAY170" s="31"/>
      <c r="AAZ170" s="31"/>
      <c r="ABA170" s="31"/>
      <c r="ABB170" s="31"/>
      <c r="ABC170" s="31"/>
      <c r="ABD170" s="31"/>
      <c r="ABE170" s="31"/>
      <c r="ABF170" s="31"/>
      <c r="ABG170" s="31"/>
      <c r="ABH170" s="31"/>
      <c r="ABI170" s="31"/>
      <c r="ABJ170" s="31"/>
      <c r="ABK170" s="31"/>
      <c r="ABL170" s="31"/>
      <c r="ABM170" s="31"/>
      <c r="ABN170" s="31"/>
      <c r="ABO170" s="31"/>
      <c r="ABP170" s="31"/>
      <c r="ABQ170" s="31"/>
      <c r="ABR170" s="31"/>
      <c r="ABS170" s="31"/>
      <c r="ABT170" s="31"/>
      <c r="ABU170" s="31"/>
      <c r="ABV170" s="31"/>
      <c r="ABW170" s="31"/>
      <c r="ABX170" s="31"/>
      <c r="ABY170" s="31"/>
      <c r="ABZ170" s="31"/>
      <c r="ACA170" s="31"/>
      <c r="ACB170" s="31"/>
      <c r="ACC170" s="31"/>
      <c r="ACD170" s="31"/>
      <c r="ACE170" s="31"/>
      <c r="ACF170" s="31"/>
      <c r="ACG170" s="31"/>
      <c r="ACH170" s="31"/>
      <c r="ACI170" s="31"/>
      <c r="ACJ170" s="31"/>
      <c r="ACK170" s="31"/>
      <c r="ACL170" s="31"/>
      <c r="ACM170" s="31"/>
      <c r="ACN170" s="31"/>
      <c r="ACO170" s="31"/>
      <c r="ACP170" s="31"/>
      <c r="ACQ170" s="31"/>
      <c r="ACR170" s="31"/>
      <c r="ACS170" s="31"/>
      <c r="ACT170" s="31"/>
      <c r="ACU170" s="31"/>
      <c r="ACV170" s="31"/>
      <c r="ACW170" s="31"/>
      <c r="ACX170" s="31"/>
      <c r="ACY170" s="31"/>
      <c r="ACZ170" s="31"/>
      <c r="ADA170" s="31"/>
      <c r="ADB170" s="31"/>
      <c r="ADC170" s="31"/>
      <c r="ADD170" s="31"/>
      <c r="ADE170" s="31"/>
      <c r="ADF170" s="31"/>
      <c r="ADG170" s="31"/>
      <c r="ADH170" s="31"/>
      <c r="ADI170" s="31"/>
      <c r="ADJ170" s="31"/>
      <c r="ADK170" s="31"/>
      <c r="ADL170" s="31"/>
      <c r="ADM170" s="31"/>
      <c r="ADN170" s="31"/>
      <c r="ADO170" s="31"/>
      <c r="ADP170" s="31"/>
      <c r="ADQ170" s="31"/>
      <c r="ADR170" s="31"/>
      <c r="ADS170" s="31"/>
      <c r="ADT170" s="31"/>
      <c r="ADU170" s="31"/>
      <c r="ADV170" s="31"/>
      <c r="ADW170" s="31"/>
      <c r="ADX170" s="31"/>
      <c r="ADY170" s="31"/>
      <c r="ADZ170" s="31"/>
      <c r="AEA170" s="31"/>
      <c r="AEB170" s="31"/>
      <c r="AEC170" s="31"/>
      <c r="AED170" s="31"/>
      <c r="AEE170" s="31"/>
      <c r="AEF170" s="31"/>
      <c r="AEG170" s="31"/>
      <c r="AEH170" s="31"/>
      <c r="AEI170" s="31"/>
      <c r="AEJ170" s="31"/>
      <c r="AEK170" s="31"/>
      <c r="AEL170" s="31"/>
      <c r="AEM170" s="31"/>
      <c r="AEN170" s="31"/>
      <c r="AEO170" s="31"/>
      <c r="AEP170" s="31"/>
      <c r="AEQ170" s="31"/>
      <c r="AER170" s="31"/>
      <c r="AES170" s="31"/>
      <c r="AET170" s="31"/>
      <c r="AEU170" s="31"/>
      <c r="AEV170" s="31"/>
      <c r="AEW170" s="31"/>
      <c r="AEX170" s="31"/>
      <c r="AEY170" s="31"/>
      <c r="AEZ170" s="31"/>
      <c r="AFA170" s="31"/>
      <c r="AFB170" s="31"/>
      <c r="AFC170" s="31"/>
      <c r="AFD170" s="31"/>
      <c r="AFE170" s="31"/>
      <c r="AFF170" s="31"/>
      <c r="AFG170" s="31"/>
      <c r="AFH170" s="31"/>
      <c r="AFI170" s="31"/>
      <c r="AFJ170" s="31"/>
      <c r="AFK170" s="31"/>
      <c r="AFL170" s="31"/>
      <c r="AFM170" s="31"/>
      <c r="AFN170" s="31"/>
      <c r="AFO170" s="31"/>
      <c r="AFP170" s="31"/>
      <c r="AFQ170" s="31"/>
      <c r="AFR170" s="31"/>
      <c r="AFS170" s="31"/>
      <c r="AFT170" s="31"/>
      <c r="AFU170" s="31"/>
      <c r="AFV170" s="31"/>
      <c r="AFW170" s="31"/>
      <c r="AFX170" s="31"/>
      <c r="AFY170" s="31"/>
      <c r="AFZ170" s="31"/>
      <c r="AGA170" s="31"/>
      <c r="AGB170" s="31"/>
      <c r="AGC170" s="31"/>
      <c r="AGD170" s="31"/>
      <c r="AGE170" s="31"/>
      <c r="AGF170" s="31"/>
      <c r="AGG170" s="31"/>
      <c r="AGH170" s="31"/>
      <c r="AGI170" s="31"/>
      <c r="AGJ170" s="31"/>
      <c r="AGK170" s="31"/>
      <c r="AGL170" s="31"/>
      <c r="AGM170" s="31"/>
      <c r="AGN170" s="31"/>
      <c r="AGO170" s="31"/>
      <c r="AGP170" s="31"/>
      <c r="AGQ170" s="31"/>
      <c r="AGR170" s="31"/>
      <c r="AGS170" s="31"/>
      <c r="AGT170" s="31"/>
      <c r="AGU170" s="31"/>
      <c r="AGV170" s="31"/>
      <c r="AGW170" s="31"/>
      <c r="AGX170" s="31"/>
      <c r="AGY170" s="31"/>
      <c r="AGZ170" s="31"/>
      <c r="AHA170" s="31"/>
      <c r="AHB170" s="31"/>
      <c r="AHC170" s="31"/>
      <c r="AHD170" s="31"/>
      <c r="AHE170" s="31"/>
      <c r="AHF170" s="31"/>
      <c r="AHG170" s="31"/>
      <c r="AHH170" s="31"/>
      <c r="AHI170" s="31"/>
      <c r="AHJ170" s="31"/>
      <c r="AHK170" s="31"/>
      <c r="AHL170" s="31"/>
      <c r="AHM170" s="31"/>
      <c r="AHN170" s="31"/>
      <c r="AHO170" s="31"/>
      <c r="AHP170" s="31"/>
      <c r="AHQ170" s="31"/>
      <c r="AHR170" s="31"/>
      <c r="AHS170" s="31"/>
      <c r="AHT170" s="31"/>
      <c r="AHU170" s="31"/>
      <c r="AHV170" s="31"/>
      <c r="AHW170" s="31"/>
      <c r="AHX170" s="31"/>
      <c r="AHY170" s="31"/>
      <c r="AHZ170" s="31"/>
      <c r="AIA170" s="31"/>
      <c r="AIB170" s="31"/>
      <c r="AIC170" s="31"/>
      <c r="AID170" s="31"/>
      <c r="AIE170" s="31"/>
      <c r="AIF170" s="31"/>
      <c r="AIG170" s="31"/>
      <c r="AIH170" s="31"/>
      <c r="AII170" s="31"/>
      <c r="AIJ170" s="31"/>
      <c r="AIK170" s="31"/>
      <c r="AIL170" s="31"/>
      <c r="AIM170" s="31"/>
      <c r="AIN170" s="31"/>
      <c r="AIO170" s="31"/>
      <c r="AIP170" s="31"/>
      <c r="AIQ170" s="31"/>
      <c r="AIR170" s="31"/>
      <c r="AIS170" s="31"/>
      <c r="AIT170" s="31"/>
      <c r="AIU170" s="31"/>
      <c r="AIV170" s="31"/>
      <c r="AIW170" s="31"/>
      <c r="AIX170" s="31"/>
      <c r="AIY170" s="31"/>
      <c r="AIZ170" s="31"/>
      <c r="AJA170" s="31"/>
      <c r="AJB170" s="31"/>
      <c r="AJC170" s="31"/>
      <c r="AJD170" s="31"/>
      <c r="AJE170" s="31"/>
      <c r="AJF170" s="31"/>
      <c r="AJG170" s="31"/>
      <c r="AJH170" s="31"/>
      <c r="AJI170" s="31"/>
      <c r="AJJ170" s="31"/>
      <c r="AJK170" s="31"/>
      <c r="AJL170" s="31"/>
      <c r="AJM170" s="31"/>
      <c r="AJN170" s="31"/>
      <c r="AJO170" s="31"/>
      <c r="AJP170" s="31"/>
      <c r="AJQ170" s="31"/>
      <c r="AJR170" s="31"/>
      <c r="AJS170" s="31"/>
      <c r="AJT170" s="31"/>
      <c r="AJU170" s="31"/>
      <c r="AJV170" s="31"/>
      <c r="AJW170" s="31"/>
      <c r="AJX170" s="31"/>
      <c r="AJY170" s="31"/>
      <c r="AJZ170" s="31"/>
      <c r="AKA170" s="31"/>
      <c r="AKB170" s="31"/>
      <c r="AKC170" s="31"/>
      <c r="AKD170" s="31"/>
      <c r="AKE170" s="31"/>
      <c r="AKF170" s="31"/>
      <c r="AKG170" s="31"/>
      <c r="AKH170" s="31"/>
      <c r="AKI170" s="31"/>
      <c r="AKJ170" s="31"/>
      <c r="AKK170" s="31"/>
      <c r="AKL170" s="31"/>
      <c r="AKM170" s="31"/>
      <c r="AKN170" s="31"/>
      <c r="AKO170" s="31"/>
      <c r="AKP170" s="31"/>
      <c r="AKQ170" s="31"/>
      <c r="AKR170" s="31"/>
      <c r="AKS170" s="31"/>
      <c r="AKT170" s="31"/>
      <c r="AKU170" s="31"/>
      <c r="AKV170" s="31"/>
      <c r="AKW170" s="31"/>
      <c r="AKX170" s="31"/>
      <c r="AKY170" s="31"/>
      <c r="AKZ170" s="31"/>
      <c r="ALA170" s="31"/>
      <c r="ALB170" s="31"/>
      <c r="ALC170" s="31"/>
      <c r="ALD170" s="31"/>
      <c r="ALE170" s="31"/>
      <c r="ALF170" s="31"/>
      <c r="ALG170" s="31"/>
      <c r="ALH170" s="31"/>
      <c r="ALI170" s="31"/>
      <c r="ALJ170" s="31"/>
      <c r="ALK170" s="31"/>
      <c r="ALL170" s="31"/>
      <c r="ALM170" s="31"/>
      <c r="ALN170" s="31"/>
      <c r="ALO170" s="31"/>
      <c r="ALP170" s="31"/>
      <c r="ALQ170" s="31"/>
      <c r="ALR170" s="31"/>
      <c r="ALS170" s="31"/>
      <c r="ALT170" s="31"/>
      <c r="ALU170" s="31"/>
      <c r="ALV170" s="31"/>
      <c r="ALW170" s="31"/>
      <c r="ALX170" s="31"/>
      <c r="ALY170" s="31"/>
      <c r="ALZ170" s="31"/>
      <c r="AMA170" s="31"/>
      <c r="AMB170" s="31"/>
      <c r="AMC170" s="31"/>
      <c r="AMD170" s="31"/>
      <c r="AME170" s="31"/>
      <c r="AMF170" s="31"/>
      <c r="AMG170" s="31"/>
      <c r="AMH170" s="31"/>
      <c r="AMI170" s="31"/>
      <c r="AMJ170" s="31"/>
      <c r="AMK170" s="31"/>
      <c r="AML170" s="31"/>
      <c r="AMM170"/>
    </row>
    <row r="171" spans="1:1027" x14ac:dyDescent="0.2">
      <c r="A171" s="18" t="s">
        <v>678</v>
      </c>
      <c r="B171" s="18" t="s">
        <v>738</v>
      </c>
      <c r="C171" s="18"/>
      <c r="D171" s="18">
        <v>111</v>
      </c>
      <c r="E171" s="19" t="s">
        <v>506</v>
      </c>
      <c r="F171" s="19" t="s">
        <v>507</v>
      </c>
      <c r="G171" s="20" t="s">
        <v>540</v>
      </c>
      <c r="H171" s="19" t="s">
        <v>507</v>
      </c>
      <c r="I171" s="19" t="s">
        <v>507</v>
      </c>
      <c r="J171" s="19" t="s">
        <v>507</v>
      </c>
      <c r="K171" s="21" t="s">
        <v>509</v>
      </c>
      <c r="L171" s="18"/>
      <c r="M171" s="1" t="s">
        <v>739</v>
      </c>
      <c r="O171" s="18"/>
      <c r="P171" s="18"/>
      <c r="Q171" s="18"/>
      <c r="R171" s="18"/>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c r="FL171" s="47"/>
      <c r="FM171" s="47"/>
      <c r="FN171" s="47"/>
      <c r="FO171" s="47"/>
      <c r="FP171" s="47"/>
      <c r="FQ171" s="47"/>
      <c r="FR171" s="47"/>
      <c r="FS171" s="47"/>
      <c r="FT171" s="47"/>
      <c r="FU171" s="47"/>
      <c r="FV171" s="47"/>
      <c r="FW171" s="47"/>
      <c r="FX171" s="47"/>
      <c r="FY171" s="47"/>
      <c r="FZ171" s="47"/>
      <c r="GA171" s="47"/>
      <c r="GB171" s="47"/>
      <c r="GC171" s="47"/>
      <c r="GD171" s="47"/>
      <c r="GE171" s="47"/>
      <c r="GF171" s="47"/>
      <c r="GG171" s="47"/>
      <c r="GH171" s="47"/>
      <c r="GI171" s="47"/>
      <c r="GJ171" s="47"/>
      <c r="GK171" s="47"/>
      <c r="GL171" s="47"/>
      <c r="GM171" s="47"/>
      <c r="GN171" s="47"/>
      <c r="GO171" s="47"/>
      <c r="GP171" s="47"/>
      <c r="GQ171" s="47"/>
      <c r="GR171" s="47"/>
      <c r="GS171" s="47"/>
      <c r="GT171" s="47"/>
      <c r="GU171" s="47"/>
      <c r="GV171" s="47"/>
      <c r="GW171" s="47"/>
      <c r="GX171" s="47"/>
      <c r="GY171" s="47"/>
      <c r="GZ171" s="47"/>
      <c r="HA171" s="47"/>
      <c r="HB171" s="47"/>
      <c r="HC171" s="47"/>
      <c r="HD171" s="47"/>
      <c r="HE171" s="47"/>
      <c r="HF171" s="47"/>
      <c r="HG171" s="47"/>
      <c r="HH171" s="47"/>
      <c r="HI171" s="47"/>
      <c r="HJ171" s="47"/>
      <c r="HK171" s="47"/>
      <c r="HL171" s="47"/>
      <c r="HM171" s="47"/>
      <c r="HN171" s="47"/>
      <c r="HO171" s="47"/>
      <c r="HP171" s="47"/>
      <c r="HQ171" s="47"/>
      <c r="HR171" s="47"/>
      <c r="HS171" s="47"/>
      <c r="HT171" s="47"/>
      <c r="HU171" s="47"/>
      <c r="HV171" s="47"/>
      <c r="HW171" s="47"/>
      <c r="HX171" s="47"/>
      <c r="HY171" s="47"/>
      <c r="HZ171" s="47"/>
      <c r="IA171" s="47"/>
      <c r="IB171" s="47"/>
      <c r="IC171" s="47"/>
      <c r="ID171" s="47"/>
      <c r="IE171" s="47"/>
      <c r="IF171" s="47"/>
      <c r="IG171" s="47"/>
      <c r="IH171" s="47"/>
      <c r="II171" s="47"/>
      <c r="IJ171" s="47"/>
      <c r="IK171" s="47"/>
      <c r="IL171" s="47"/>
      <c r="IM171" s="47"/>
      <c r="IN171" s="47"/>
      <c r="IO171" s="47"/>
      <c r="IP171" s="47"/>
      <c r="IQ171" s="47"/>
      <c r="IR171" s="47"/>
      <c r="IS171" s="47"/>
      <c r="IT171" s="47"/>
      <c r="IU171" s="47"/>
      <c r="IV171" s="47"/>
      <c r="IW171" s="47"/>
      <c r="IX171" s="47"/>
      <c r="IY171" s="47"/>
      <c r="IZ171" s="47"/>
      <c r="JA171" s="47"/>
      <c r="JB171" s="47"/>
      <c r="JC171" s="47"/>
      <c r="JD171" s="47"/>
      <c r="JE171" s="47"/>
      <c r="JF171" s="47"/>
      <c r="JG171" s="47"/>
      <c r="JH171" s="47"/>
      <c r="JI171" s="47"/>
      <c r="JJ171" s="47"/>
      <c r="JK171" s="47"/>
      <c r="JL171" s="47"/>
      <c r="JM171" s="47"/>
      <c r="JN171" s="47"/>
      <c r="JO171" s="47"/>
      <c r="JP171" s="47"/>
      <c r="JQ171" s="47"/>
      <c r="JR171" s="47"/>
      <c r="JS171" s="47"/>
      <c r="JT171" s="47"/>
      <c r="JU171" s="47"/>
      <c r="JV171" s="47"/>
      <c r="JW171" s="47"/>
      <c r="JX171" s="47"/>
      <c r="JY171" s="47"/>
      <c r="JZ171" s="47"/>
      <c r="KA171" s="47"/>
      <c r="KB171" s="47"/>
      <c r="KC171" s="47"/>
      <c r="KD171" s="47"/>
      <c r="KE171" s="47"/>
      <c r="KF171" s="47"/>
      <c r="KG171" s="47"/>
      <c r="KH171" s="47"/>
      <c r="KI171" s="47"/>
      <c r="KJ171" s="47"/>
      <c r="KK171" s="47"/>
      <c r="KL171" s="47"/>
      <c r="KM171" s="47"/>
      <c r="KN171" s="47"/>
      <c r="KO171" s="47"/>
      <c r="KP171" s="47"/>
      <c r="KQ171" s="47"/>
      <c r="KR171" s="47"/>
      <c r="KS171" s="47"/>
      <c r="KT171" s="47"/>
      <c r="KU171" s="47"/>
      <c r="KV171" s="47"/>
      <c r="KW171" s="47"/>
      <c r="KX171" s="47"/>
      <c r="KY171" s="47"/>
      <c r="KZ171" s="47"/>
      <c r="LA171" s="47"/>
      <c r="LB171" s="47"/>
      <c r="LC171" s="47"/>
      <c r="LD171" s="47"/>
      <c r="LE171" s="47"/>
      <c r="LF171" s="47"/>
      <c r="LG171" s="47"/>
      <c r="LH171" s="47"/>
      <c r="LI171" s="47"/>
      <c r="LJ171" s="47"/>
      <c r="LK171" s="47"/>
      <c r="LL171" s="47"/>
      <c r="LM171" s="47"/>
      <c r="LN171" s="47"/>
      <c r="LO171" s="47"/>
      <c r="LP171" s="47"/>
      <c r="LQ171" s="47"/>
      <c r="LR171" s="47"/>
      <c r="LS171" s="47"/>
      <c r="LT171" s="47"/>
      <c r="LU171" s="47"/>
      <c r="LV171" s="47"/>
      <c r="LW171" s="47"/>
      <c r="LX171" s="47"/>
      <c r="LY171" s="47"/>
      <c r="LZ171" s="47"/>
      <c r="MA171" s="47"/>
      <c r="MB171" s="47"/>
      <c r="MC171" s="47"/>
      <c r="MD171" s="47"/>
      <c r="ME171" s="47"/>
      <c r="MF171" s="47"/>
      <c r="MG171" s="47"/>
      <c r="MH171" s="47"/>
      <c r="MI171" s="47"/>
      <c r="MJ171" s="47"/>
      <c r="MK171" s="47"/>
      <c r="ML171" s="47"/>
      <c r="MM171" s="47"/>
      <c r="MN171" s="47"/>
      <c r="MO171" s="47"/>
      <c r="MP171" s="47"/>
      <c r="MQ171" s="47"/>
      <c r="MR171" s="47"/>
      <c r="MS171" s="47"/>
      <c r="MT171" s="47"/>
      <c r="MU171" s="47"/>
      <c r="MV171" s="47"/>
      <c r="MW171" s="47"/>
      <c r="MX171" s="47"/>
      <c r="MY171" s="47"/>
      <c r="MZ171" s="47"/>
      <c r="NA171" s="47"/>
      <c r="NB171" s="47"/>
      <c r="NC171" s="47"/>
      <c r="ND171" s="47"/>
      <c r="NE171" s="47"/>
      <c r="NF171" s="47"/>
      <c r="NG171" s="47"/>
      <c r="NH171" s="47"/>
      <c r="NI171" s="47"/>
      <c r="NJ171" s="47"/>
      <c r="NK171" s="47"/>
      <c r="NL171" s="47"/>
      <c r="NM171" s="47"/>
      <c r="NN171" s="47"/>
      <c r="NO171" s="47"/>
      <c r="NP171" s="47"/>
      <c r="NQ171" s="47"/>
      <c r="NR171" s="47"/>
      <c r="NS171" s="47"/>
      <c r="NT171" s="47"/>
      <c r="NU171" s="47"/>
      <c r="NV171" s="47"/>
      <c r="NW171" s="47"/>
      <c r="NX171" s="47"/>
      <c r="NY171" s="47"/>
      <c r="NZ171" s="47"/>
      <c r="OA171" s="47"/>
      <c r="OB171" s="47"/>
      <c r="OC171" s="47"/>
      <c r="OD171" s="47"/>
      <c r="OE171" s="47"/>
      <c r="OF171" s="47"/>
      <c r="OG171" s="47"/>
      <c r="OH171" s="47"/>
      <c r="OI171" s="47"/>
      <c r="OJ171" s="47"/>
      <c r="OK171" s="47"/>
      <c r="OL171" s="47"/>
      <c r="OM171" s="47"/>
      <c r="ON171" s="47"/>
      <c r="OO171" s="47"/>
      <c r="OP171" s="47"/>
      <c r="OQ171" s="47"/>
      <c r="OR171" s="47"/>
      <c r="OS171" s="47"/>
      <c r="OT171" s="47"/>
      <c r="OU171" s="47"/>
      <c r="OV171" s="47"/>
      <c r="OW171" s="47"/>
      <c r="OX171" s="47"/>
      <c r="OY171" s="47"/>
      <c r="OZ171" s="47"/>
      <c r="PA171" s="47"/>
      <c r="PB171" s="47"/>
      <c r="PC171" s="47"/>
      <c r="PD171" s="47"/>
      <c r="PE171" s="47"/>
      <c r="PF171" s="47"/>
      <c r="PG171" s="47"/>
      <c r="PH171" s="47"/>
      <c r="PI171" s="47"/>
      <c r="PJ171" s="47"/>
      <c r="PK171" s="47"/>
      <c r="PL171" s="47"/>
      <c r="PM171" s="47"/>
      <c r="PN171" s="47"/>
      <c r="PO171" s="47"/>
      <c r="PP171" s="47"/>
      <c r="PQ171" s="47"/>
      <c r="PR171" s="47"/>
      <c r="PS171" s="47"/>
      <c r="PT171" s="47"/>
      <c r="PU171" s="47"/>
      <c r="PV171" s="47"/>
      <c r="PW171" s="47"/>
      <c r="PX171" s="47"/>
      <c r="PY171" s="47"/>
      <c r="PZ171" s="47"/>
      <c r="QA171" s="47"/>
      <c r="QB171" s="47"/>
      <c r="QC171" s="47"/>
      <c r="QD171" s="47"/>
      <c r="QE171" s="47"/>
      <c r="QF171" s="47"/>
      <c r="QG171" s="47"/>
      <c r="QH171" s="47"/>
      <c r="QI171" s="47"/>
      <c r="QJ171" s="47"/>
      <c r="QK171" s="47"/>
      <c r="QL171" s="47"/>
      <c r="QM171" s="47"/>
      <c r="QN171" s="47"/>
      <c r="QO171" s="47"/>
      <c r="QP171" s="47"/>
      <c r="QQ171" s="47"/>
      <c r="QR171" s="47"/>
      <c r="QS171" s="47"/>
      <c r="QT171" s="47"/>
      <c r="QU171" s="47"/>
      <c r="QV171" s="47"/>
      <c r="QW171" s="47"/>
      <c r="QX171" s="47"/>
      <c r="QY171" s="47"/>
      <c r="QZ171" s="47"/>
      <c r="RA171" s="47"/>
      <c r="RB171" s="47"/>
      <c r="RC171" s="47"/>
      <c r="RD171" s="47"/>
      <c r="RE171" s="47"/>
      <c r="RF171" s="47"/>
      <c r="RG171" s="47"/>
      <c r="RH171" s="47"/>
      <c r="RI171" s="47"/>
      <c r="RJ171" s="47"/>
      <c r="RK171" s="47"/>
      <c r="RL171" s="47"/>
      <c r="RM171" s="47"/>
      <c r="RN171" s="47"/>
      <c r="RO171" s="47"/>
      <c r="RP171" s="47"/>
      <c r="RQ171" s="47"/>
      <c r="RR171" s="47"/>
      <c r="RS171" s="47"/>
      <c r="RT171" s="47"/>
      <c r="RU171" s="47"/>
      <c r="RV171" s="47"/>
      <c r="RW171" s="47"/>
      <c r="RX171" s="47"/>
      <c r="RY171" s="47"/>
      <c r="RZ171" s="47"/>
      <c r="SA171" s="47"/>
      <c r="SB171" s="47"/>
      <c r="SC171" s="47"/>
      <c r="SD171" s="47"/>
      <c r="SE171" s="47"/>
      <c r="SF171" s="47"/>
      <c r="SG171" s="47"/>
      <c r="SH171" s="47"/>
      <c r="SI171" s="47"/>
      <c r="SJ171" s="47"/>
      <c r="SK171" s="47"/>
      <c r="SL171" s="47"/>
      <c r="SM171" s="47"/>
      <c r="SN171" s="47"/>
      <c r="SO171" s="47"/>
      <c r="SP171" s="47"/>
      <c r="SQ171" s="47"/>
      <c r="SR171" s="47"/>
      <c r="SS171" s="47"/>
      <c r="ST171" s="47"/>
      <c r="SU171" s="47"/>
      <c r="SV171" s="47"/>
      <c r="SW171" s="47"/>
      <c r="SX171" s="47"/>
      <c r="SY171" s="47"/>
      <c r="SZ171" s="47"/>
      <c r="TA171" s="47"/>
      <c r="TB171" s="47"/>
      <c r="TC171" s="47"/>
      <c r="TD171" s="47"/>
      <c r="TE171" s="47"/>
      <c r="TF171" s="47"/>
      <c r="TG171" s="47"/>
      <c r="TH171" s="47"/>
      <c r="TI171" s="47"/>
      <c r="TJ171" s="47"/>
      <c r="TK171" s="47"/>
      <c r="TL171" s="47"/>
      <c r="TM171" s="47"/>
      <c r="TN171" s="47"/>
      <c r="TO171" s="47"/>
      <c r="TP171" s="47"/>
      <c r="TQ171" s="47"/>
      <c r="TR171" s="47"/>
      <c r="TS171" s="47"/>
      <c r="TT171" s="47"/>
      <c r="TU171" s="47"/>
      <c r="TV171" s="47"/>
      <c r="TW171" s="47"/>
      <c r="TX171" s="47"/>
      <c r="TY171" s="47"/>
      <c r="TZ171" s="47"/>
      <c r="UA171" s="47"/>
      <c r="UB171" s="47"/>
      <c r="UC171" s="47"/>
      <c r="UD171" s="47"/>
      <c r="UE171" s="47"/>
      <c r="UF171" s="47"/>
      <c r="UG171" s="47"/>
      <c r="UH171" s="47"/>
      <c r="UI171" s="47"/>
      <c r="UJ171" s="47"/>
      <c r="UK171" s="47"/>
      <c r="UL171" s="47"/>
      <c r="UM171" s="47"/>
      <c r="UN171" s="47"/>
      <c r="UO171" s="47"/>
      <c r="UP171" s="47"/>
      <c r="UQ171" s="47"/>
      <c r="UR171" s="47"/>
      <c r="US171" s="47"/>
      <c r="UT171" s="47"/>
      <c r="UU171" s="47"/>
      <c r="UV171" s="47"/>
      <c r="UW171" s="47"/>
      <c r="UX171" s="47"/>
      <c r="UY171" s="47"/>
      <c r="UZ171" s="47"/>
      <c r="VA171" s="47"/>
      <c r="VB171" s="47"/>
      <c r="VC171" s="47"/>
      <c r="VD171" s="47"/>
      <c r="VE171" s="47"/>
      <c r="VF171" s="47"/>
      <c r="VG171" s="47"/>
      <c r="VH171" s="47"/>
      <c r="VI171" s="47"/>
      <c r="VJ171" s="47"/>
      <c r="VK171" s="47"/>
      <c r="VL171" s="47"/>
      <c r="VM171" s="47"/>
      <c r="VN171" s="47"/>
      <c r="VO171" s="47"/>
      <c r="VP171" s="47"/>
      <c r="VQ171" s="47"/>
      <c r="VR171" s="47"/>
      <c r="VS171" s="47"/>
      <c r="VT171" s="47"/>
      <c r="VU171" s="47"/>
      <c r="VV171" s="47"/>
      <c r="VW171" s="47"/>
      <c r="VX171" s="47"/>
      <c r="VY171" s="47"/>
      <c r="VZ171" s="47"/>
      <c r="WA171" s="47"/>
      <c r="WB171" s="47"/>
      <c r="WC171" s="47"/>
      <c r="WD171" s="47"/>
      <c r="WE171" s="47"/>
      <c r="WF171" s="47"/>
      <c r="WG171" s="47"/>
      <c r="WH171" s="47"/>
      <c r="WI171" s="47"/>
      <c r="WJ171" s="47"/>
      <c r="WK171" s="47"/>
      <c r="WL171" s="47"/>
      <c r="WM171" s="47"/>
      <c r="WN171" s="47"/>
      <c r="WO171" s="47"/>
      <c r="WP171" s="47"/>
      <c r="WQ171" s="47"/>
      <c r="WR171" s="47"/>
      <c r="WS171" s="47"/>
      <c r="WT171" s="47"/>
      <c r="WU171" s="47"/>
      <c r="WV171" s="47"/>
      <c r="WW171" s="47"/>
      <c r="WX171" s="47"/>
      <c r="WY171" s="47"/>
      <c r="WZ171" s="47"/>
      <c r="XA171" s="47"/>
      <c r="XB171" s="47"/>
      <c r="XC171" s="47"/>
      <c r="XD171" s="47"/>
      <c r="XE171" s="47"/>
      <c r="XF171" s="47"/>
      <c r="XG171" s="47"/>
      <c r="XH171" s="47"/>
      <c r="XI171" s="47"/>
      <c r="XJ171" s="47"/>
      <c r="XK171" s="47"/>
      <c r="XL171" s="47"/>
      <c r="XM171" s="47"/>
      <c r="XN171" s="47"/>
      <c r="XO171" s="47"/>
      <c r="XP171" s="47"/>
      <c r="XQ171" s="47"/>
      <c r="XR171" s="47"/>
      <c r="XS171" s="47"/>
      <c r="XT171" s="47"/>
      <c r="XU171" s="47"/>
      <c r="XV171" s="47"/>
      <c r="XW171" s="47"/>
      <c r="XX171" s="47"/>
      <c r="XY171" s="47"/>
      <c r="XZ171" s="47"/>
      <c r="YA171" s="47"/>
      <c r="YB171" s="47"/>
      <c r="YC171" s="47"/>
      <c r="YD171" s="47"/>
      <c r="YE171" s="47"/>
      <c r="YF171" s="47"/>
      <c r="YG171" s="47"/>
      <c r="YH171" s="47"/>
      <c r="YI171" s="47"/>
      <c r="YJ171" s="47"/>
      <c r="YK171" s="47"/>
      <c r="YL171" s="47"/>
      <c r="YM171" s="47"/>
      <c r="YN171" s="47"/>
      <c r="YO171" s="47"/>
      <c r="YP171" s="47"/>
      <c r="YQ171" s="47"/>
      <c r="YR171" s="47"/>
      <c r="YS171" s="47"/>
      <c r="YT171" s="47"/>
      <c r="YU171" s="47"/>
      <c r="YV171" s="47"/>
      <c r="YW171" s="47"/>
      <c r="YX171" s="47"/>
      <c r="YY171" s="47"/>
      <c r="YZ171" s="47"/>
      <c r="ZA171" s="47"/>
      <c r="ZB171" s="47"/>
      <c r="ZC171" s="47"/>
      <c r="ZD171" s="47"/>
      <c r="ZE171" s="47"/>
      <c r="ZF171" s="47"/>
      <c r="ZG171" s="47"/>
      <c r="ZH171" s="47"/>
      <c r="ZI171" s="47"/>
      <c r="ZJ171" s="47"/>
      <c r="ZK171" s="47"/>
      <c r="ZL171" s="47"/>
      <c r="ZM171" s="47"/>
      <c r="ZN171" s="47"/>
      <c r="ZO171" s="47"/>
      <c r="ZP171" s="47"/>
      <c r="ZQ171" s="47"/>
      <c r="ZR171" s="47"/>
      <c r="ZS171" s="47"/>
      <c r="ZT171" s="47"/>
      <c r="ZU171" s="47"/>
      <c r="ZV171" s="47"/>
      <c r="ZW171" s="47"/>
      <c r="ZX171" s="47"/>
      <c r="ZY171" s="47"/>
      <c r="ZZ171" s="47"/>
      <c r="AAA171" s="47"/>
      <c r="AAB171" s="47"/>
      <c r="AAC171" s="47"/>
      <c r="AAD171" s="47"/>
      <c r="AAE171" s="47"/>
      <c r="AAF171" s="47"/>
      <c r="AAG171" s="47"/>
      <c r="AAH171" s="47"/>
      <c r="AAI171" s="47"/>
      <c r="AAJ171" s="47"/>
      <c r="AAK171" s="47"/>
      <c r="AAL171" s="47"/>
      <c r="AAM171" s="47"/>
      <c r="AAN171" s="47"/>
      <c r="AAO171" s="47"/>
      <c r="AAP171" s="47"/>
      <c r="AAQ171" s="47"/>
      <c r="AAR171" s="47"/>
      <c r="AAS171" s="47"/>
      <c r="AAT171" s="47"/>
      <c r="AAU171" s="47"/>
      <c r="AAV171" s="47"/>
      <c r="AAW171" s="47"/>
      <c r="AAX171" s="47"/>
      <c r="AAY171" s="47"/>
      <c r="AAZ171" s="47"/>
      <c r="ABA171" s="47"/>
      <c r="ABB171" s="47"/>
      <c r="ABC171" s="47"/>
      <c r="ABD171" s="47"/>
      <c r="ABE171" s="47"/>
      <c r="ABF171" s="47"/>
      <c r="ABG171" s="47"/>
      <c r="ABH171" s="47"/>
      <c r="ABI171" s="47"/>
      <c r="ABJ171" s="47"/>
      <c r="ABK171" s="47"/>
      <c r="ABL171" s="47"/>
      <c r="ABM171" s="47"/>
      <c r="ABN171" s="47"/>
      <c r="ABO171" s="47"/>
      <c r="ABP171" s="47"/>
      <c r="ABQ171" s="47"/>
      <c r="ABR171" s="47"/>
      <c r="ABS171" s="47"/>
      <c r="ABT171" s="47"/>
      <c r="ABU171" s="47"/>
      <c r="ABV171" s="47"/>
      <c r="ABW171" s="47"/>
      <c r="ABX171" s="47"/>
      <c r="ABY171" s="47"/>
      <c r="ABZ171" s="47"/>
      <c r="ACA171" s="47"/>
      <c r="ACB171" s="47"/>
      <c r="ACC171" s="47"/>
      <c r="ACD171" s="47"/>
      <c r="ACE171" s="47"/>
      <c r="ACF171" s="47"/>
      <c r="ACG171" s="47"/>
      <c r="ACH171" s="47"/>
      <c r="ACI171" s="47"/>
      <c r="ACJ171" s="47"/>
      <c r="ACK171" s="47"/>
      <c r="ACL171" s="47"/>
      <c r="ACM171" s="47"/>
      <c r="ACN171" s="47"/>
      <c r="ACO171" s="47"/>
      <c r="ACP171" s="47"/>
      <c r="ACQ171" s="47"/>
      <c r="ACR171" s="47"/>
      <c r="ACS171" s="47"/>
      <c r="ACT171" s="47"/>
      <c r="ACU171" s="47"/>
      <c r="ACV171" s="47"/>
      <c r="ACW171" s="47"/>
      <c r="ACX171" s="47"/>
      <c r="ACY171" s="47"/>
      <c r="ACZ171" s="47"/>
      <c r="ADA171" s="47"/>
      <c r="ADB171" s="47"/>
      <c r="ADC171" s="47"/>
      <c r="ADD171" s="47"/>
      <c r="ADE171" s="47"/>
      <c r="ADF171" s="47"/>
      <c r="ADG171" s="47"/>
      <c r="ADH171" s="47"/>
      <c r="ADI171" s="47"/>
      <c r="ADJ171" s="47"/>
      <c r="ADK171" s="47"/>
      <c r="ADL171" s="47"/>
      <c r="ADM171" s="47"/>
      <c r="ADN171" s="47"/>
      <c r="ADO171" s="47"/>
      <c r="ADP171" s="47"/>
      <c r="ADQ171" s="47"/>
      <c r="ADR171" s="47"/>
      <c r="ADS171" s="47"/>
      <c r="ADT171" s="47"/>
      <c r="ADU171" s="47"/>
      <c r="ADV171" s="47"/>
      <c r="ADW171" s="47"/>
      <c r="ADX171" s="47"/>
      <c r="ADY171" s="47"/>
      <c r="ADZ171" s="47"/>
      <c r="AEA171" s="47"/>
      <c r="AEB171" s="47"/>
      <c r="AEC171" s="47"/>
      <c r="AED171" s="47"/>
      <c r="AEE171" s="47"/>
      <c r="AEF171" s="47"/>
      <c r="AEG171" s="47"/>
      <c r="AEH171" s="47"/>
      <c r="AEI171" s="47"/>
      <c r="AEJ171" s="47"/>
      <c r="AEK171" s="47"/>
      <c r="AEL171" s="47"/>
      <c r="AEM171" s="47"/>
      <c r="AEN171" s="47"/>
      <c r="AEO171" s="47"/>
      <c r="AEP171" s="47"/>
      <c r="AEQ171" s="47"/>
      <c r="AER171" s="47"/>
      <c r="AES171" s="47"/>
      <c r="AET171" s="47"/>
      <c r="AEU171" s="47"/>
      <c r="AEV171" s="47"/>
      <c r="AEW171" s="47"/>
      <c r="AEX171" s="47"/>
      <c r="AEY171" s="47"/>
      <c r="AEZ171" s="47"/>
      <c r="AFA171" s="47"/>
      <c r="AFB171" s="47"/>
      <c r="AFC171" s="47"/>
      <c r="AFD171" s="47"/>
      <c r="AFE171" s="47"/>
      <c r="AFF171" s="47"/>
      <c r="AFG171" s="47"/>
      <c r="AFH171" s="47"/>
      <c r="AFI171" s="47"/>
      <c r="AFJ171" s="47"/>
      <c r="AFK171" s="47"/>
      <c r="AFL171" s="47"/>
      <c r="AFM171" s="47"/>
      <c r="AFN171" s="47"/>
      <c r="AFO171" s="47"/>
      <c r="AFP171" s="47"/>
      <c r="AFQ171" s="47"/>
      <c r="AFR171" s="47"/>
      <c r="AFS171" s="47"/>
      <c r="AFT171" s="47"/>
      <c r="AFU171" s="47"/>
      <c r="AFV171" s="47"/>
      <c r="AFW171" s="47"/>
      <c r="AFX171" s="47"/>
      <c r="AFY171" s="47"/>
      <c r="AFZ171" s="47"/>
      <c r="AGA171" s="47"/>
      <c r="AGB171" s="47"/>
      <c r="AGC171" s="47"/>
      <c r="AGD171" s="47"/>
      <c r="AGE171" s="47"/>
      <c r="AGF171" s="47"/>
      <c r="AGG171" s="47"/>
      <c r="AGH171" s="47"/>
      <c r="AGI171" s="47"/>
      <c r="AGJ171" s="47"/>
      <c r="AGK171" s="47"/>
      <c r="AGL171" s="47"/>
      <c r="AGM171" s="47"/>
      <c r="AGN171" s="47"/>
      <c r="AGO171" s="47"/>
      <c r="AGP171" s="47"/>
      <c r="AGQ171" s="47"/>
      <c r="AGR171" s="47"/>
      <c r="AGS171" s="47"/>
      <c r="AGT171" s="47"/>
      <c r="AGU171" s="47"/>
      <c r="AGV171" s="47"/>
      <c r="AGW171" s="47"/>
      <c r="AGX171" s="47"/>
      <c r="AGY171" s="47"/>
      <c r="AGZ171" s="47"/>
      <c r="AHA171" s="47"/>
      <c r="AHB171" s="47"/>
      <c r="AHC171" s="47"/>
      <c r="AHD171" s="47"/>
      <c r="AHE171" s="47"/>
      <c r="AHF171" s="47"/>
      <c r="AHG171" s="47"/>
      <c r="AHH171" s="47"/>
      <c r="AHI171" s="47"/>
      <c r="AHJ171" s="47"/>
      <c r="AHK171" s="47"/>
      <c r="AHL171" s="47"/>
      <c r="AHM171" s="47"/>
      <c r="AHN171" s="47"/>
      <c r="AHO171" s="47"/>
      <c r="AHP171" s="47"/>
      <c r="AHQ171" s="47"/>
      <c r="AHR171" s="47"/>
      <c r="AHS171" s="47"/>
      <c r="AHT171" s="47"/>
      <c r="AHU171" s="47"/>
      <c r="AHV171" s="47"/>
      <c r="AHW171" s="47"/>
      <c r="AHX171" s="47"/>
      <c r="AHY171" s="47"/>
      <c r="AHZ171" s="47"/>
      <c r="AIA171" s="47"/>
      <c r="AIB171" s="47"/>
      <c r="AIC171" s="47"/>
      <c r="AID171" s="47"/>
      <c r="AIE171" s="47"/>
      <c r="AIF171" s="47"/>
      <c r="AIG171" s="47"/>
      <c r="AIH171" s="47"/>
      <c r="AII171" s="47"/>
      <c r="AIJ171" s="47"/>
      <c r="AIK171" s="47"/>
      <c r="AIL171" s="47"/>
      <c r="AIM171" s="47"/>
      <c r="AIN171" s="47"/>
      <c r="AIO171" s="47"/>
      <c r="AIP171" s="47"/>
      <c r="AIQ171" s="47"/>
      <c r="AIR171" s="47"/>
      <c r="AIS171" s="47"/>
      <c r="AIT171" s="47"/>
      <c r="AIU171" s="47"/>
      <c r="AIV171" s="47"/>
      <c r="AIW171" s="47"/>
      <c r="AIX171" s="47"/>
      <c r="AIY171" s="47"/>
      <c r="AIZ171" s="47"/>
      <c r="AJA171" s="47"/>
      <c r="AJB171" s="47"/>
      <c r="AJC171" s="47"/>
      <c r="AJD171" s="47"/>
      <c r="AJE171" s="47"/>
      <c r="AJF171" s="47"/>
      <c r="AJG171" s="47"/>
      <c r="AJH171" s="47"/>
      <c r="AJI171" s="47"/>
      <c r="AJJ171" s="47"/>
      <c r="AJK171" s="47"/>
      <c r="AJL171" s="47"/>
      <c r="AJM171" s="47"/>
      <c r="AJN171" s="47"/>
      <c r="AJO171" s="47"/>
      <c r="AJP171" s="47"/>
      <c r="AJQ171" s="47"/>
      <c r="AJR171" s="47"/>
      <c r="AJS171" s="47"/>
      <c r="AJT171" s="47"/>
      <c r="AJU171" s="47"/>
      <c r="AJV171" s="47"/>
      <c r="AJW171" s="47"/>
      <c r="AJX171" s="47"/>
      <c r="AJY171" s="47"/>
      <c r="AJZ171" s="47"/>
      <c r="AKA171" s="47"/>
      <c r="AKB171" s="47"/>
      <c r="AKC171" s="47"/>
      <c r="AKD171" s="47"/>
      <c r="AKE171" s="47"/>
      <c r="AKF171" s="47"/>
      <c r="AKG171" s="47"/>
      <c r="AKH171" s="47"/>
      <c r="AKI171" s="47"/>
      <c r="AKJ171" s="47"/>
      <c r="AKK171" s="47"/>
      <c r="AKL171" s="47"/>
      <c r="AKM171" s="47"/>
      <c r="AKN171" s="47"/>
      <c r="AKO171" s="47"/>
      <c r="AKP171" s="47"/>
      <c r="AKQ171" s="47"/>
      <c r="AKR171" s="47"/>
      <c r="AKS171" s="47"/>
      <c r="AKT171" s="47"/>
      <c r="AKU171" s="47"/>
      <c r="AKV171" s="47"/>
      <c r="AKW171" s="47"/>
      <c r="AKX171" s="47"/>
      <c r="AKY171" s="47"/>
      <c r="AKZ171" s="47"/>
      <c r="ALA171" s="47"/>
      <c r="ALB171" s="47"/>
      <c r="ALC171" s="47"/>
      <c r="ALD171" s="47"/>
      <c r="ALE171" s="47"/>
      <c r="ALF171" s="47"/>
      <c r="ALG171" s="47"/>
      <c r="ALH171" s="47"/>
      <c r="ALI171" s="47"/>
      <c r="ALJ171" s="47"/>
      <c r="ALK171" s="47"/>
      <c r="ALL171" s="47"/>
      <c r="ALM171" s="47"/>
      <c r="ALN171" s="47"/>
      <c r="ALO171" s="47"/>
      <c r="ALP171" s="47"/>
      <c r="ALQ171" s="47"/>
      <c r="ALR171" s="47"/>
      <c r="ALS171" s="47"/>
      <c r="ALT171" s="47"/>
      <c r="ALU171" s="47"/>
      <c r="ALV171" s="47"/>
      <c r="ALW171" s="47"/>
      <c r="ALX171" s="47"/>
      <c r="ALY171" s="47"/>
      <c r="ALZ171" s="47"/>
      <c r="AMA171" s="47"/>
      <c r="AMB171" s="47"/>
      <c r="AMC171" s="47"/>
      <c r="AMD171" s="47"/>
      <c r="AME171" s="47"/>
      <c r="AMF171" s="47"/>
      <c r="AMG171" s="47"/>
      <c r="AMH171" s="47"/>
      <c r="AMI171" s="47"/>
      <c r="AMJ171" s="47"/>
      <c r="AMK171" s="47"/>
      <c r="AML171" s="47"/>
      <c r="AMM171" s="18"/>
    </row>
    <row r="172" spans="1:1027" s="18" customFormat="1" x14ac:dyDescent="0.2">
      <c r="A172" s="18" t="s">
        <v>678</v>
      </c>
      <c r="B172" s="18" t="s">
        <v>740</v>
      </c>
      <c r="D172" s="18">
        <v>126</v>
      </c>
      <c r="E172" s="19" t="s">
        <v>506</v>
      </c>
      <c r="F172" s="19" t="s">
        <v>507</v>
      </c>
      <c r="G172" s="20" t="s">
        <v>508</v>
      </c>
      <c r="H172" s="19" t="s">
        <v>507</v>
      </c>
      <c r="I172" s="19" t="s">
        <v>507</v>
      </c>
      <c r="J172" s="19" t="s">
        <v>507</v>
      </c>
      <c r="K172" s="21" t="s">
        <v>509</v>
      </c>
      <c r="M172" s="1" t="s">
        <v>739</v>
      </c>
      <c r="N172" s="1"/>
      <c r="S172" s="13"/>
      <c r="T172" s="33"/>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47"/>
      <c r="AMM172" s="31"/>
    </row>
    <row r="173" spans="1:1027" s="31" customFormat="1" x14ac:dyDescent="0.2">
      <c r="A173" s="18" t="s">
        <v>678</v>
      </c>
      <c r="B173" s="18" t="s">
        <v>741</v>
      </c>
      <c r="C173" s="18"/>
      <c r="D173" s="18">
        <v>60</v>
      </c>
      <c r="E173" s="19" t="s">
        <v>506</v>
      </c>
      <c r="F173" s="19" t="s">
        <v>507</v>
      </c>
      <c r="G173" s="20" t="s">
        <v>508</v>
      </c>
      <c r="H173" s="19" t="s">
        <v>507</v>
      </c>
      <c r="I173" s="19" t="s">
        <v>507</v>
      </c>
      <c r="J173" s="19" t="s">
        <v>507</v>
      </c>
      <c r="K173" s="21" t="s">
        <v>509</v>
      </c>
      <c r="L173" s="18"/>
      <c r="M173" s="1" t="s">
        <v>739</v>
      </c>
      <c r="N173" s="1"/>
      <c r="O173" s="18"/>
      <c r="P173" s="18"/>
      <c r="Q173" s="18"/>
      <c r="R173" s="18"/>
      <c r="S173" s="13"/>
      <c r="T173" s="6"/>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AMM173" s="47"/>
    </row>
    <row r="174" spans="1:1027" s="47" customFormat="1" x14ac:dyDescent="0.2">
      <c r="A174" s="18" t="s">
        <v>678</v>
      </c>
      <c r="B174" s="18" t="s">
        <v>742</v>
      </c>
      <c r="C174" s="18"/>
      <c r="D174" s="18">
        <v>153</v>
      </c>
      <c r="E174" s="19" t="s">
        <v>506</v>
      </c>
      <c r="F174" s="19" t="s">
        <v>507</v>
      </c>
      <c r="G174" s="20" t="s">
        <v>508</v>
      </c>
      <c r="H174" s="19" t="s">
        <v>507</v>
      </c>
      <c r="I174" s="19" t="s">
        <v>507</v>
      </c>
      <c r="J174" s="19" t="s">
        <v>507</v>
      </c>
      <c r="K174" s="21" t="s">
        <v>509</v>
      </c>
      <c r="L174" s="18"/>
      <c r="M174" s="1" t="s">
        <v>739</v>
      </c>
      <c r="N174" s="1"/>
      <c r="O174" s="18"/>
      <c r="P174" s="18"/>
      <c r="Q174" s="18"/>
      <c r="R174" s="18"/>
      <c r="S174" s="13"/>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c r="EF174" s="18"/>
      <c r="EG174" s="18"/>
      <c r="EH174" s="18"/>
      <c r="EI174" s="18"/>
      <c r="EJ174" s="18"/>
      <c r="EK174" s="18"/>
      <c r="EL174" s="18"/>
      <c r="EM174" s="18"/>
      <c r="EN174" s="18"/>
      <c r="EO174" s="18"/>
      <c r="EP174" s="18"/>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18"/>
      <c r="FM174" s="18"/>
      <c r="FN174" s="18"/>
      <c r="FO174" s="18"/>
      <c r="FP174" s="18"/>
      <c r="FQ174" s="18"/>
      <c r="FR174" s="18"/>
      <c r="FS174" s="18"/>
      <c r="FT174" s="18"/>
      <c r="FU174" s="18"/>
      <c r="FV174" s="18"/>
      <c r="FW174" s="18"/>
      <c r="FX174" s="18"/>
      <c r="FY174" s="18"/>
      <c r="FZ174" s="18"/>
      <c r="GA174" s="18"/>
      <c r="GB174" s="18"/>
      <c r="GC174" s="18"/>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c r="HA174" s="18"/>
      <c r="HB174" s="18"/>
      <c r="HC174" s="18"/>
      <c r="HD174" s="18"/>
      <c r="HE174" s="18"/>
      <c r="HF174" s="18"/>
      <c r="HG174" s="18"/>
      <c r="HH174" s="18"/>
      <c r="HI174" s="18"/>
      <c r="HJ174" s="18"/>
      <c r="HK174" s="18"/>
      <c r="HL174" s="18"/>
      <c r="HM174" s="18"/>
      <c r="HN174" s="18"/>
      <c r="HO174" s="18"/>
      <c r="HP174" s="18"/>
      <c r="HQ174" s="18"/>
      <c r="HR174" s="18"/>
      <c r="HS174" s="18"/>
      <c r="HT174" s="18"/>
      <c r="HU174" s="18"/>
      <c r="HV174" s="18"/>
      <c r="HW174" s="18"/>
      <c r="HX174" s="18"/>
      <c r="HY174" s="18"/>
      <c r="HZ174" s="18"/>
      <c r="IA174" s="18"/>
      <c r="IB174" s="18"/>
      <c r="IC174" s="18"/>
      <c r="ID174" s="18"/>
      <c r="IE174" s="18"/>
      <c r="IF174" s="18"/>
      <c r="IG174" s="18"/>
      <c r="IH174" s="18"/>
      <c r="II174" s="18"/>
      <c r="IJ174" s="18"/>
      <c r="IK174" s="18"/>
      <c r="IL174" s="18"/>
      <c r="IM174" s="18"/>
      <c r="IN174" s="18"/>
      <c r="IO174" s="18"/>
      <c r="IP174" s="18"/>
      <c r="IQ174" s="18"/>
      <c r="IR174" s="18"/>
      <c r="IS174" s="18"/>
      <c r="IT174" s="18"/>
      <c r="IU174" s="18"/>
      <c r="IV174" s="18"/>
      <c r="IW174" s="18"/>
      <c r="IX174" s="18"/>
      <c r="IY174" s="18"/>
      <c r="IZ174" s="18"/>
      <c r="JA174" s="18"/>
      <c r="JB174" s="18"/>
      <c r="JC174" s="18"/>
      <c r="JD174" s="18"/>
      <c r="JE174" s="18"/>
      <c r="JF174" s="18"/>
      <c r="JG174" s="18"/>
      <c r="JH174" s="18"/>
      <c r="JI174" s="18"/>
      <c r="JJ174" s="18"/>
      <c r="JK174" s="18"/>
      <c r="JL174" s="18"/>
      <c r="JM174" s="18"/>
      <c r="JN174" s="18"/>
      <c r="JO174" s="18"/>
      <c r="JP174" s="18"/>
      <c r="JQ174" s="18"/>
      <c r="JR174" s="18"/>
      <c r="JS174" s="18"/>
      <c r="JT174" s="18"/>
      <c r="JU174" s="18"/>
      <c r="JV174" s="18"/>
      <c r="JW174" s="18"/>
      <c r="JX174" s="18"/>
      <c r="JY174" s="18"/>
      <c r="JZ174" s="18"/>
      <c r="KA174" s="18"/>
      <c r="KB174" s="18"/>
      <c r="KC174" s="18"/>
      <c r="KD174" s="18"/>
      <c r="KE174" s="18"/>
      <c r="KF174" s="18"/>
      <c r="KG174" s="18"/>
      <c r="KH174" s="18"/>
      <c r="KI174" s="18"/>
      <c r="KJ174" s="18"/>
      <c r="KK174" s="18"/>
      <c r="KL174" s="18"/>
      <c r="KM174" s="18"/>
      <c r="KN174" s="18"/>
      <c r="KO174" s="18"/>
      <c r="KP174" s="18"/>
      <c r="KQ174" s="18"/>
      <c r="KR174" s="18"/>
      <c r="KS174" s="18"/>
      <c r="KT174" s="18"/>
      <c r="KU174" s="18"/>
      <c r="KV174" s="18"/>
      <c r="KW174" s="18"/>
      <c r="KX174" s="18"/>
      <c r="KY174" s="18"/>
      <c r="KZ174" s="18"/>
      <c r="LA174" s="18"/>
      <c r="LB174" s="18"/>
      <c r="LC174" s="18"/>
      <c r="LD174" s="18"/>
      <c r="LE174" s="18"/>
      <c r="LF174" s="18"/>
      <c r="LG174" s="18"/>
      <c r="LH174" s="18"/>
      <c r="LI174" s="18"/>
      <c r="LJ174" s="18"/>
      <c r="LK174" s="18"/>
      <c r="LL174" s="18"/>
      <c r="LM174" s="18"/>
      <c r="LN174" s="18"/>
      <c r="LO174" s="18"/>
      <c r="LP174" s="18"/>
      <c r="LQ174" s="18"/>
      <c r="LR174" s="18"/>
      <c r="LS174" s="18"/>
      <c r="LT174" s="18"/>
      <c r="LU174" s="18"/>
      <c r="LV174" s="18"/>
      <c r="LW174" s="18"/>
      <c r="LX174" s="18"/>
      <c r="LY174" s="18"/>
      <c r="LZ174" s="18"/>
      <c r="MA174" s="18"/>
      <c r="MB174" s="18"/>
      <c r="MC174" s="18"/>
      <c r="MD174" s="18"/>
      <c r="ME174" s="18"/>
      <c r="MF174" s="18"/>
      <c r="MG174" s="18"/>
      <c r="MH174" s="18"/>
      <c r="MI174" s="18"/>
      <c r="MJ174" s="18"/>
      <c r="MK174" s="18"/>
      <c r="ML174" s="18"/>
      <c r="MM174" s="18"/>
      <c r="MN174" s="18"/>
      <c r="MO174" s="18"/>
      <c r="MP174" s="18"/>
      <c r="MQ174" s="18"/>
      <c r="MR174" s="18"/>
      <c r="MS174" s="18"/>
      <c r="MT174" s="18"/>
      <c r="MU174" s="18"/>
      <c r="MV174" s="18"/>
      <c r="MW174" s="18"/>
      <c r="MX174" s="18"/>
      <c r="MY174" s="18"/>
      <c r="MZ174" s="18"/>
      <c r="NA174" s="18"/>
      <c r="NB174" s="18"/>
      <c r="NC174" s="18"/>
      <c r="ND174" s="18"/>
      <c r="NE174" s="18"/>
      <c r="NF174" s="18"/>
      <c r="NG174" s="18"/>
      <c r="NH174" s="18"/>
      <c r="NI174" s="18"/>
      <c r="NJ174" s="18"/>
      <c r="NK174" s="18"/>
      <c r="NL174" s="18"/>
      <c r="NM174" s="18"/>
      <c r="NN174" s="18"/>
      <c r="NO174" s="18"/>
      <c r="NP174" s="18"/>
      <c r="NQ174" s="18"/>
      <c r="NR174" s="18"/>
      <c r="NS174" s="18"/>
      <c r="NT174" s="18"/>
      <c r="NU174" s="18"/>
      <c r="NV174" s="18"/>
      <c r="NW174" s="18"/>
      <c r="NX174" s="18"/>
      <c r="NY174" s="18"/>
      <c r="NZ174" s="18"/>
      <c r="OA174" s="18"/>
      <c r="OB174" s="18"/>
      <c r="OC174" s="18"/>
      <c r="OD174" s="18"/>
      <c r="OE174" s="18"/>
      <c r="OF174" s="18"/>
      <c r="OG174" s="18"/>
      <c r="OH174" s="18"/>
      <c r="OI174" s="18"/>
      <c r="OJ174" s="18"/>
      <c r="OK174" s="18"/>
      <c r="OL174" s="18"/>
      <c r="OM174" s="18"/>
      <c r="ON174" s="18"/>
      <c r="OO174" s="18"/>
      <c r="OP174" s="18"/>
      <c r="OQ174" s="18"/>
      <c r="OR174" s="18"/>
      <c r="OS174" s="18"/>
      <c r="OT174" s="18"/>
      <c r="OU174" s="18"/>
      <c r="OV174" s="18"/>
      <c r="OW174" s="18"/>
      <c r="OX174" s="18"/>
      <c r="OY174" s="18"/>
      <c r="OZ174" s="18"/>
      <c r="PA174" s="18"/>
      <c r="PB174" s="18"/>
      <c r="PC174" s="18"/>
      <c r="PD174" s="18"/>
      <c r="PE174" s="18"/>
      <c r="PF174" s="18"/>
      <c r="PG174" s="18"/>
      <c r="PH174" s="18"/>
      <c r="PI174" s="18"/>
      <c r="PJ174" s="18"/>
      <c r="PK174" s="18"/>
      <c r="PL174" s="18"/>
      <c r="PM174" s="18"/>
      <c r="PN174" s="18"/>
      <c r="PO174" s="18"/>
      <c r="PP174" s="18"/>
      <c r="PQ174" s="18"/>
      <c r="PR174" s="18"/>
      <c r="PS174" s="18"/>
      <c r="PT174" s="18"/>
      <c r="PU174" s="18"/>
      <c r="PV174" s="18"/>
      <c r="PW174" s="18"/>
      <c r="PX174" s="18"/>
      <c r="PY174" s="18"/>
      <c r="PZ174" s="18"/>
      <c r="QA174" s="18"/>
      <c r="QB174" s="18"/>
      <c r="QC174" s="18"/>
      <c r="QD174" s="18"/>
      <c r="QE174" s="18"/>
      <c r="QF174" s="18"/>
      <c r="QG174" s="18"/>
      <c r="QH174" s="18"/>
      <c r="QI174" s="18"/>
      <c r="QJ174" s="18"/>
      <c r="QK174" s="18"/>
      <c r="QL174" s="18"/>
      <c r="QM174" s="18"/>
      <c r="QN174" s="18"/>
      <c r="QO174" s="18"/>
      <c r="QP174" s="18"/>
      <c r="QQ174" s="18"/>
      <c r="QR174" s="18"/>
      <c r="QS174" s="18"/>
      <c r="QT174" s="18"/>
      <c r="QU174" s="18"/>
      <c r="QV174" s="18"/>
      <c r="QW174" s="18"/>
      <c r="QX174" s="18"/>
      <c r="QY174" s="18"/>
      <c r="QZ174" s="18"/>
      <c r="RA174" s="18"/>
      <c r="RB174" s="18"/>
      <c r="RC174" s="18"/>
      <c r="RD174" s="18"/>
      <c r="RE174" s="18"/>
      <c r="RF174" s="18"/>
      <c r="RG174" s="18"/>
      <c r="RH174" s="18"/>
      <c r="RI174" s="18"/>
      <c r="RJ174" s="18"/>
      <c r="RK174" s="18"/>
      <c r="RL174" s="18"/>
      <c r="RM174" s="18"/>
      <c r="RN174" s="18"/>
      <c r="RO174" s="18"/>
      <c r="RP174" s="18"/>
      <c r="RQ174" s="18"/>
      <c r="RR174" s="18"/>
      <c r="RS174" s="18"/>
      <c r="RT174" s="18"/>
      <c r="RU174" s="18"/>
      <c r="RV174" s="18"/>
      <c r="RW174" s="18"/>
      <c r="RX174" s="18"/>
      <c r="RY174" s="18"/>
      <c r="RZ174" s="18"/>
      <c r="SA174" s="18"/>
      <c r="SB174" s="18"/>
      <c r="SC174" s="18"/>
      <c r="SD174" s="18"/>
      <c r="SE174" s="18"/>
      <c r="SF174" s="18"/>
      <c r="SG174" s="18"/>
      <c r="SH174" s="18"/>
      <c r="SI174" s="18"/>
      <c r="SJ174" s="18"/>
      <c r="SK174" s="18"/>
      <c r="SL174" s="18"/>
      <c r="SM174" s="18"/>
      <c r="SN174" s="18"/>
      <c r="SO174" s="18"/>
      <c r="SP174" s="18"/>
      <c r="SQ174" s="18"/>
      <c r="SR174" s="18"/>
      <c r="SS174" s="18"/>
      <c r="ST174" s="18"/>
      <c r="SU174" s="18"/>
      <c r="SV174" s="18"/>
      <c r="SW174" s="18"/>
      <c r="SX174" s="18"/>
      <c r="SY174" s="18"/>
      <c r="SZ174" s="18"/>
      <c r="TA174" s="18"/>
      <c r="TB174" s="18"/>
      <c r="TC174" s="18"/>
      <c r="TD174" s="18"/>
      <c r="TE174" s="18"/>
      <c r="TF174" s="18"/>
      <c r="TG174" s="18"/>
      <c r="TH174" s="18"/>
      <c r="TI174" s="18"/>
      <c r="TJ174" s="18"/>
      <c r="TK174" s="18"/>
      <c r="TL174" s="18"/>
      <c r="TM174" s="18"/>
      <c r="TN174" s="18"/>
      <c r="TO174" s="18"/>
      <c r="TP174" s="18"/>
      <c r="TQ174" s="18"/>
      <c r="TR174" s="18"/>
      <c r="TS174" s="18"/>
      <c r="TT174" s="18"/>
      <c r="TU174" s="18"/>
      <c r="TV174" s="18"/>
      <c r="TW174" s="18"/>
      <c r="TX174" s="18"/>
      <c r="TY174" s="18"/>
      <c r="TZ174" s="18"/>
      <c r="UA174" s="18"/>
      <c r="UB174" s="18"/>
      <c r="UC174" s="18"/>
      <c r="UD174" s="18"/>
      <c r="UE174" s="18"/>
      <c r="UF174" s="18"/>
      <c r="UG174" s="18"/>
      <c r="UH174" s="18"/>
      <c r="UI174" s="18"/>
      <c r="UJ174" s="18"/>
      <c r="UK174" s="18"/>
      <c r="UL174" s="18"/>
      <c r="UM174" s="18"/>
      <c r="UN174" s="18"/>
      <c r="UO174" s="18"/>
      <c r="UP174" s="18"/>
      <c r="UQ174" s="18"/>
      <c r="UR174" s="18"/>
      <c r="US174" s="18"/>
      <c r="UT174" s="18"/>
      <c r="UU174" s="18"/>
      <c r="UV174" s="18"/>
      <c r="UW174" s="18"/>
      <c r="UX174" s="18"/>
      <c r="UY174" s="18"/>
      <c r="UZ174" s="18"/>
      <c r="VA174" s="18"/>
      <c r="VB174" s="18"/>
      <c r="VC174" s="18"/>
      <c r="VD174" s="18"/>
      <c r="VE174" s="18"/>
      <c r="VF174" s="18"/>
      <c r="VG174" s="18"/>
      <c r="VH174" s="18"/>
      <c r="VI174" s="18"/>
      <c r="VJ174" s="18"/>
      <c r="VK174" s="18"/>
      <c r="VL174" s="18"/>
      <c r="VM174" s="18"/>
      <c r="VN174" s="18"/>
      <c r="VO174" s="18"/>
      <c r="VP174" s="18"/>
      <c r="VQ174" s="18"/>
      <c r="VR174" s="18"/>
      <c r="VS174" s="18"/>
      <c r="VT174" s="18"/>
      <c r="VU174" s="18"/>
      <c r="VV174" s="18"/>
      <c r="VW174" s="18"/>
      <c r="VX174" s="18"/>
      <c r="VY174" s="18"/>
      <c r="VZ174" s="18"/>
      <c r="WA174" s="18"/>
      <c r="WB174" s="18"/>
      <c r="WC174" s="18"/>
      <c r="WD174" s="18"/>
      <c r="WE174" s="18"/>
      <c r="WF174" s="18"/>
      <c r="WG174" s="18"/>
      <c r="WH174" s="18"/>
      <c r="WI174" s="18"/>
      <c r="WJ174" s="18"/>
      <c r="WK174" s="18"/>
      <c r="WL174" s="18"/>
      <c r="WM174" s="18"/>
      <c r="WN174" s="18"/>
      <c r="WO174" s="18"/>
      <c r="WP174" s="18"/>
      <c r="WQ174" s="18"/>
      <c r="WR174" s="18"/>
      <c r="WS174" s="18"/>
      <c r="WT174" s="18"/>
      <c r="WU174" s="18"/>
      <c r="WV174" s="18"/>
      <c r="WW174" s="18"/>
      <c r="WX174" s="18"/>
      <c r="WY174" s="18"/>
      <c r="WZ174" s="18"/>
      <c r="XA174" s="18"/>
      <c r="XB174" s="18"/>
      <c r="XC174" s="18"/>
      <c r="XD174" s="18"/>
      <c r="XE174" s="18"/>
      <c r="XF174" s="18"/>
      <c r="XG174" s="18"/>
      <c r="XH174" s="18"/>
      <c r="XI174" s="18"/>
      <c r="XJ174" s="18"/>
      <c r="XK174" s="18"/>
      <c r="XL174" s="18"/>
      <c r="XM174" s="18"/>
      <c r="XN174" s="18"/>
      <c r="XO174" s="18"/>
      <c r="XP174" s="18"/>
      <c r="XQ174" s="18"/>
      <c r="XR174" s="18"/>
      <c r="XS174" s="18"/>
      <c r="XT174" s="18"/>
      <c r="XU174" s="18"/>
      <c r="XV174" s="18"/>
      <c r="XW174" s="18"/>
      <c r="XX174" s="18"/>
      <c r="XY174" s="18"/>
      <c r="XZ174" s="18"/>
      <c r="YA174" s="18"/>
      <c r="YB174" s="18"/>
      <c r="YC174" s="18"/>
      <c r="YD174" s="18"/>
      <c r="YE174" s="18"/>
      <c r="YF174" s="18"/>
      <c r="YG174" s="18"/>
      <c r="YH174" s="18"/>
      <c r="YI174" s="18"/>
      <c r="YJ174" s="18"/>
      <c r="YK174" s="18"/>
      <c r="YL174" s="18"/>
      <c r="YM174" s="18"/>
      <c r="YN174" s="18"/>
      <c r="YO174" s="18"/>
      <c r="YP174" s="18"/>
      <c r="YQ174" s="18"/>
      <c r="YR174" s="18"/>
      <c r="YS174" s="18"/>
      <c r="YT174" s="18"/>
      <c r="YU174" s="18"/>
      <c r="YV174" s="18"/>
      <c r="YW174" s="18"/>
      <c r="YX174" s="18"/>
      <c r="YY174" s="18"/>
      <c r="YZ174" s="18"/>
      <c r="ZA174" s="18"/>
      <c r="ZB174" s="18"/>
      <c r="ZC174" s="18"/>
      <c r="ZD174" s="18"/>
      <c r="ZE174" s="18"/>
      <c r="ZF174" s="18"/>
      <c r="ZG174" s="18"/>
      <c r="ZH174" s="18"/>
      <c r="ZI174" s="18"/>
      <c r="ZJ174" s="18"/>
      <c r="ZK174" s="18"/>
      <c r="ZL174" s="18"/>
      <c r="ZM174" s="18"/>
      <c r="ZN174" s="18"/>
      <c r="ZO174" s="18"/>
      <c r="ZP174" s="18"/>
      <c r="ZQ174" s="18"/>
      <c r="ZR174" s="18"/>
      <c r="ZS174" s="18"/>
      <c r="ZT174" s="18"/>
      <c r="ZU174" s="18"/>
      <c r="ZV174" s="18"/>
      <c r="ZW174" s="18"/>
      <c r="ZX174" s="18"/>
      <c r="ZY174" s="18"/>
      <c r="ZZ174" s="18"/>
      <c r="AAA174" s="18"/>
      <c r="AAB174" s="18"/>
      <c r="AAC174" s="18"/>
      <c r="AAD174" s="18"/>
      <c r="AAE174" s="18"/>
      <c r="AAF174" s="18"/>
      <c r="AAG174" s="18"/>
      <c r="AAH174" s="18"/>
      <c r="AAI174" s="18"/>
      <c r="AAJ174" s="18"/>
      <c r="AAK174" s="18"/>
      <c r="AAL174" s="18"/>
      <c r="AAM174" s="18"/>
      <c r="AAN174" s="18"/>
      <c r="AAO174" s="18"/>
      <c r="AAP174" s="18"/>
      <c r="AAQ174" s="18"/>
      <c r="AAR174" s="18"/>
      <c r="AAS174" s="18"/>
      <c r="AAT174" s="18"/>
      <c r="AAU174" s="18"/>
      <c r="AAV174" s="18"/>
      <c r="AAW174" s="18"/>
      <c r="AAX174" s="18"/>
      <c r="AAY174" s="18"/>
      <c r="AAZ174" s="18"/>
      <c r="ABA174" s="18"/>
      <c r="ABB174" s="18"/>
      <c r="ABC174" s="18"/>
      <c r="ABD174" s="18"/>
      <c r="ABE174" s="18"/>
      <c r="ABF174" s="18"/>
      <c r="ABG174" s="18"/>
      <c r="ABH174" s="18"/>
      <c r="ABI174" s="18"/>
      <c r="ABJ174" s="18"/>
      <c r="ABK174" s="18"/>
      <c r="ABL174" s="18"/>
      <c r="ABM174" s="18"/>
      <c r="ABN174" s="18"/>
      <c r="ABO174" s="18"/>
      <c r="ABP174" s="18"/>
      <c r="ABQ174" s="18"/>
      <c r="ABR174" s="18"/>
      <c r="ABS174" s="18"/>
      <c r="ABT174" s="18"/>
      <c r="ABU174" s="18"/>
      <c r="ABV174" s="18"/>
      <c r="ABW174" s="18"/>
      <c r="ABX174" s="18"/>
      <c r="ABY174" s="18"/>
      <c r="ABZ174" s="18"/>
      <c r="ACA174" s="18"/>
      <c r="ACB174" s="18"/>
      <c r="ACC174" s="18"/>
      <c r="ACD174" s="18"/>
      <c r="ACE174" s="18"/>
      <c r="ACF174" s="18"/>
      <c r="ACG174" s="18"/>
      <c r="ACH174" s="18"/>
      <c r="ACI174" s="18"/>
      <c r="ACJ174" s="18"/>
      <c r="ACK174" s="18"/>
      <c r="ACL174" s="18"/>
      <c r="ACM174" s="18"/>
      <c r="ACN174" s="18"/>
      <c r="ACO174" s="18"/>
      <c r="ACP174" s="18"/>
      <c r="ACQ174" s="18"/>
      <c r="ACR174" s="18"/>
      <c r="ACS174" s="18"/>
      <c r="ACT174" s="18"/>
      <c r="ACU174" s="18"/>
      <c r="ACV174" s="18"/>
      <c r="ACW174" s="18"/>
      <c r="ACX174" s="18"/>
      <c r="ACY174" s="18"/>
      <c r="ACZ174" s="18"/>
      <c r="ADA174" s="18"/>
      <c r="ADB174" s="18"/>
      <c r="ADC174" s="18"/>
      <c r="ADD174" s="18"/>
      <c r="ADE174" s="18"/>
      <c r="ADF174" s="18"/>
      <c r="ADG174" s="18"/>
      <c r="ADH174" s="18"/>
      <c r="ADI174" s="18"/>
      <c r="ADJ174" s="18"/>
      <c r="ADK174" s="18"/>
      <c r="ADL174" s="18"/>
      <c r="ADM174" s="18"/>
      <c r="ADN174" s="18"/>
      <c r="ADO174" s="18"/>
      <c r="ADP174" s="18"/>
      <c r="ADQ174" s="18"/>
      <c r="ADR174" s="18"/>
      <c r="ADS174" s="18"/>
      <c r="ADT174" s="18"/>
      <c r="ADU174" s="18"/>
      <c r="ADV174" s="18"/>
      <c r="ADW174" s="18"/>
      <c r="ADX174" s="18"/>
      <c r="ADY174" s="18"/>
      <c r="ADZ174" s="18"/>
      <c r="AEA174" s="18"/>
      <c r="AEB174" s="18"/>
      <c r="AEC174" s="18"/>
      <c r="AED174" s="18"/>
      <c r="AEE174" s="18"/>
      <c r="AEF174" s="18"/>
      <c r="AEG174" s="18"/>
      <c r="AEH174" s="18"/>
      <c r="AEI174" s="18"/>
      <c r="AEJ174" s="18"/>
      <c r="AEK174" s="18"/>
      <c r="AEL174" s="18"/>
      <c r="AEM174" s="18"/>
      <c r="AEN174" s="18"/>
      <c r="AEO174" s="18"/>
      <c r="AEP174" s="18"/>
      <c r="AEQ174" s="18"/>
      <c r="AER174" s="18"/>
      <c r="AES174" s="18"/>
      <c r="AET174" s="18"/>
      <c r="AEU174" s="18"/>
      <c r="AEV174" s="18"/>
      <c r="AEW174" s="18"/>
      <c r="AEX174" s="18"/>
      <c r="AEY174" s="18"/>
      <c r="AEZ174" s="18"/>
      <c r="AFA174" s="18"/>
      <c r="AFB174" s="18"/>
      <c r="AFC174" s="18"/>
      <c r="AFD174" s="18"/>
      <c r="AFE174" s="18"/>
      <c r="AFF174" s="18"/>
      <c r="AFG174" s="18"/>
      <c r="AFH174" s="18"/>
      <c r="AFI174" s="18"/>
      <c r="AFJ174" s="18"/>
      <c r="AFK174" s="18"/>
      <c r="AFL174" s="18"/>
      <c r="AFM174" s="18"/>
      <c r="AFN174" s="18"/>
      <c r="AFO174" s="18"/>
      <c r="AFP174" s="18"/>
      <c r="AFQ174" s="18"/>
      <c r="AFR174" s="18"/>
      <c r="AFS174" s="18"/>
      <c r="AFT174" s="18"/>
      <c r="AFU174" s="18"/>
      <c r="AFV174" s="18"/>
      <c r="AFW174" s="18"/>
      <c r="AFX174" s="18"/>
      <c r="AFY174" s="18"/>
      <c r="AFZ174" s="18"/>
      <c r="AGA174" s="18"/>
      <c r="AGB174" s="18"/>
      <c r="AGC174" s="18"/>
      <c r="AGD174" s="18"/>
      <c r="AGE174" s="18"/>
      <c r="AGF174" s="18"/>
      <c r="AGG174" s="18"/>
      <c r="AGH174" s="18"/>
      <c r="AGI174" s="18"/>
      <c r="AGJ174" s="18"/>
      <c r="AGK174" s="18"/>
      <c r="AGL174" s="18"/>
      <c r="AGM174" s="18"/>
      <c r="AGN174" s="18"/>
      <c r="AGO174" s="18"/>
      <c r="AGP174" s="18"/>
      <c r="AGQ174" s="18"/>
      <c r="AGR174" s="18"/>
      <c r="AGS174" s="18"/>
      <c r="AGT174" s="18"/>
      <c r="AGU174" s="18"/>
      <c r="AGV174" s="18"/>
      <c r="AGW174" s="18"/>
      <c r="AGX174" s="18"/>
      <c r="AGY174" s="18"/>
      <c r="AGZ174" s="18"/>
      <c r="AHA174" s="18"/>
      <c r="AHB174" s="18"/>
      <c r="AHC174" s="18"/>
      <c r="AHD174" s="18"/>
      <c r="AHE174" s="18"/>
      <c r="AHF174" s="18"/>
      <c r="AHG174" s="18"/>
      <c r="AHH174" s="18"/>
      <c r="AHI174" s="18"/>
      <c r="AHJ174" s="18"/>
      <c r="AHK174" s="18"/>
      <c r="AHL174" s="18"/>
      <c r="AHM174" s="18"/>
      <c r="AHN174" s="18"/>
      <c r="AHO174" s="18"/>
      <c r="AHP174" s="18"/>
      <c r="AHQ174" s="18"/>
      <c r="AHR174" s="18"/>
      <c r="AHS174" s="18"/>
      <c r="AHT174" s="18"/>
      <c r="AHU174" s="18"/>
      <c r="AHV174" s="18"/>
      <c r="AHW174" s="18"/>
      <c r="AHX174" s="18"/>
      <c r="AHY174" s="18"/>
      <c r="AHZ174" s="18"/>
      <c r="AIA174" s="18"/>
      <c r="AIB174" s="18"/>
      <c r="AIC174" s="18"/>
      <c r="AID174" s="18"/>
      <c r="AIE174" s="18"/>
      <c r="AIF174" s="18"/>
      <c r="AIG174" s="18"/>
      <c r="AIH174" s="18"/>
      <c r="AII174" s="18"/>
      <c r="AIJ174" s="18"/>
      <c r="AIK174" s="18"/>
      <c r="AIL174" s="18"/>
      <c r="AIM174" s="18"/>
      <c r="AIN174" s="18"/>
      <c r="AIO174" s="18"/>
      <c r="AIP174" s="18"/>
      <c r="AIQ174" s="18"/>
      <c r="AIR174" s="18"/>
      <c r="AIS174" s="18"/>
      <c r="AIT174" s="18"/>
      <c r="AIU174" s="18"/>
      <c r="AIV174" s="18"/>
      <c r="AIW174" s="18"/>
      <c r="AIX174" s="18"/>
      <c r="AIY174" s="18"/>
      <c r="AIZ174" s="18"/>
      <c r="AJA174" s="18"/>
      <c r="AJB174" s="18"/>
      <c r="AJC174" s="18"/>
      <c r="AJD174" s="18"/>
      <c r="AJE174" s="18"/>
      <c r="AJF174" s="18"/>
      <c r="AJG174" s="18"/>
      <c r="AJH174" s="18"/>
      <c r="AJI174" s="18"/>
      <c r="AJJ174" s="18"/>
      <c r="AJK174" s="18"/>
      <c r="AJL174" s="18"/>
      <c r="AJM174" s="18"/>
      <c r="AJN174" s="18"/>
      <c r="AJO174" s="18"/>
      <c r="AJP174" s="18"/>
      <c r="AJQ174" s="18"/>
      <c r="AJR174" s="18"/>
      <c r="AJS174" s="18"/>
      <c r="AJT174" s="18"/>
      <c r="AJU174" s="18"/>
      <c r="AJV174" s="18"/>
      <c r="AJW174" s="18"/>
      <c r="AJX174" s="18"/>
      <c r="AJY174" s="18"/>
      <c r="AJZ174" s="18"/>
      <c r="AKA174" s="18"/>
      <c r="AKB174" s="18"/>
      <c r="AKC174" s="18"/>
      <c r="AKD174" s="18"/>
      <c r="AKE174" s="18"/>
      <c r="AKF174" s="18"/>
      <c r="AKG174" s="18"/>
      <c r="AKH174" s="18"/>
      <c r="AKI174" s="18"/>
      <c r="AKJ174" s="18"/>
      <c r="AKK174" s="18"/>
      <c r="AKL174" s="18"/>
      <c r="AKM174" s="18"/>
      <c r="AKN174" s="18"/>
      <c r="AKO174" s="18"/>
      <c r="AKP174" s="18"/>
      <c r="AKQ174" s="18"/>
      <c r="AKR174" s="18"/>
      <c r="AKS174" s="18"/>
      <c r="AKT174" s="18"/>
      <c r="AKU174" s="18"/>
      <c r="AKV174" s="18"/>
      <c r="AKW174" s="18"/>
      <c r="AKX174" s="18"/>
      <c r="AKY174" s="18"/>
      <c r="AKZ174" s="18"/>
      <c r="ALA174" s="18"/>
      <c r="ALB174" s="18"/>
      <c r="ALC174" s="18"/>
      <c r="ALD174" s="18"/>
      <c r="ALE174" s="18"/>
      <c r="ALF174" s="18"/>
      <c r="ALG174" s="18"/>
      <c r="ALH174" s="18"/>
      <c r="ALI174" s="18"/>
      <c r="ALJ174" s="18"/>
      <c r="ALK174" s="18"/>
      <c r="ALL174" s="18"/>
      <c r="ALM174" s="18"/>
      <c r="ALN174" s="18"/>
      <c r="ALO174" s="18"/>
      <c r="ALP174" s="18"/>
      <c r="ALQ174" s="18"/>
      <c r="ALR174" s="18"/>
      <c r="ALS174" s="18"/>
      <c r="ALT174" s="18"/>
      <c r="ALU174" s="18"/>
      <c r="ALV174" s="18"/>
      <c r="ALW174" s="18"/>
      <c r="ALX174" s="18"/>
      <c r="ALY174" s="18"/>
      <c r="ALZ174" s="18"/>
      <c r="AMA174" s="18"/>
      <c r="AMB174" s="18"/>
      <c r="AMC174" s="18"/>
      <c r="AMD174" s="18"/>
      <c r="AME174" s="18"/>
      <c r="AMF174" s="18"/>
      <c r="AMG174" s="18"/>
      <c r="AMH174" s="18"/>
      <c r="AMI174" s="18"/>
      <c r="AMJ174" s="18"/>
      <c r="AMK174" s="18"/>
      <c r="AML174" s="18"/>
      <c r="AMM174"/>
    </row>
    <row r="175" spans="1:1027" x14ac:dyDescent="0.2">
      <c r="A175" s="18" t="s">
        <v>678</v>
      </c>
      <c r="B175" s="18" t="s">
        <v>743</v>
      </c>
      <c r="C175" s="18"/>
      <c r="D175" s="18">
        <v>71</v>
      </c>
      <c r="E175" s="19" t="s">
        <v>506</v>
      </c>
      <c r="F175" s="19" t="s">
        <v>507</v>
      </c>
      <c r="G175" s="20" t="s">
        <v>508</v>
      </c>
      <c r="H175" s="19" t="s">
        <v>507</v>
      </c>
      <c r="I175" s="19" t="s">
        <v>507</v>
      </c>
      <c r="J175" s="19" t="s">
        <v>507</v>
      </c>
      <c r="K175" s="21" t="s">
        <v>509</v>
      </c>
      <c r="L175" s="18"/>
      <c r="M175" s="1" t="s">
        <v>739</v>
      </c>
      <c r="O175" s="18"/>
      <c r="P175" s="18"/>
      <c r="Q175" s="18"/>
      <c r="R175" s="18"/>
      <c r="AML175" s="18"/>
      <c r="AMM175" s="31"/>
    </row>
    <row r="176" spans="1:1027" s="31" customFormat="1" x14ac:dyDescent="0.2">
      <c r="A176" s="18" t="s">
        <v>678</v>
      </c>
      <c r="B176" s="18" t="s">
        <v>744</v>
      </c>
      <c r="C176" s="18"/>
      <c r="D176" s="18">
        <v>92</v>
      </c>
      <c r="E176" s="19" t="s">
        <v>506</v>
      </c>
      <c r="F176" s="19" t="s">
        <v>507</v>
      </c>
      <c r="G176" s="20" t="s">
        <v>508</v>
      </c>
      <c r="H176" s="19" t="s">
        <v>507</v>
      </c>
      <c r="I176" s="19" t="s">
        <v>507</v>
      </c>
      <c r="J176" s="19" t="s">
        <v>507</v>
      </c>
      <c r="K176" s="21" t="s">
        <v>509</v>
      </c>
      <c r="L176" s="18"/>
      <c r="M176" s="1" t="s">
        <v>739</v>
      </c>
      <c r="N176" s="1"/>
      <c r="O176" s="18"/>
      <c r="P176" s="18"/>
      <c r="Q176" s="18"/>
      <c r="R176" s="18"/>
      <c r="S176" s="13"/>
      <c r="T176" s="1"/>
      <c r="U176" s="1"/>
      <c r="V176" s="1"/>
      <c r="W176" s="1"/>
      <c r="X176" s="1"/>
      <c r="Y176" s="1"/>
      <c r="Z176" s="1"/>
      <c r="AA176" s="30"/>
      <c r="AB176" s="30"/>
      <c r="AC176" s="1"/>
      <c r="AD176" s="33"/>
      <c r="AE176" s="33"/>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c r="EF176" s="18"/>
      <c r="EG176" s="18"/>
      <c r="EH176" s="18"/>
      <c r="EI176" s="18"/>
      <c r="EJ176" s="18"/>
      <c r="EK176" s="18"/>
      <c r="EL176" s="18"/>
      <c r="EM176" s="18"/>
      <c r="EN176" s="18"/>
      <c r="EO176" s="18"/>
      <c r="EP176" s="18"/>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18"/>
      <c r="FM176" s="18"/>
      <c r="FN176" s="18"/>
      <c r="FO176" s="18"/>
      <c r="FP176" s="18"/>
      <c r="FQ176" s="18"/>
      <c r="FR176" s="18"/>
      <c r="FS176" s="18"/>
      <c r="FT176" s="18"/>
      <c r="FU176" s="18"/>
      <c r="FV176" s="18"/>
      <c r="FW176" s="18"/>
      <c r="FX176" s="18"/>
      <c r="FY176" s="18"/>
      <c r="FZ176" s="18"/>
      <c r="GA176" s="18"/>
      <c r="GB176" s="18"/>
      <c r="GC176" s="18"/>
      <c r="GD176" s="18"/>
      <c r="GE176" s="18"/>
      <c r="GF176" s="18"/>
      <c r="GG176" s="18"/>
      <c r="GH176" s="18"/>
      <c r="GI176" s="18"/>
      <c r="GJ176" s="18"/>
      <c r="GK176" s="18"/>
      <c r="GL176" s="18"/>
      <c r="GM176" s="18"/>
      <c r="GN176" s="18"/>
      <c r="GO176" s="18"/>
      <c r="GP176" s="18"/>
      <c r="GQ176" s="18"/>
      <c r="GR176" s="18"/>
      <c r="GS176" s="18"/>
      <c r="GT176" s="18"/>
      <c r="GU176" s="18"/>
      <c r="GV176" s="18"/>
      <c r="GW176" s="18"/>
      <c r="GX176" s="18"/>
      <c r="GY176" s="18"/>
      <c r="GZ176" s="18"/>
      <c r="HA176" s="18"/>
      <c r="HB176" s="18"/>
      <c r="HC176" s="18"/>
      <c r="HD176" s="18"/>
      <c r="HE176" s="18"/>
      <c r="HF176" s="18"/>
      <c r="HG176" s="18"/>
      <c r="HH176" s="18"/>
      <c r="HI176" s="18"/>
      <c r="HJ176" s="18"/>
      <c r="HK176" s="18"/>
      <c r="HL176" s="18"/>
      <c r="HM176" s="18"/>
      <c r="HN176" s="18"/>
      <c r="HO176" s="18"/>
      <c r="HP176" s="18"/>
      <c r="HQ176" s="18"/>
      <c r="HR176" s="18"/>
      <c r="HS176" s="18"/>
      <c r="HT176" s="18"/>
      <c r="HU176" s="18"/>
      <c r="HV176" s="18"/>
      <c r="HW176" s="18"/>
      <c r="HX176" s="18"/>
      <c r="HY176" s="18"/>
      <c r="HZ176" s="18"/>
      <c r="IA176" s="18"/>
      <c r="IB176" s="18"/>
      <c r="IC176" s="18"/>
      <c r="ID176" s="18"/>
      <c r="IE176" s="18"/>
      <c r="IF176" s="18"/>
      <c r="IG176" s="18"/>
      <c r="IH176" s="18"/>
      <c r="II176" s="18"/>
      <c r="IJ176" s="18"/>
      <c r="IK176" s="18"/>
      <c r="IL176" s="18"/>
      <c r="IM176" s="18"/>
      <c r="IN176" s="18"/>
      <c r="IO176" s="18"/>
      <c r="IP176" s="18"/>
      <c r="IQ176" s="18"/>
      <c r="IR176" s="18"/>
      <c r="IS176" s="18"/>
      <c r="IT176" s="18"/>
      <c r="IU176" s="18"/>
      <c r="IV176" s="18"/>
      <c r="IW176" s="18"/>
      <c r="IX176" s="18"/>
      <c r="IY176" s="18"/>
      <c r="IZ176" s="18"/>
      <c r="JA176" s="18"/>
      <c r="JB176" s="18"/>
      <c r="JC176" s="18"/>
      <c r="JD176" s="18"/>
      <c r="JE176" s="18"/>
      <c r="JF176" s="18"/>
      <c r="JG176" s="18"/>
      <c r="JH176" s="18"/>
      <c r="JI176" s="18"/>
      <c r="JJ176" s="18"/>
      <c r="JK176" s="18"/>
      <c r="JL176" s="18"/>
      <c r="JM176" s="18"/>
      <c r="JN176" s="18"/>
      <c r="JO176" s="18"/>
      <c r="JP176" s="18"/>
      <c r="JQ176" s="18"/>
      <c r="JR176" s="18"/>
      <c r="JS176" s="18"/>
      <c r="JT176" s="18"/>
      <c r="JU176" s="18"/>
      <c r="JV176" s="18"/>
      <c r="JW176" s="18"/>
      <c r="JX176" s="18"/>
      <c r="JY176" s="18"/>
      <c r="JZ176" s="18"/>
      <c r="KA176" s="18"/>
      <c r="KB176" s="18"/>
      <c r="KC176" s="18"/>
      <c r="KD176" s="18"/>
      <c r="KE176" s="18"/>
      <c r="KF176" s="18"/>
      <c r="KG176" s="18"/>
      <c r="KH176" s="18"/>
      <c r="KI176" s="18"/>
      <c r="KJ176" s="18"/>
      <c r="KK176" s="18"/>
      <c r="KL176" s="18"/>
      <c r="KM176" s="18"/>
      <c r="KN176" s="18"/>
      <c r="KO176" s="18"/>
      <c r="KP176" s="18"/>
      <c r="KQ176" s="18"/>
      <c r="KR176" s="18"/>
      <c r="KS176" s="18"/>
      <c r="KT176" s="18"/>
      <c r="KU176" s="18"/>
      <c r="KV176" s="18"/>
      <c r="KW176" s="18"/>
      <c r="KX176" s="18"/>
      <c r="KY176" s="18"/>
      <c r="KZ176" s="18"/>
      <c r="LA176" s="18"/>
      <c r="LB176" s="18"/>
      <c r="LC176" s="18"/>
      <c r="LD176" s="18"/>
      <c r="LE176" s="18"/>
      <c r="LF176" s="18"/>
      <c r="LG176" s="18"/>
      <c r="LH176" s="18"/>
      <c r="LI176" s="18"/>
      <c r="LJ176" s="18"/>
      <c r="LK176" s="18"/>
      <c r="LL176" s="18"/>
      <c r="LM176" s="18"/>
      <c r="LN176" s="18"/>
      <c r="LO176" s="18"/>
      <c r="LP176" s="18"/>
      <c r="LQ176" s="18"/>
      <c r="LR176" s="18"/>
      <c r="LS176" s="18"/>
      <c r="LT176" s="18"/>
      <c r="LU176" s="18"/>
      <c r="LV176" s="18"/>
      <c r="LW176" s="18"/>
      <c r="LX176" s="18"/>
      <c r="LY176" s="18"/>
      <c r="LZ176" s="18"/>
      <c r="MA176" s="18"/>
      <c r="MB176" s="18"/>
      <c r="MC176" s="18"/>
      <c r="MD176" s="18"/>
      <c r="ME176" s="18"/>
      <c r="MF176" s="18"/>
      <c r="MG176" s="18"/>
      <c r="MH176" s="18"/>
      <c r="MI176" s="18"/>
      <c r="MJ176" s="18"/>
      <c r="MK176" s="18"/>
      <c r="ML176" s="18"/>
      <c r="MM176" s="18"/>
      <c r="MN176" s="18"/>
      <c r="MO176" s="18"/>
      <c r="MP176" s="18"/>
      <c r="MQ176" s="18"/>
      <c r="MR176" s="18"/>
      <c r="MS176" s="18"/>
      <c r="MT176" s="18"/>
      <c r="MU176" s="18"/>
      <c r="MV176" s="18"/>
      <c r="MW176" s="18"/>
      <c r="MX176" s="18"/>
      <c r="MY176" s="18"/>
      <c r="MZ176" s="18"/>
      <c r="NA176" s="18"/>
      <c r="NB176" s="18"/>
      <c r="NC176" s="18"/>
      <c r="ND176" s="18"/>
      <c r="NE176" s="18"/>
      <c r="NF176" s="18"/>
      <c r="NG176" s="18"/>
      <c r="NH176" s="18"/>
      <c r="NI176" s="18"/>
      <c r="NJ176" s="18"/>
      <c r="NK176" s="18"/>
      <c r="NL176" s="18"/>
      <c r="NM176" s="18"/>
      <c r="NN176" s="18"/>
      <c r="NO176" s="18"/>
      <c r="NP176" s="18"/>
      <c r="NQ176" s="18"/>
      <c r="NR176" s="18"/>
      <c r="NS176" s="18"/>
      <c r="NT176" s="18"/>
      <c r="NU176" s="18"/>
      <c r="NV176" s="18"/>
      <c r="NW176" s="18"/>
      <c r="NX176" s="18"/>
      <c r="NY176" s="18"/>
      <c r="NZ176" s="18"/>
      <c r="OA176" s="18"/>
      <c r="OB176" s="18"/>
      <c r="OC176" s="18"/>
      <c r="OD176" s="18"/>
      <c r="OE176" s="18"/>
      <c r="OF176" s="18"/>
      <c r="OG176" s="18"/>
      <c r="OH176" s="18"/>
      <c r="OI176" s="18"/>
      <c r="OJ176" s="18"/>
      <c r="OK176" s="18"/>
      <c r="OL176" s="18"/>
      <c r="OM176" s="18"/>
      <c r="ON176" s="18"/>
      <c r="OO176" s="18"/>
      <c r="OP176" s="18"/>
      <c r="OQ176" s="18"/>
      <c r="OR176" s="18"/>
      <c r="OS176" s="18"/>
      <c r="OT176" s="18"/>
      <c r="OU176" s="18"/>
      <c r="OV176" s="18"/>
      <c r="OW176" s="18"/>
      <c r="OX176" s="18"/>
      <c r="OY176" s="18"/>
      <c r="OZ176" s="18"/>
      <c r="PA176" s="18"/>
      <c r="PB176" s="18"/>
      <c r="PC176" s="18"/>
      <c r="PD176" s="18"/>
      <c r="PE176" s="18"/>
      <c r="PF176" s="18"/>
      <c r="PG176" s="18"/>
      <c r="PH176" s="18"/>
      <c r="PI176" s="18"/>
      <c r="PJ176" s="18"/>
      <c r="PK176" s="18"/>
      <c r="PL176" s="18"/>
      <c r="PM176" s="18"/>
      <c r="PN176" s="18"/>
      <c r="PO176" s="18"/>
      <c r="PP176" s="18"/>
      <c r="PQ176" s="18"/>
      <c r="PR176" s="18"/>
      <c r="PS176" s="18"/>
      <c r="PT176" s="18"/>
      <c r="PU176" s="18"/>
      <c r="PV176" s="18"/>
      <c r="PW176" s="18"/>
      <c r="PX176" s="18"/>
      <c r="PY176" s="18"/>
      <c r="PZ176" s="18"/>
      <c r="QA176" s="18"/>
      <c r="QB176" s="18"/>
      <c r="QC176" s="18"/>
      <c r="QD176" s="18"/>
      <c r="QE176" s="18"/>
      <c r="QF176" s="18"/>
      <c r="QG176" s="18"/>
      <c r="QH176" s="18"/>
      <c r="QI176" s="18"/>
      <c r="QJ176" s="18"/>
      <c r="QK176" s="18"/>
      <c r="QL176" s="18"/>
      <c r="QM176" s="18"/>
      <c r="QN176" s="18"/>
      <c r="QO176" s="18"/>
      <c r="QP176" s="18"/>
      <c r="QQ176" s="18"/>
      <c r="QR176" s="18"/>
      <c r="QS176" s="18"/>
      <c r="QT176" s="18"/>
      <c r="QU176" s="18"/>
      <c r="QV176" s="18"/>
      <c r="QW176" s="18"/>
      <c r="QX176" s="18"/>
      <c r="QY176" s="18"/>
      <c r="QZ176" s="18"/>
      <c r="RA176" s="18"/>
      <c r="RB176" s="18"/>
      <c r="RC176" s="18"/>
      <c r="RD176" s="18"/>
      <c r="RE176" s="18"/>
      <c r="RF176" s="18"/>
      <c r="RG176" s="18"/>
      <c r="RH176" s="18"/>
      <c r="RI176" s="18"/>
      <c r="RJ176" s="18"/>
      <c r="RK176" s="18"/>
      <c r="RL176" s="18"/>
      <c r="RM176" s="18"/>
      <c r="RN176" s="18"/>
      <c r="RO176" s="18"/>
      <c r="RP176" s="18"/>
      <c r="RQ176" s="18"/>
      <c r="RR176" s="18"/>
      <c r="RS176" s="18"/>
      <c r="RT176" s="18"/>
      <c r="RU176" s="18"/>
      <c r="RV176" s="18"/>
      <c r="RW176" s="18"/>
      <c r="RX176" s="18"/>
      <c r="RY176" s="18"/>
      <c r="RZ176" s="18"/>
      <c r="SA176" s="18"/>
      <c r="SB176" s="18"/>
      <c r="SC176" s="18"/>
      <c r="SD176" s="18"/>
      <c r="SE176" s="18"/>
      <c r="SF176" s="18"/>
      <c r="SG176" s="18"/>
      <c r="SH176" s="18"/>
      <c r="SI176" s="18"/>
      <c r="SJ176" s="18"/>
      <c r="SK176" s="18"/>
      <c r="SL176" s="18"/>
      <c r="SM176" s="18"/>
      <c r="SN176" s="18"/>
      <c r="SO176" s="18"/>
      <c r="SP176" s="18"/>
      <c r="SQ176" s="18"/>
      <c r="SR176" s="18"/>
      <c r="SS176" s="18"/>
      <c r="ST176" s="18"/>
      <c r="SU176" s="18"/>
      <c r="SV176" s="18"/>
      <c r="SW176" s="18"/>
      <c r="SX176" s="18"/>
      <c r="SY176" s="18"/>
      <c r="SZ176" s="18"/>
      <c r="TA176" s="18"/>
      <c r="TB176" s="18"/>
      <c r="TC176" s="18"/>
      <c r="TD176" s="18"/>
      <c r="TE176" s="18"/>
      <c r="TF176" s="18"/>
      <c r="TG176" s="18"/>
      <c r="TH176" s="18"/>
      <c r="TI176" s="18"/>
      <c r="TJ176" s="18"/>
      <c r="TK176" s="18"/>
      <c r="TL176" s="18"/>
      <c r="TM176" s="18"/>
      <c r="TN176" s="18"/>
      <c r="TO176" s="18"/>
      <c r="TP176" s="18"/>
      <c r="TQ176" s="18"/>
      <c r="TR176" s="18"/>
      <c r="TS176" s="18"/>
      <c r="TT176" s="18"/>
      <c r="TU176" s="18"/>
      <c r="TV176" s="18"/>
      <c r="TW176" s="18"/>
      <c r="TX176" s="18"/>
      <c r="TY176" s="18"/>
      <c r="TZ176" s="18"/>
      <c r="UA176" s="18"/>
      <c r="UB176" s="18"/>
      <c r="UC176" s="18"/>
      <c r="UD176" s="18"/>
      <c r="UE176" s="18"/>
      <c r="UF176" s="18"/>
      <c r="UG176" s="18"/>
      <c r="UH176" s="18"/>
      <c r="UI176" s="18"/>
      <c r="UJ176" s="18"/>
      <c r="UK176" s="18"/>
      <c r="UL176" s="18"/>
      <c r="UM176" s="18"/>
      <c r="UN176" s="18"/>
      <c r="UO176" s="18"/>
      <c r="UP176" s="18"/>
      <c r="UQ176" s="18"/>
      <c r="UR176" s="18"/>
      <c r="US176" s="18"/>
      <c r="UT176" s="18"/>
      <c r="UU176" s="18"/>
      <c r="UV176" s="18"/>
      <c r="UW176" s="18"/>
      <c r="UX176" s="18"/>
      <c r="UY176" s="18"/>
      <c r="UZ176" s="18"/>
      <c r="VA176" s="18"/>
      <c r="VB176" s="18"/>
      <c r="VC176" s="18"/>
      <c r="VD176" s="18"/>
      <c r="VE176" s="18"/>
      <c r="VF176" s="18"/>
      <c r="VG176" s="18"/>
      <c r="VH176" s="18"/>
      <c r="VI176" s="18"/>
      <c r="VJ176" s="18"/>
      <c r="VK176" s="18"/>
      <c r="VL176" s="18"/>
      <c r="VM176" s="18"/>
      <c r="VN176" s="18"/>
      <c r="VO176" s="18"/>
      <c r="VP176" s="18"/>
      <c r="VQ176" s="18"/>
      <c r="VR176" s="18"/>
      <c r="VS176" s="18"/>
      <c r="VT176" s="18"/>
      <c r="VU176" s="18"/>
      <c r="VV176" s="18"/>
      <c r="VW176" s="18"/>
      <c r="VX176" s="18"/>
      <c r="VY176" s="18"/>
      <c r="VZ176" s="18"/>
      <c r="WA176" s="18"/>
      <c r="WB176" s="18"/>
      <c r="WC176" s="18"/>
      <c r="WD176" s="18"/>
      <c r="WE176" s="18"/>
      <c r="WF176" s="18"/>
      <c r="WG176" s="18"/>
      <c r="WH176" s="18"/>
      <c r="WI176" s="18"/>
      <c r="WJ176" s="18"/>
      <c r="WK176" s="18"/>
      <c r="WL176" s="18"/>
      <c r="WM176" s="18"/>
      <c r="WN176" s="18"/>
      <c r="WO176" s="18"/>
      <c r="WP176" s="18"/>
      <c r="WQ176" s="18"/>
      <c r="WR176" s="18"/>
      <c r="WS176" s="18"/>
      <c r="WT176" s="18"/>
      <c r="WU176" s="18"/>
      <c r="WV176" s="18"/>
      <c r="WW176" s="18"/>
      <c r="WX176" s="18"/>
      <c r="WY176" s="18"/>
      <c r="WZ176" s="18"/>
      <c r="XA176" s="18"/>
      <c r="XB176" s="18"/>
      <c r="XC176" s="18"/>
      <c r="XD176" s="18"/>
      <c r="XE176" s="18"/>
      <c r="XF176" s="18"/>
      <c r="XG176" s="18"/>
      <c r="XH176" s="18"/>
      <c r="XI176" s="18"/>
      <c r="XJ176" s="18"/>
      <c r="XK176" s="18"/>
      <c r="XL176" s="18"/>
      <c r="XM176" s="18"/>
      <c r="XN176" s="18"/>
      <c r="XO176" s="18"/>
      <c r="XP176" s="18"/>
      <c r="XQ176" s="18"/>
      <c r="XR176" s="18"/>
      <c r="XS176" s="18"/>
      <c r="XT176" s="18"/>
      <c r="XU176" s="18"/>
      <c r="XV176" s="18"/>
      <c r="XW176" s="18"/>
      <c r="XX176" s="18"/>
      <c r="XY176" s="18"/>
      <c r="XZ176" s="18"/>
      <c r="YA176" s="18"/>
      <c r="YB176" s="18"/>
      <c r="YC176" s="18"/>
      <c r="YD176" s="18"/>
      <c r="YE176" s="18"/>
      <c r="YF176" s="18"/>
      <c r="YG176" s="18"/>
      <c r="YH176" s="18"/>
      <c r="YI176" s="18"/>
      <c r="YJ176" s="18"/>
      <c r="YK176" s="18"/>
      <c r="YL176" s="18"/>
      <c r="YM176" s="18"/>
      <c r="YN176" s="18"/>
      <c r="YO176" s="18"/>
      <c r="YP176" s="18"/>
      <c r="YQ176" s="18"/>
      <c r="YR176" s="18"/>
      <c r="YS176" s="18"/>
      <c r="YT176" s="18"/>
      <c r="YU176" s="18"/>
      <c r="YV176" s="18"/>
      <c r="YW176" s="18"/>
      <c r="YX176" s="18"/>
      <c r="YY176" s="18"/>
      <c r="YZ176" s="18"/>
      <c r="ZA176" s="18"/>
      <c r="ZB176" s="18"/>
      <c r="ZC176" s="18"/>
      <c r="ZD176" s="18"/>
      <c r="ZE176" s="18"/>
      <c r="ZF176" s="18"/>
      <c r="ZG176" s="18"/>
      <c r="ZH176" s="18"/>
      <c r="ZI176" s="18"/>
      <c r="ZJ176" s="18"/>
      <c r="ZK176" s="18"/>
      <c r="ZL176" s="18"/>
      <c r="ZM176" s="18"/>
      <c r="ZN176" s="18"/>
      <c r="ZO176" s="18"/>
      <c r="ZP176" s="18"/>
      <c r="ZQ176" s="18"/>
      <c r="ZR176" s="18"/>
      <c r="ZS176" s="18"/>
      <c r="ZT176" s="18"/>
      <c r="ZU176" s="18"/>
      <c r="ZV176" s="18"/>
      <c r="ZW176" s="18"/>
      <c r="ZX176" s="18"/>
      <c r="ZY176" s="18"/>
      <c r="ZZ176" s="18"/>
      <c r="AAA176" s="18"/>
      <c r="AAB176" s="18"/>
      <c r="AAC176" s="18"/>
      <c r="AAD176" s="18"/>
      <c r="AAE176" s="18"/>
      <c r="AAF176" s="18"/>
      <c r="AAG176" s="18"/>
      <c r="AAH176" s="18"/>
      <c r="AAI176" s="18"/>
      <c r="AAJ176" s="18"/>
      <c r="AAK176" s="18"/>
      <c r="AAL176" s="18"/>
      <c r="AAM176" s="18"/>
      <c r="AAN176" s="18"/>
      <c r="AAO176" s="18"/>
      <c r="AAP176" s="18"/>
      <c r="AAQ176" s="18"/>
      <c r="AAR176" s="18"/>
      <c r="AAS176" s="18"/>
      <c r="AAT176" s="18"/>
      <c r="AAU176" s="18"/>
      <c r="AAV176" s="18"/>
      <c r="AAW176" s="18"/>
      <c r="AAX176" s="18"/>
      <c r="AAY176" s="18"/>
      <c r="AAZ176" s="18"/>
      <c r="ABA176" s="18"/>
      <c r="ABB176" s="18"/>
      <c r="ABC176" s="18"/>
      <c r="ABD176" s="18"/>
      <c r="ABE176" s="18"/>
      <c r="ABF176" s="18"/>
      <c r="ABG176" s="18"/>
      <c r="ABH176" s="18"/>
      <c r="ABI176" s="18"/>
      <c r="ABJ176" s="18"/>
      <c r="ABK176" s="18"/>
      <c r="ABL176" s="18"/>
      <c r="ABM176" s="18"/>
      <c r="ABN176" s="18"/>
      <c r="ABO176" s="18"/>
      <c r="ABP176" s="18"/>
      <c r="ABQ176" s="18"/>
      <c r="ABR176" s="18"/>
      <c r="ABS176" s="18"/>
      <c r="ABT176" s="18"/>
      <c r="ABU176" s="18"/>
      <c r="ABV176" s="18"/>
      <c r="ABW176" s="18"/>
      <c r="ABX176" s="18"/>
      <c r="ABY176" s="18"/>
      <c r="ABZ176" s="18"/>
      <c r="ACA176" s="18"/>
      <c r="ACB176" s="18"/>
      <c r="ACC176" s="18"/>
      <c r="ACD176" s="18"/>
      <c r="ACE176" s="18"/>
      <c r="ACF176" s="18"/>
      <c r="ACG176" s="18"/>
      <c r="ACH176" s="18"/>
      <c r="ACI176" s="18"/>
      <c r="ACJ176" s="18"/>
      <c r="ACK176" s="18"/>
      <c r="ACL176" s="18"/>
      <c r="ACM176" s="18"/>
      <c r="ACN176" s="18"/>
      <c r="ACO176" s="18"/>
      <c r="ACP176" s="18"/>
      <c r="ACQ176" s="18"/>
      <c r="ACR176" s="18"/>
      <c r="ACS176" s="18"/>
      <c r="ACT176" s="18"/>
      <c r="ACU176" s="18"/>
      <c r="ACV176" s="18"/>
      <c r="ACW176" s="18"/>
      <c r="ACX176" s="18"/>
      <c r="ACY176" s="18"/>
      <c r="ACZ176" s="18"/>
      <c r="ADA176" s="18"/>
      <c r="ADB176" s="18"/>
      <c r="ADC176" s="18"/>
      <c r="ADD176" s="18"/>
      <c r="ADE176" s="18"/>
      <c r="ADF176" s="18"/>
      <c r="ADG176" s="18"/>
      <c r="ADH176" s="18"/>
      <c r="ADI176" s="18"/>
      <c r="ADJ176" s="18"/>
      <c r="ADK176" s="18"/>
      <c r="ADL176" s="18"/>
      <c r="ADM176" s="18"/>
      <c r="ADN176" s="18"/>
      <c r="ADO176" s="18"/>
      <c r="ADP176" s="18"/>
      <c r="ADQ176" s="18"/>
      <c r="ADR176" s="18"/>
      <c r="ADS176" s="18"/>
      <c r="ADT176" s="18"/>
      <c r="ADU176" s="18"/>
      <c r="ADV176" s="18"/>
      <c r="ADW176" s="18"/>
      <c r="ADX176" s="18"/>
      <c r="ADY176" s="18"/>
      <c r="ADZ176" s="18"/>
      <c r="AEA176" s="18"/>
      <c r="AEB176" s="18"/>
      <c r="AEC176" s="18"/>
      <c r="AED176" s="18"/>
      <c r="AEE176" s="18"/>
      <c r="AEF176" s="18"/>
      <c r="AEG176" s="18"/>
      <c r="AEH176" s="18"/>
      <c r="AEI176" s="18"/>
      <c r="AEJ176" s="18"/>
      <c r="AEK176" s="18"/>
      <c r="AEL176" s="18"/>
      <c r="AEM176" s="18"/>
      <c r="AEN176" s="18"/>
      <c r="AEO176" s="18"/>
      <c r="AEP176" s="18"/>
      <c r="AEQ176" s="18"/>
      <c r="AER176" s="18"/>
      <c r="AES176" s="18"/>
      <c r="AET176" s="18"/>
      <c r="AEU176" s="18"/>
      <c r="AEV176" s="18"/>
      <c r="AEW176" s="18"/>
      <c r="AEX176" s="18"/>
      <c r="AEY176" s="18"/>
      <c r="AEZ176" s="18"/>
      <c r="AFA176" s="18"/>
      <c r="AFB176" s="18"/>
      <c r="AFC176" s="18"/>
      <c r="AFD176" s="18"/>
      <c r="AFE176" s="18"/>
      <c r="AFF176" s="18"/>
      <c r="AFG176" s="18"/>
      <c r="AFH176" s="18"/>
      <c r="AFI176" s="18"/>
      <c r="AFJ176" s="18"/>
      <c r="AFK176" s="18"/>
      <c r="AFL176" s="18"/>
      <c r="AFM176" s="18"/>
      <c r="AFN176" s="18"/>
      <c r="AFO176" s="18"/>
      <c r="AFP176" s="18"/>
      <c r="AFQ176" s="18"/>
      <c r="AFR176" s="18"/>
      <c r="AFS176" s="18"/>
      <c r="AFT176" s="18"/>
      <c r="AFU176" s="18"/>
      <c r="AFV176" s="18"/>
      <c r="AFW176" s="18"/>
      <c r="AFX176" s="18"/>
      <c r="AFY176" s="18"/>
      <c r="AFZ176" s="18"/>
      <c r="AGA176" s="18"/>
      <c r="AGB176" s="18"/>
      <c r="AGC176" s="18"/>
      <c r="AGD176" s="18"/>
      <c r="AGE176" s="18"/>
      <c r="AGF176" s="18"/>
      <c r="AGG176" s="18"/>
      <c r="AGH176" s="18"/>
      <c r="AGI176" s="18"/>
      <c r="AGJ176" s="18"/>
      <c r="AGK176" s="18"/>
      <c r="AGL176" s="18"/>
      <c r="AGM176" s="18"/>
      <c r="AGN176" s="18"/>
      <c r="AGO176" s="18"/>
      <c r="AGP176" s="18"/>
      <c r="AGQ176" s="18"/>
      <c r="AGR176" s="18"/>
      <c r="AGS176" s="18"/>
      <c r="AGT176" s="18"/>
      <c r="AGU176" s="18"/>
      <c r="AGV176" s="18"/>
      <c r="AGW176" s="18"/>
      <c r="AGX176" s="18"/>
      <c r="AGY176" s="18"/>
      <c r="AGZ176" s="18"/>
      <c r="AHA176" s="18"/>
      <c r="AHB176" s="18"/>
      <c r="AHC176" s="18"/>
      <c r="AHD176" s="18"/>
      <c r="AHE176" s="18"/>
      <c r="AHF176" s="18"/>
      <c r="AHG176" s="18"/>
      <c r="AHH176" s="18"/>
      <c r="AHI176" s="18"/>
      <c r="AHJ176" s="18"/>
      <c r="AHK176" s="18"/>
      <c r="AHL176" s="18"/>
      <c r="AHM176" s="18"/>
      <c r="AHN176" s="18"/>
      <c r="AHO176" s="18"/>
      <c r="AHP176" s="18"/>
      <c r="AHQ176" s="18"/>
      <c r="AHR176" s="18"/>
      <c r="AHS176" s="18"/>
      <c r="AHT176" s="18"/>
      <c r="AHU176" s="18"/>
      <c r="AHV176" s="18"/>
      <c r="AHW176" s="18"/>
      <c r="AHX176" s="18"/>
      <c r="AHY176" s="18"/>
      <c r="AHZ176" s="18"/>
      <c r="AIA176" s="18"/>
      <c r="AIB176" s="18"/>
      <c r="AIC176" s="18"/>
      <c r="AID176" s="18"/>
      <c r="AIE176" s="18"/>
      <c r="AIF176" s="18"/>
      <c r="AIG176" s="18"/>
      <c r="AIH176" s="18"/>
      <c r="AII176" s="18"/>
      <c r="AIJ176" s="18"/>
      <c r="AIK176" s="18"/>
      <c r="AIL176" s="18"/>
      <c r="AIM176" s="18"/>
      <c r="AIN176" s="18"/>
      <c r="AIO176" s="18"/>
      <c r="AIP176" s="18"/>
      <c r="AIQ176" s="18"/>
      <c r="AIR176" s="18"/>
      <c r="AIS176" s="18"/>
      <c r="AIT176" s="18"/>
      <c r="AIU176" s="18"/>
      <c r="AIV176" s="18"/>
      <c r="AIW176" s="18"/>
      <c r="AIX176" s="18"/>
      <c r="AIY176" s="18"/>
      <c r="AIZ176" s="18"/>
      <c r="AJA176" s="18"/>
      <c r="AJB176" s="18"/>
      <c r="AJC176" s="18"/>
      <c r="AJD176" s="18"/>
      <c r="AJE176" s="18"/>
      <c r="AJF176" s="18"/>
      <c r="AJG176" s="18"/>
      <c r="AJH176" s="18"/>
      <c r="AJI176" s="18"/>
      <c r="AJJ176" s="18"/>
      <c r="AJK176" s="18"/>
      <c r="AJL176" s="18"/>
      <c r="AJM176" s="18"/>
      <c r="AJN176" s="18"/>
      <c r="AJO176" s="18"/>
      <c r="AJP176" s="18"/>
      <c r="AJQ176" s="18"/>
      <c r="AJR176" s="18"/>
      <c r="AJS176" s="18"/>
      <c r="AJT176" s="18"/>
      <c r="AJU176" s="18"/>
      <c r="AJV176" s="18"/>
      <c r="AJW176" s="18"/>
      <c r="AJX176" s="18"/>
      <c r="AJY176" s="18"/>
      <c r="AJZ176" s="18"/>
      <c r="AKA176" s="18"/>
      <c r="AKB176" s="18"/>
      <c r="AKC176" s="18"/>
      <c r="AKD176" s="18"/>
      <c r="AKE176" s="18"/>
      <c r="AKF176" s="18"/>
      <c r="AKG176" s="18"/>
      <c r="AKH176" s="18"/>
      <c r="AKI176" s="18"/>
      <c r="AKJ176" s="18"/>
      <c r="AKK176" s="18"/>
      <c r="AKL176" s="18"/>
      <c r="AKM176" s="18"/>
      <c r="AKN176" s="18"/>
      <c r="AKO176" s="18"/>
      <c r="AKP176" s="18"/>
      <c r="AKQ176" s="18"/>
      <c r="AKR176" s="18"/>
      <c r="AKS176" s="18"/>
      <c r="AKT176" s="18"/>
      <c r="AKU176" s="18"/>
      <c r="AKV176" s="18"/>
      <c r="AKW176" s="18"/>
      <c r="AKX176" s="18"/>
      <c r="AKY176" s="18"/>
      <c r="AKZ176" s="18"/>
      <c r="ALA176" s="18"/>
      <c r="ALB176" s="18"/>
      <c r="ALC176" s="18"/>
      <c r="ALD176" s="18"/>
      <c r="ALE176" s="18"/>
      <c r="ALF176" s="18"/>
      <c r="ALG176" s="18"/>
      <c r="ALH176" s="18"/>
      <c r="ALI176" s="18"/>
      <c r="ALJ176" s="18"/>
      <c r="ALK176" s="18"/>
      <c r="ALL176" s="18"/>
      <c r="ALM176" s="18"/>
      <c r="ALN176" s="18"/>
      <c r="ALO176" s="18"/>
      <c r="ALP176" s="18"/>
      <c r="ALQ176" s="18"/>
      <c r="ALR176" s="18"/>
      <c r="ALS176" s="18"/>
      <c r="ALT176" s="18"/>
      <c r="ALU176" s="18"/>
      <c r="ALV176" s="18"/>
      <c r="ALW176" s="18"/>
      <c r="ALX176" s="18"/>
      <c r="ALY176" s="18"/>
      <c r="ALZ176" s="18"/>
      <c r="AMA176" s="18"/>
      <c r="AMB176" s="18"/>
      <c r="AMC176" s="18"/>
      <c r="AMD176" s="18"/>
      <c r="AME176" s="18"/>
      <c r="AMF176" s="18"/>
      <c r="AMG176" s="18"/>
      <c r="AMH176" s="18"/>
      <c r="AMI176" s="18"/>
      <c r="AMJ176" s="18"/>
      <c r="AMK176" s="18"/>
      <c r="AML176" s="18"/>
      <c r="AMM176" s="18"/>
    </row>
    <row r="177" spans="1:1027" s="18" customFormat="1" x14ac:dyDescent="0.2">
      <c r="A177" s="18" t="s">
        <v>678</v>
      </c>
      <c r="B177" s="18" t="s">
        <v>745</v>
      </c>
      <c r="D177" s="18">
        <v>143</v>
      </c>
      <c r="E177" s="19" t="s">
        <v>506</v>
      </c>
      <c r="F177" s="19" t="s">
        <v>507</v>
      </c>
      <c r="G177" s="20" t="s">
        <v>508</v>
      </c>
      <c r="H177" s="19" t="s">
        <v>507</v>
      </c>
      <c r="I177" s="19"/>
      <c r="J177" s="19" t="s">
        <v>507</v>
      </c>
      <c r="K177" s="21" t="s">
        <v>509</v>
      </c>
      <c r="M177" s="1" t="s">
        <v>739</v>
      </c>
      <c r="N177" s="1"/>
      <c r="S177" s="13"/>
      <c r="T177" s="1"/>
      <c r="U177" s="1"/>
      <c r="V177" s="1"/>
      <c r="W177" s="1"/>
      <c r="X177" s="1"/>
      <c r="Y177" s="1"/>
      <c r="Z177" s="1"/>
      <c r="AA177" s="30"/>
      <c r="AB177" s="30"/>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AMM177"/>
    </row>
    <row r="178" spans="1:1027" x14ac:dyDescent="0.2">
      <c r="A178" s="18" t="s">
        <v>678</v>
      </c>
      <c r="B178" s="18" t="s">
        <v>746</v>
      </c>
      <c r="C178" s="18"/>
      <c r="D178" s="18">
        <v>59</v>
      </c>
      <c r="E178" s="19" t="s">
        <v>506</v>
      </c>
      <c r="F178" s="19" t="s">
        <v>507</v>
      </c>
      <c r="G178" s="20" t="s">
        <v>508</v>
      </c>
      <c r="H178" s="19" t="s">
        <v>507</v>
      </c>
      <c r="I178" s="19"/>
      <c r="J178" s="19" t="s">
        <v>507</v>
      </c>
      <c r="K178" s="21" t="s">
        <v>509</v>
      </c>
      <c r="L178" s="18"/>
      <c r="M178" s="1" t="s">
        <v>739</v>
      </c>
      <c r="O178" s="18"/>
      <c r="P178" s="18"/>
      <c r="Q178" s="18"/>
      <c r="R178" s="18"/>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c r="GG178" s="31"/>
      <c r="GH178" s="31"/>
      <c r="GI178" s="31"/>
      <c r="GJ178" s="31"/>
      <c r="GK178" s="31"/>
      <c r="GL178" s="31"/>
      <c r="GM178" s="31"/>
      <c r="GN178" s="31"/>
      <c r="GO178" s="31"/>
      <c r="GP178" s="31"/>
      <c r="GQ178" s="31"/>
      <c r="GR178" s="31"/>
      <c r="GS178" s="31"/>
      <c r="GT178" s="31"/>
      <c r="GU178" s="31"/>
      <c r="GV178" s="31"/>
      <c r="GW178" s="31"/>
      <c r="GX178" s="31"/>
      <c r="GY178" s="31"/>
      <c r="GZ178" s="31"/>
      <c r="HA178" s="31"/>
      <c r="HB178" s="31"/>
      <c r="HC178" s="31"/>
      <c r="HD178" s="31"/>
      <c r="HE178" s="31"/>
      <c r="HF178" s="31"/>
      <c r="HG178" s="31"/>
      <c r="HH178" s="31"/>
      <c r="HI178" s="31"/>
      <c r="HJ178" s="31"/>
      <c r="HK178" s="31"/>
      <c r="HL178" s="31"/>
      <c r="HM178" s="31"/>
      <c r="HN178" s="31"/>
      <c r="HO178" s="31"/>
      <c r="HP178" s="31"/>
      <c r="HQ178" s="31"/>
      <c r="HR178" s="31"/>
      <c r="HS178" s="31"/>
      <c r="HT178" s="31"/>
      <c r="HU178" s="31"/>
      <c r="HV178" s="31"/>
      <c r="HW178" s="31"/>
      <c r="HX178" s="31"/>
      <c r="HY178" s="31"/>
      <c r="HZ178" s="31"/>
      <c r="IA178" s="31"/>
      <c r="IB178" s="31"/>
      <c r="IC178" s="31"/>
      <c r="ID178" s="31"/>
      <c r="IE178" s="31"/>
      <c r="IF178" s="31"/>
      <c r="IG178" s="31"/>
      <c r="IH178" s="31"/>
      <c r="II178" s="31"/>
      <c r="IJ178" s="31"/>
      <c r="IK178" s="31"/>
      <c r="IL178" s="31"/>
      <c r="IM178" s="31"/>
      <c r="IN178" s="31"/>
      <c r="IO178" s="31"/>
      <c r="IP178" s="31"/>
      <c r="IQ178" s="31"/>
      <c r="IR178" s="31"/>
      <c r="IS178" s="31"/>
      <c r="IT178" s="31"/>
      <c r="IU178" s="31"/>
      <c r="IV178" s="31"/>
      <c r="IW178" s="31"/>
      <c r="IX178" s="31"/>
      <c r="IY178" s="31"/>
      <c r="IZ178" s="31"/>
      <c r="JA178" s="31"/>
      <c r="JB178" s="31"/>
      <c r="JC178" s="31"/>
      <c r="JD178" s="31"/>
      <c r="JE178" s="31"/>
      <c r="JF178" s="31"/>
      <c r="JG178" s="31"/>
      <c r="JH178" s="31"/>
      <c r="JI178" s="31"/>
      <c r="JJ178" s="31"/>
      <c r="JK178" s="31"/>
      <c r="JL178" s="31"/>
      <c r="JM178" s="31"/>
      <c r="JN178" s="31"/>
      <c r="JO178" s="31"/>
      <c r="JP178" s="31"/>
      <c r="JQ178" s="31"/>
      <c r="JR178" s="31"/>
      <c r="JS178" s="31"/>
      <c r="JT178" s="31"/>
      <c r="JU178" s="31"/>
      <c r="JV178" s="31"/>
      <c r="JW178" s="31"/>
      <c r="JX178" s="31"/>
      <c r="JY178" s="31"/>
      <c r="JZ178" s="31"/>
      <c r="KA178" s="31"/>
      <c r="KB178" s="31"/>
      <c r="KC178" s="31"/>
      <c r="KD178" s="31"/>
      <c r="KE178" s="31"/>
      <c r="KF178" s="31"/>
      <c r="KG178" s="31"/>
      <c r="KH178" s="31"/>
      <c r="KI178" s="31"/>
      <c r="KJ178" s="31"/>
      <c r="KK178" s="31"/>
      <c r="KL178" s="31"/>
      <c r="KM178" s="31"/>
      <c r="KN178" s="31"/>
      <c r="KO178" s="31"/>
      <c r="KP178" s="31"/>
      <c r="KQ178" s="31"/>
      <c r="KR178" s="31"/>
      <c r="KS178" s="31"/>
      <c r="KT178" s="31"/>
      <c r="KU178" s="31"/>
      <c r="KV178" s="31"/>
      <c r="KW178" s="31"/>
      <c r="KX178" s="31"/>
      <c r="KY178" s="31"/>
      <c r="KZ178" s="31"/>
      <c r="LA178" s="31"/>
      <c r="LB178" s="31"/>
      <c r="LC178" s="31"/>
      <c r="LD178" s="31"/>
      <c r="LE178" s="31"/>
      <c r="LF178" s="31"/>
      <c r="LG178" s="31"/>
      <c r="LH178" s="31"/>
      <c r="LI178" s="31"/>
      <c r="LJ178" s="31"/>
      <c r="LK178" s="31"/>
      <c r="LL178" s="31"/>
      <c r="LM178" s="31"/>
      <c r="LN178" s="31"/>
      <c r="LO178" s="31"/>
      <c r="LP178" s="31"/>
      <c r="LQ178" s="31"/>
      <c r="LR178" s="31"/>
      <c r="LS178" s="31"/>
      <c r="LT178" s="31"/>
      <c r="LU178" s="31"/>
      <c r="LV178" s="31"/>
      <c r="LW178" s="31"/>
      <c r="LX178" s="31"/>
      <c r="LY178" s="31"/>
      <c r="LZ178" s="31"/>
      <c r="MA178" s="31"/>
      <c r="MB178" s="31"/>
      <c r="MC178" s="31"/>
      <c r="MD178" s="31"/>
      <c r="ME178" s="31"/>
      <c r="MF178" s="31"/>
      <c r="MG178" s="31"/>
      <c r="MH178" s="31"/>
      <c r="MI178" s="31"/>
      <c r="MJ178" s="31"/>
      <c r="MK178" s="31"/>
      <c r="ML178" s="31"/>
      <c r="MM178" s="31"/>
      <c r="MN178" s="31"/>
      <c r="MO178" s="31"/>
      <c r="MP178" s="31"/>
      <c r="MQ178" s="31"/>
      <c r="MR178" s="31"/>
      <c r="MS178" s="31"/>
      <c r="MT178" s="31"/>
      <c r="MU178" s="31"/>
      <c r="MV178" s="31"/>
      <c r="MW178" s="31"/>
      <c r="MX178" s="31"/>
      <c r="MY178" s="31"/>
      <c r="MZ178" s="31"/>
      <c r="NA178" s="31"/>
      <c r="NB178" s="31"/>
      <c r="NC178" s="31"/>
      <c r="ND178" s="31"/>
      <c r="NE178" s="31"/>
      <c r="NF178" s="31"/>
      <c r="NG178" s="31"/>
      <c r="NH178" s="31"/>
      <c r="NI178" s="31"/>
      <c r="NJ178" s="31"/>
      <c r="NK178" s="31"/>
      <c r="NL178" s="31"/>
      <c r="NM178" s="31"/>
      <c r="NN178" s="31"/>
      <c r="NO178" s="31"/>
      <c r="NP178" s="31"/>
      <c r="NQ178" s="31"/>
      <c r="NR178" s="31"/>
      <c r="NS178" s="31"/>
      <c r="NT178" s="31"/>
      <c r="NU178" s="31"/>
      <c r="NV178" s="31"/>
      <c r="NW178" s="31"/>
      <c r="NX178" s="31"/>
      <c r="NY178" s="31"/>
      <c r="NZ178" s="31"/>
      <c r="OA178" s="31"/>
      <c r="OB178" s="31"/>
      <c r="OC178" s="31"/>
      <c r="OD178" s="31"/>
      <c r="OE178" s="31"/>
      <c r="OF178" s="31"/>
      <c r="OG178" s="31"/>
      <c r="OH178" s="31"/>
      <c r="OI178" s="31"/>
      <c r="OJ178" s="31"/>
      <c r="OK178" s="31"/>
      <c r="OL178" s="31"/>
      <c r="OM178" s="31"/>
      <c r="ON178" s="31"/>
      <c r="OO178" s="31"/>
      <c r="OP178" s="31"/>
      <c r="OQ178" s="31"/>
      <c r="OR178" s="31"/>
      <c r="OS178" s="31"/>
      <c r="OT178" s="31"/>
      <c r="OU178" s="31"/>
      <c r="OV178" s="31"/>
      <c r="OW178" s="31"/>
      <c r="OX178" s="31"/>
      <c r="OY178" s="31"/>
      <c r="OZ178" s="31"/>
      <c r="PA178" s="31"/>
      <c r="PB178" s="31"/>
      <c r="PC178" s="31"/>
      <c r="PD178" s="31"/>
      <c r="PE178" s="31"/>
      <c r="PF178" s="31"/>
      <c r="PG178" s="31"/>
      <c r="PH178" s="31"/>
      <c r="PI178" s="31"/>
      <c r="PJ178" s="31"/>
      <c r="PK178" s="31"/>
      <c r="PL178" s="31"/>
      <c r="PM178" s="31"/>
      <c r="PN178" s="31"/>
      <c r="PO178" s="31"/>
      <c r="PP178" s="31"/>
      <c r="PQ178" s="31"/>
      <c r="PR178" s="31"/>
      <c r="PS178" s="31"/>
      <c r="PT178" s="31"/>
      <c r="PU178" s="31"/>
      <c r="PV178" s="31"/>
      <c r="PW178" s="31"/>
      <c r="PX178" s="31"/>
      <c r="PY178" s="31"/>
      <c r="PZ178" s="31"/>
      <c r="QA178" s="31"/>
      <c r="QB178" s="31"/>
      <c r="QC178" s="31"/>
      <c r="QD178" s="31"/>
      <c r="QE178" s="31"/>
      <c r="QF178" s="31"/>
      <c r="QG178" s="31"/>
      <c r="QH178" s="31"/>
      <c r="QI178" s="31"/>
      <c r="QJ178" s="31"/>
      <c r="QK178" s="31"/>
      <c r="QL178" s="31"/>
      <c r="QM178" s="31"/>
      <c r="QN178" s="31"/>
      <c r="QO178" s="31"/>
      <c r="QP178" s="31"/>
      <c r="QQ178" s="31"/>
      <c r="QR178" s="31"/>
      <c r="QS178" s="31"/>
      <c r="QT178" s="31"/>
      <c r="QU178" s="31"/>
      <c r="QV178" s="31"/>
      <c r="QW178" s="31"/>
      <c r="QX178" s="31"/>
      <c r="QY178" s="31"/>
      <c r="QZ178" s="31"/>
      <c r="RA178" s="31"/>
      <c r="RB178" s="31"/>
      <c r="RC178" s="31"/>
      <c r="RD178" s="31"/>
      <c r="RE178" s="31"/>
      <c r="RF178" s="31"/>
      <c r="RG178" s="31"/>
      <c r="RH178" s="31"/>
      <c r="RI178" s="31"/>
      <c r="RJ178" s="31"/>
      <c r="RK178" s="31"/>
      <c r="RL178" s="31"/>
      <c r="RM178" s="31"/>
      <c r="RN178" s="31"/>
      <c r="RO178" s="31"/>
      <c r="RP178" s="31"/>
      <c r="RQ178" s="31"/>
      <c r="RR178" s="31"/>
      <c r="RS178" s="31"/>
      <c r="RT178" s="31"/>
      <c r="RU178" s="31"/>
      <c r="RV178" s="31"/>
      <c r="RW178" s="31"/>
      <c r="RX178" s="31"/>
      <c r="RY178" s="31"/>
      <c r="RZ178" s="31"/>
      <c r="SA178" s="31"/>
      <c r="SB178" s="31"/>
      <c r="SC178" s="31"/>
      <c r="SD178" s="31"/>
      <c r="SE178" s="31"/>
      <c r="SF178" s="31"/>
      <c r="SG178" s="31"/>
      <c r="SH178" s="31"/>
      <c r="SI178" s="31"/>
      <c r="SJ178" s="31"/>
      <c r="SK178" s="31"/>
      <c r="SL178" s="31"/>
      <c r="SM178" s="31"/>
      <c r="SN178" s="31"/>
      <c r="SO178" s="31"/>
      <c r="SP178" s="31"/>
      <c r="SQ178" s="31"/>
      <c r="SR178" s="31"/>
      <c r="SS178" s="31"/>
      <c r="ST178" s="31"/>
      <c r="SU178" s="31"/>
      <c r="SV178" s="31"/>
      <c r="SW178" s="31"/>
      <c r="SX178" s="31"/>
      <c r="SY178" s="31"/>
      <c r="SZ178" s="31"/>
      <c r="TA178" s="31"/>
      <c r="TB178" s="31"/>
      <c r="TC178" s="31"/>
      <c r="TD178" s="31"/>
      <c r="TE178" s="31"/>
      <c r="TF178" s="31"/>
      <c r="TG178" s="31"/>
      <c r="TH178" s="31"/>
      <c r="TI178" s="31"/>
      <c r="TJ178" s="31"/>
      <c r="TK178" s="31"/>
      <c r="TL178" s="31"/>
      <c r="TM178" s="31"/>
      <c r="TN178" s="31"/>
      <c r="TO178" s="31"/>
      <c r="TP178" s="31"/>
      <c r="TQ178" s="31"/>
      <c r="TR178" s="31"/>
      <c r="TS178" s="31"/>
      <c r="TT178" s="31"/>
      <c r="TU178" s="31"/>
      <c r="TV178" s="31"/>
      <c r="TW178" s="31"/>
      <c r="TX178" s="31"/>
      <c r="TY178" s="31"/>
      <c r="TZ178" s="31"/>
      <c r="UA178" s="31"/>
      <c r="UB178" s="31"/>
      <c r="UC178" s="31"/>
      <c r="UD178" s="31"/>
      <c r="UE178" s="31"/>
      <c r="UF178" s="31"/>
      <c r="UG178" s="31"/>
      <c r="UH178" s="31"/>
      <c r="UI178" s="31"/>
      <c r="UJ178" s="31"/>
      <c r="UK178" s="31"/>
      <c r="UL178" s="31"/>
      <c r="UM178" s="31"/>
      <c r="UN178" s="31"/>
      <c r="UO178" s="31"/>
      <c r="UP178" s="31"/>
      <c r="UQ178" s="31"/>
      <c r="UR178" s="31"/>
      <c r="US178" s="31"/>
      <c r="UT178" s="31"/>
      <c r="UU178" s="31"/>
      <c r="UV178" s="31"/>
      <c r="UW178" s="31"/>
      <c r="UX178" s="31"/>
      <c r="UY178" s="31"/>
      <c r="UZ178" s="31"/>
      <c r="VA178" s="31"/>
      <c r="VB178" s="31"/>
      <c r="VC178" s="31"/>
      <c r="VD178" s="31"/>
      <c r="VE178" s="31"/>
      <c r="VF178" s="31"/>
      <c r="VG178" s="31"/>
      <c r="VH178" s="31"/>
      <c r="VI178" s="31"/>
      <c r="VJ178" s="31"/>
      <c r="VK178" s="31"/>
      <c r="VL178" s="31"/>
      <c r="VM178" s="31"/>
      <c r="VN178" s="31"/>
      <c r="VO178" s="31"/>
      <c r="VP178" s="31"/>
      <c r="VQ178" s="31"/>
      <c r="VR178" s="31"/>
      <c r="VS178" s="31"/>
      <c r="VT178" s="31"/>
      <c r="VU178" s="31"/>
      <c r="VV178" s="31"/>
      <c r="VW178" s="31"/>
      <c r="VX178" s="31"/>
      <c r="VY178" s="31"/>
      <c r="VZ178" s="31"/>
      <c r="WA178" s="31"/>
      <c r="WB178" s="31"/>
      <c r="WC178" s="31"/>
      <c r="WD178" s="31"/>
      <c r="WE178" s="31"/>
      <c r="WF178" s="31"/>
      <c r="WG178" s="31"/>
      <c r="WH178" s="31"/>
      <c r="WI178" s="31"/>
      <c r="WJ178" s="31"/>
      <c r="WK178" s="31"/>
      <c r="WL178" s="31"/>
      <c r="WM178" s="31"/>
      <c r="WN178" s="31"/>
      <c r="WO178" s="31"/>
      <c r="WP178" s="31"/>
      <c r="WQ178" s="31"/>
      <c r="WR178" s="31"/>
      <c r="WS178" s="31"/>
      <c r="WT178" s="31"/>
      <c r="WU178" s="31"/>
      <c r="WV178" s="31"/>
      <c r="WW178" s="31"/>
      <c r="WX178" s="31"/>
      <c r="WY178" s="31"/>
      <c r="WZ178" s="31"/>
      <c r="XA178" s="31"/>
      <c r="XB178" s="31"/>
      <c r="XC178" s="31"/>
      <c r="XD178" s="31"/>
      <c r="XE178" s="31"/>
      <c r="XF178" s="31"/>
      <c r="XG178" s="31"/>
      <c r="XH178" s="31"/>
      <c r="XI178" s="31"/>
      <c r="XJ178" s="31"/>
      <c r="XK178" s="31"/>
      <c r="XL178" s="31"/>
      <c r="XM178" s="31"/>
      <c r="XN178" s="31"/>
      <c r="XO178" s="31"/>
      <c r="XP178" s="31"/>
      <c r="XQ178" s="31"/>
      <c r="XR178" s="31"/>
      <c r="XS178" s="31"/>
      <c r="XT178" s="31"/>
      <c r="XU178" s="31"/>
      <c r="XV178" s="31"/>
      <c r="XW178" s="31"/>
      <c r="XX178" s="31"/>
      <c r="XY178" s="31"/>
      <c r="XZ178" s="31"/>
      <c r="YA178" s="31"/>
      <c r="YB178" s="31"/>
      <c r="YC178" s="31"/>
      <c r="YD178" s="31"/>
      <c r="YE178" s="31"/>
      <c r="YF178" s="31"/>
      <c r="YG178" s="31"/>
      <c r="YH178" s="31"/>
      <c r="YI178" s="31"/>
      <c r="YJ178" s="31"/>
      <c r="YK178" s="31"/>
      <c r="YL178" s="31"/>
      <c r="YM178" s="31"/>
      <c r="YN178" s="31"/>
      <c r="YO178" s="31"/>
      <c r="YP178" s="31"/>
      <c r="YQ178" s="31"/>
      <c r="YR178" s="31"/>
      <c r="YS178" s="31"/>
      <c r="YT178" s="31"/>
      <c r="YU178" s="31"/>
      <c r="YV178" s="31"/>
      <c r="YW178" s="31"/>
      <c r="YX178" s="31"/>
      <c r="YY178" s="31"/>
      <c r="YZ178" s="31"/>
      <c r="ZA178" s="31"/>
      <c r="ZB178" s="31"/>
      <c r="ZC178" s="31"/>
      <c r="ZD178" s="31"/>
      <c r="ZE178" s="31"/>
      <c r="ZF178" s="31"/>
      <c r="ZG178" s="31"/>
      <c r="ZH178" s="31"/>
      <c r="ZI178" s="31"/>
      <c r="ZJ178" s="31"/>
      <c r="ZK178" s="31"/>
      <c r="ZL178" s="31"/>
      <c r="ZM178" s="31"/>
      <c r="ZN178" s="31"/>
      <c r="ZO178" s="31"/>
      <c r="ZP178" s="31"/>
      <c r="ZQ178" s="31"/>
      <c r="ZR178" s="31"/>
      <c r="ZS178" s="31"/>
      <c r="ZT178" s="31"/>
      <c r="ZU178" s="31"/>
      <c r="ZV178" s="31"/>
      <c r="ZW178" s="31"/>
      <c r="ZX178" s="31"/>
      <c r="ZY178" s="31"/>
      <c r="ZZ178" s="31"/>
      <c r="AAA178" s="31"/>
      <c r="AAB178" s="31"/>
      <c r="AAC178" s="31"/>
      <c r="AAD178" s="31"/>
      <c r="AAE178" s="31"/>
      <c r="AAF178" s="31"/>
      <c r="AAG178" s="31"/>
      <c r="AAH178" s="31"/>
      <c r="AAI178" s="31"/>
      <c r="AAJ178" s="31"/>
      <c r="AAK178" s="31"/>
      <c r="AAL178" s="31"/>
      <c r="AAM178" s="31"/>
      <c r="AAN178" s="31"/>
      <c r="AAO178" s="31"/>
      <c r="AAP178" s="31"/>
      <c r="AAQ178" s="31"/>
      <c r="AAR178" s="31"/>
      <c r="AAS178" s="31"/>
      <c r="AAT178" s="31"/>
      <c r="AAU178" s="31"/>
      <c r="AAV178" s="31"/>
      <c r="AAW178" s="31"/>
      <c r="AAX178" s="31"/>
      <c r="AAY178" s="31"/>
      <c r="AAZ178" s="31"/>
      <c r="ABA178" s="31"/>
      <c r="ABB178" s="31"/>
      <c r="ABC178" s="31"/>
      <c r="ABD178" s="31"/>
      <c r="ABE178" s="31"/>
      <c r="ABF178" s="31"/>
      <c r="ABG178" s="31"/>
      <c r="ABH178" s="31"/>
      <c r="ABI178" s="31"/>
      <c r="ABJ178" s="31"/>
      <c r="ABK178" s="31"/>
      <c r="ABL178" s="31"/>
      <c r="ABM178" s="31"/>
      <c r="ABN178" s="31"/>
      <c r="ABO178" s="31"/>
      <c r="ABP178" s="31"/>
      <c r="ABQ178" s="31"/>
      <c r="ABR178" s="31"/>
      <c r="ABS178" s="31"/>
      <c r="ABT178" s="31"/>
      <c r="ABU178" s="31"/>
      <c r="ABV178" s="31"/>
      <c r="ABW178" s="31"/>
      <c r="ABX178" s="31"/>
      <c r="ABY178" s="31"/>
      <c r="ABZ178" s="31"/>
      <c r="ACA178" s="31"/>
      <c r="ACB178" s="31"/>
      <c r="ACC178" s="31"/>
      <c r="ACD178" s="31"/>
      <c r="ACE178" s="31"/>
      <c r="ACF178" s="31"/>
      <c r="ACG178" s="31"/>
      <c r="ACH178" s="31"/>
      <c r="ACI178" s="31"/>
      <c r="ACJ178" s="31"/>
      <c r="ACK178" s="31"/>
      <c r="ACL178" s="31"/>
      <c r="ACM178" s="31"/>
      <c r="ACN178" s="31"/>
      <c r="ACO178" s="31"/>
      <c r="ACP178" s="31"/>
      <c r="ACQ178" s="31"/>
      <c r="ACR178" s="31"/>
      <c r="ACS178" s="31"/>
      <c r="ACT178" s="31"/>
      <c r="ACU178" s="31"/>
      <c r="ACV178" s="31"/>
      <c r="ACW178" s="31"/>
      <c r="ACX178" s="31"/>
      <c r="ACY178" s="31"/>
      <c r="ACZ178" s="31"/>
      <c r="ADA178" s="31"/>
      <c r="ADB178" s="31"/>
      <c r="ADC178" s="31"/>
      <c r="ADD178" s="31"/>
      <c r="ADE178" s="31"/>
      <c r="ADF178" s="31"/>
      <c r="ADG178" s="31"/>
      <c r="ADH178" s="31"/>
      <c r="ADI178" s="31"/>
      <c r="ADJ178" s="31"/>
      <c r="ADK178" s="31"/>
      <c r="ADL178" s="31"/>
      <c r="ADM178" s="31"/>
      <c r="ADN178" s="31"/>
      <c r="ADO178" s="31"/>
      <c r="ADP178" s="31"/>
      <c r="ADQ178" s="31"/>
      <c r="ADR178" s="31"/>
      <c r="ADS178" s="31"/>
      <c r="ADT178" s="31"/>
      <c r="ADU178" s="31"/>
      <c r="ADV178" s="31"/>
      <c r="ADW178" s="31"/>
      <c r="ADX178" s="31"/>
      <c r="ADY178" s="31"/>
      <c r="ADZ178" s="31"/>
      <c r="AEA178" s="31"/>
      <c r="AEB178" s="31"/>
      <c r="AEC178" s="31"/>
      <c r="AED178" s="31"/>
      <c r="AEE178" s="31"/>
      <c r="AEF178" s="31"/>
      <c r="AEG178" s="31"/>
      <c r="AEH178" s="31"/>
      <c r="AEI178" s="31"/>
      <c r="AEJ178" s="31"/>
      <c r="AEK178" s="31"/>
      <c r="AEL178" s="31"/>
      <c r="AEM178" s="31"/>
      <c r="AEN178" s="31"/>
      <c r="AEO178" s="31"/>
      <c r="AEP178" s="31"/>
      <c r="AEQ178" s="31"/>
      <c r="AER178" s="31"/>
      <c r="AES178" s="31"/>
      <c r="AET178" s="31"/>
      <c r="AEU178" s="31"/>
      <c r="AEV178" s="31"/>
      <c r="AEW178" s="31"/>
      <c r="AEX178" s="31"/>
      <c r="AEY178" s="31"/>
      <c r="AEZ178" s="31"/>
      <c r="AFA178" s="31"/>
      <c r="AFB178" s="31"/>
      <c r="AFC178" s="31"/>
      <c r="AFD178" s="31"/>
      <c r="AFE178" s="31"/>
      <c r="AFF178" s="31"/>
      <c r="AFG178" s="31"/>
      <c r="AFH178" s="31"/>
      <c r="AFI178" s="31"/>
      <c r="AFJ178" s="31"/>
      <c r="AFK178" s="31"/>
      <c r="AFL178" s="31"/>
      <c r="AFM178" s="31"/>
      <c r="AFN178" s="31"/>
      <c r="AFO178" s="31"/>
      <c r="AFP178" s="31"/>
      <c r="AFQ178" s="31"/>
      <c r="AFR178" s="31"/>
      <c r="AFS178" s="31"/>
      <c r="AFT178" s="31"/>
      <c r="AFU178" s="31"/>
      <c r="AFV178" s="31"/>
      <c r="AFW178" s="31"/>
      <c r="AFX178" s="31"/>
      <c r="AFY178" s="31"/>
      <c r="AFZ178" s="31"/>
      <c r="AGA178" s="31"/>
      <c r="AGB178" s="31"/>
      <c r="AGC178" s="31"/>
      <c r="AGD178" s="31"/>
      <c r="AGE178" s="31"/>
      <c r="AGF178" s="31"/>
      <c r="AGG178" s="31"/>
      <c r="AGH178" s="31"/>
      <c r="AGI178" s="31"/>
      <c r="AGJ178" s="31"/>
      <c r="AGK178" s="31"/>
      <c r="AGL178" s="31"/>
      <c r="AGM178" s="31"/>
      <c r="AGN178" s="31"/>
      <c r="AGO178" s="31"/>
      <c r="AGP178" s="31"/>
      <c r="AGQ178" s="31"/>
      <c r="AGR178" s="31"/>
      <c r="AGS178" s="31"/>
      <c r="AGT178" s="31"/>
      <c r="AGU178" s="31"/>
      <c r="AGV178" s="31"/>
      <c r="AGW178" s="31"/>
      <c r="AGX178" s="31"/>
      <c r="AGY178" s="31"/>
      <c r="AGZ178" s="31"/>
      <c r="AHA178" s="31"/>
      <c r="AHB178" s="31"/>
      <c r="AHC178" s="31"/>
      <c r="AHD178" s="31"/>
      <c r="AHE178" s="31"/>
      <c r="AHF178" s="31"/>
      <c r="AHG178" s="31"/>
      <c r="AHH178" s="31"/>
      <c r="AHI178" s="31"/>
      <c r="AHJ178" s="31"/>
      <c r="AHK178" s="31"/>
      <c r="AHL178" s="31"/>
      <c r="AHM178" s="31"/>
      <c r="AHN178" s="31"/>
      <c r="AHO178" s="31"/>
      <c r="AHP178" s="31"/>
      <c r="AHQ178" s="31"/>
      <c r="AHR178" s="31"/>
      <c r="AHS178" s="31"/>
      <c r="AHT178" s="31"/>
      <c r="AHU178" s="31"/>
      <c r="AHV178" s="31"/>
      <c r="AHW178" s="31"/>
      <c r="AHX178" s="31"/>
      <c r="AHY178" s="31"/>
      <c r="AHZ178" s="31"/>
      <c r="AIA178" s="31"/>
      <c r="AIB178" s="31"/>
      <c r="AIC178" s="31"/>
      <c r="AID178" s="31"/>
      <c r="AIE178" s="31"/>
      <c r="AIF178" s="31"/>
      <c r="AIG178" s="31"/>
      <c r="AIH178" s="31"/>
      <c r="AII178" s="31"/>
      <c r="AIJ178" s="31"/>
      <c r="AIK178" s="31"/>
      <c r="AIL178" s="31"/>
      <c r="AIM178" s="31"/>
      <c r="AIN178" s="31"/>
      <c r="AIO178" s="31"/>
      <c r="AIP178" s="31"/>
      <c r="AIQ178" s="31"/>
      <c r="AIR178" s="31"/>
      <c r="AIS178" s="31"/>
      <c r="AIT178" s="31"/>
      <c r="AIU178" s="31"/>
      <c r="AIV178" s="31"/>
      <c r="AIW178" s="31"/>
      <c r="AIX178" s="31"/>
      <c r="AIY178" s="31"/>
      <c r="AIZ178" s="31"/>
      <c r="AJA178" s="31"/>
      <c r="AJB178" s="31"/>
      <c r="AJC178" s="31"/>
      <c r="AJD178" s="31"/>
      <c r="AJE178" s="31"/>
      <c r="AJF178" s="31"/>
      <c r="AJG178" s="31"/>
      <c r="AJH178" s="31"/>
      <c r="AJI178" s="31"/>
      <c r="AJJ178" s="31"/>
      <c r="AJK178" s="31"/>
      <c r="AJL178" s="31"/>
      <c r="AJM178" s="31"/>
      <c r="AJN178" s="31"/>
      <c r="AJO178" s="31"/>
      <c r="AJP178" s="31"/>
      <c r="AJQ178" s="31"/>
      <c r="AJR178" s="31"/>
      <c r="AJS178" s="31"/>
      <c r="AJT178" s="31"/>
      <c r="AJU178" s="31"/>
      <c r="AJV178" s="31"/>
      <c r="AJW178" s="31"/>
      <c r="AJX178" s="31"/>
      <c r="AJY178" s="31"/>
      <c r="AJZ178" s="31"/>
      <c r="AKA178" s="31"/>
      <c r="AKB178" s="31"/>
      <c r="AKC178" s="31"/>
      <c r="AKD178" s="31"/>
      <c r="AKE178" s="31"/>
      <c r="AKF178" s="31"/>
      <c r="AKG178" s="31"/>
      <c r="AKH178" s="31"/>
      <c r="AKI178" s="31"/>
      <c r="AKJ178" s="31"/>
      <c r="AKK178" s="31"/>
      <c r="AKL178" s="31"/>
      <c r="AKM178" s="31"/>
      <c r="AKN178" s="31"/>
      <c r="AKO178" s="31"/>
      <c r="AKP178" s="31"/>
      <c r="AKQ178" s="31"/>
      <c r="AKR178" s="31"/>
      <c r="AKS178" s="31"/>
      <c r="AKT178" s="31"/>
      <c r="AKU178" s="31"/>
      <c r="AKV178" s="31"/>
      <c r="AKW178" s="31"/>
      <c r="AKX178" s="31"/>
      <c r="AKY178" s="31"/>
      <c r="AKZ178" s="31"/>
      <c r="ALA178" s="31"/>
      <c r="ALB178" s="31"/>
      <c r="ALC178" s="31"/>
      <c r="ALD178" s="31"/>
      <c r="ALE178" s="31"/>
      <c r="ALF178" s="31"/>
      <c r="ALG178" s="31"/>
      <c r="ALH178" s="31"/>
      <c r="ALI178" s="31"/>
      <c r="ALJ178" s="31"/>
      <c r="ALK178" s="31"/>
      <c r="ALL178" s="31"/>
      <c r="ALM178" s="31"/>
      <c r="ALN178" s="31"/>
      <c r="ALO178" s="31"/>
      <c r="ALP178" s="31"/>
      <c r="ALQ178" s="31"/>
      <c r="ALR178" s="31"/>
      <c r="ALS178" s="31"/>
      <c r="ALT178" s="31"/>
      <c r="ALU178" s="31"/>
      <c r="ALV178" s="31"/>
      <c r="ALW178" s="31"/>
      <c r="ALX178" s="31"/>
      <c r="ALY178" s="31"/>
      <c r="ALZ178" s="31"/>
      <c r="AMA178" s="31"/>
      <c r="AMB178" s="31"/>
      <c r="AMC178" s="31"/>
      <c r="AMD178" s="31"/>
      <c r="AME178" s="31"/>
      <c r="AMF178" s="31"/>
      <c r="AMG178" s="31"/>
      <c r="AMH178" s="31"/>
      <c r="AMI178" s="31"/>
      <c r="AMJ178" s="31"/>
      <c r="AMK178" s="31"/>
      <c r="AML178" s="31"/>
      <c r="AMM178" s="18"/>
    </row>
    <row r="179" spans="1:1027" s="18" customFormat="1" x14ac:dyDescent="0.2">
      <c r="A179" s="18" t="s">
        <v>678</v>
      </c>
      <c r="B179" s="18" t="s">
        <v>747</v>
      </c>
      <c r="D179" s="18">
        <v>157</v>
      </c>
      <c r="E179" s="19" t="s">
        <v>506</v>
      </c>
      <c r="F179" s="19" t="s">
        <v>507</v>
      </c>
      <c r="G179" s="20" t="s">
        <v>508</v>
      </c>
      <c r="H179" s="19" t="s">
        <v>507</v>
      </c>
      <c r="I179" s="19"/>
      <c r="J179" s="19" t="s">
        <v>507</v>
      </c>
      <c r="K179" s="21" t="s">
        <v>509</v>
      </c>
      <c r="M179" s="1" t="s">
        <v>739</v>
      </c>
      <c r="N179" s="1"/>
      <c r="S179" s="13"/>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31"/>
    </row>
    <row r="180" spans="1:1027" s="18" customFormat="1" x14ac:dyDescent="0.2">
      <c r="A180" s="18" t="s">
        <v>678</v>
      </c>
      <c r="B180" s="18" t="s">
        <v>748</v>
      </c>
      <c r="D180" s="18">
        <v>88</v>
      </c>
      <c r="E180" s="19" t="s">
        <v>506</v>
      </c>
      <c r="F180" s="19" t="s">
        <v>507</v>
      </c>
      <c r="G180" s="20" t="s">
        <v>508</v>
      </c>
      <c r="H180" s="19" t="s">
        <v>507</v>
      </c>
      <c r="I180" s="19"/>
      <c r="J180" s="19" t="s">
        <v>507</v>
      </c>
      <c r="K180" s="21" t="s">
        <v>509</v>
      </c>
      <c r="M180" s="1" t="s">
        <v>739</v>
      </c>
      <c r="N180" s="1"/>
      <c r="S180" s="13"/>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AMM180" s="31"/>
    </row>
    <row r="181" spans="1:1027" s="31" customFormat="1" x14ac:dyDescent="0.2">
      <c r="A181" s="18" t="s">
        <v>678</v>
      </c>
      <c r="B181" s="18" t="s">
        <v>749</v>
      </c>
      <c r="C181" s="18"/>
      <c r="D181" s="18">
        <v>34</v>
      </c>
      <c r="E181" s="19" t="s">
        <v>506</v>
      </c>
      <c r="F181" s="19" t="s">
        <v>507</v>
      </c>
      <c r="G181" s="20" t="s">
        <v>508</v>
      </c>
      <c r="H181" s="19" t="s">
        <v>507</v>
      </c>
      <c r="I181" s="19"/>
      <c r="J181" s="19" t="s">
        <v>507</v>
      </c>
      <c r="K181" s="21" t="s">
        <v>509</v>
      </c>
      <c r="L181" s="18"/>
      <c r="M181" s="1" t="s">
        <v>739</v>
      </c>
      <c r="N181" s="1"/>
      <c r="O181" s="18"/>
      <c r="P181" s="18"/>
      <c r="Q181" s="18"/>
      <c r="R181" s="18"/>
      <c r="S181" s="13"/>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c r="DY181" s="18"/>
      <c r="DZ181" s="18"/>
      <c r="EA181" s="18"/>
      <c r="EB181" s="18"/>
      <c r="EC181" s="18"/>
      <c r="ED181" s="18"/>
      <c r="EE181" s="18"/>
      <c r="EF181" s="18"/>
      <c r="EG181" s="18"/>
      <c r="EH181" s="18"/>
      <c r="EI181" s="18"/>
      <c r="EJ181" s="18"/>
      <c r="EK181" s="18"/>
      <c r="EL181" s="18"/>
      <c r="EM181" s="18"/>
      <c r="EN181" s="18"/>
      <c r="EO181" s="18"/>
      <c r="EP181" s="18"/>
      <c r="EQ181" s="18"/>
      <c r="ER181" s="18"/>
      <c r="ES181" s="18"/>
      <c r="ET181" s="18"/>
      <c r="EU181" s="18"/>
      <c r="EV181" s="18"/>
      <c r="EW181" s="18"/>
      <c r="EX181" s="18"/>
      <c r="EY181" s="18"/>
      <c r="EZ181" s="18"/>
      <c r="FA181" s="18"/>
      <c r="FB181" s="18"/>
      <c r="FC181" s="18"/>
      <c r="FD181" s="18"/>
      <c r="FE181" s="18"/>
      <c r="FF181" s="18"/>
      <c r="FG181" s="18"/>
      <c r="FH181" s="18"/>
      <c r="FI181" s="18"/>
      <c r="FJ181" s="18"/>
      <c r="FK181" s="18"/>
      <c r="FL181" s="18"/>
      <c r="FM181" s="18"/>
      <c r="FN181" s="18"/>
      <c r="FO181" s="18"/>
      <c r="FP181" s="18"/>
      <c r="FQ181" s="18"/>
      <c r="FR181" s="18"/>
      <c r="FS181" s="18"/>
      <c r="FT181" s="18"/>
      <c r="FU181" s="18"/>
      <c r="FV181" s="18"/>
      <c r="FW181" s="18"/>
      <c r="FX181" s="18"/>
      <c r="FY181" s="18"/>
      <c r="FZ181" s="18"/>
      <c r="GA181" s="18"/>
      <c r="GB181" s="18"/>
      <c r="GC181" s="18"/>
      <c r="GD181" s="18"/>
      <c r="GE181" s="18"/>
      <c r="GF181" s="18"/>
      <c r="GG181" s="18"/>
      <c r="GH181" s="18"/>
      <c r="GI181" s="18"/>
      <c r="GJ181" s="18"/>
      <c r="GK181" s="18"/>
      <c r="GL181" s="18"/>
      <c r="GM181" s="18"/>
      <c r="GN181" s="18"/>
      <c r="GO181" s="18"/>
      <c r="GP181" s="18"/>
      <c r="GQ181" s="18"/>
      <c r="GR181" s="18"/>
      <c r="GS181" s="18"/>
      <c r="GT181" s="18"/>
      <c r="GU181" s="18"/>
      <c r="GV181" s="18"/>
      <c r="GW181" s="18"/>
      <c r="GX181" s="18"/>
      <c r="GY181" s="18"/>
      <c r="GZ181" s="18"/>
      <c r="HA181" s="18"/>
      <c r="HB181" s="18"/>
      <c r="HC181" s="18"/>
      <c r="HD181" s="18"/>
      <c r="HE181" s="18"/>
      <c r="HF181" s="18"/>
      <c r="HG181" s="18"/>
      <c r="HH181" s="18"/>
      <c r="HI181" s="18"/>
      <c r="HJ181" s="18"/>
      <c r="HK181" s="18"/>
      <c r="HL181" s="18"/>
      <c r="HM181" s="18"/>
      <c r="HN181" s="18"/>
      <c r="HO181" s="18"/>
      <c r="HP181" s="18"/>
      <c r="HQ181" s="18"/>
      <c r="HR181" s="18"/>
      <c r="HS181" s="18"/>
      <c r="HT181" s="18"/>
      <c r="HU181" s="18"/>
      <c r="HV181" s="18"/>
      <c r="HW181" s="18"/>
      <c r="HX181" s="18"/>
      <c r="HY181" s="18"/>
      <c r="HZ181" s="18"/>
      <c r="IA181" s="18"/>
      <c r="IB181" s="18"/>
      <c r="IC181" s="18"/>
      <c r="ID181" s="18"/>
      <c r="IE181" s="18"/>
      <c r="IF181" s="18"/>
      <c r="IG181" s="18"/>
      <c r="IH181" s="18"/>
      <c r="II181" s="18"/>
      <c r="IJ181" s="18"/>
      <c r="IK181" s="18"/>
      <c r="IL181" s="18"/>
      <c r="IM181" s="18"/>
      <c r="IN181" s="18"/>
      <c r="IO181" s="18"/>
      <c r="IP181" s="18"/>
      <c r="IQ181" s="18"/>
      <c r="IR181" s="18"/>
      <c r="IS181" s="18"/>
      <c r="IT181" s="18"/>
      <c r="IU181" s="18"/>
      <c r="IV181" s="18"/>
      <c r="IW181" s="18"/>
      <c r="IX181" s="18"/>
      <c r="IY181" s="18"/>
      <c r="IZ181" s="18"/>
      <c r="JA181" s="18"/>
      <c r="JB181" s="18"/>
      <c r="JC181" s="18"/>
      <c r="JD181" s="18"/>
      <c r="JE181" s="18"/>
      <c r="JF181" s="18"/>
      <c r="JG181" s="18"/>
      <c r="JH181" s="18"/>
      <c r="JI181" s="18"/>
      <c r="JJ181" s="18"/>
      <c r="JK181" s="18"/>
      <c r="JL181" s="18"/>
      <c r="JM181" s="18"/>
      <c r="JN181" s="18"/>
      <c r="JO181" s="18"/>
      <c r="JP181" s="18"/>
      <c r="JQ181" s="18"/>
      <c r="JR181" s="18"/>
      <c r="JS181" s="18"/>
      <c r="JT181" s="18"/>
      <c r="JU181" s="18"/>
      <c r="JV181" s="18"/>
      <c r="JW181" s="18"/>
      <c r="JX181" s="18"/>
      <c r="JY181" s="18"/>
      <c r="JZ181" s="18"/>
      <c r="KA181" s="18"/>
      <c r="KB181" s="18"/>
      <c r="KC181" s="18"/>
      <c r="KD181" s="18"/>
      <c r="KE181" s="18"/>
      <c r="KF181" s="18"/>
      <c r="KG181" s="18"/>
      <c r="KH181" s="18"/>
      <c r="KI181" s="18"/>
      <c r="KJ181" s="18"/>
      <c r="KK181" s="18"/>
      <c r="KL181" s="18"/>
      <c r="KM181" s="18"/>
      <c r="KN181" s="18"/>
      <c r="KO181" s="18"/>
      <c r="KP181" s="18"/>
      <c r="KQ181" s="18"/>
      <c r="KR181" s="18"/>
      <c r="KS181" s="18"/>
      <c r="KT181" s="18"/>
      <c r="KU181" s="18"/>
      <c r="KV181" s="18"/>
      <c r="KW181" s="18"/>
      <c r="KX181" s="18"/>
      <c r="KY181" s="18"/>
      <c r="KZ181" s="18"/>
      <c r="LA181" s="18"/>
      <c r="LB181" s="18"/>
      <c r="LC181" s="18"/>
      <c r="LD181" s="18"/>
      <c r="LE181" s="18"/>
      <c r="LF181" s="18"/>
      <c r="LG181" s="18"/>
      <c r="LH181" s="18"/>
      <c r="LI181" s="18"/>
      <c r="LJ181" s="18"/>
      <c r="LK181" s="18"/>
      <c r="LL181" s="18"/>
      <c r="LM181" s="18"/>
      <c r="LN181" s="18"/>
      <c r="LO181" s="18"/>
      <c r="LP181" s="18"/>
      <c r="LQ181" s="18"/>
      <c r="LR181" s="18"/>
      <c r="LS181" s="18"/>
      <c r="LT181" s="18"/>
      <c r="LU181" s="18"/>
      <c r="LV181" s="18"/>
      <c r="LW181" s="18"/>
      <c r="LX181" s="18"/>
      <c r="LY181" s="18"/>
      <c r="LZ181" s="18"/>
      <c r="MA181" s="18"/>
      <c r="MB181" s="18"/>
      <c r="MC181" s="18"/>
      <c r="MD181" s="18"/>
      <c r="ME181" s="18"/>
      <c r="MF181" s="18"/>
      <c r="MG181" s="18"/>
      <c r="MH181" s="18"/>
      <c r="MI181" s="18"/>
      <c r="MJ181" s="18"/>
      <c r="MK181" s="18"/>
      <c r="ML181" s="18"/>
      <c r="MM181" s="18"/>
      <c r="MN181" s="18"/>
      <c r="MO181" s="18"/>
      <c r="MP181" s="18"/>
      <c r="MQ181" s="18"/>
      <c r="MR181" s="18"/>
      <c r="MS181" s="18"/>
      <c r="MT181" s="18"/>
      <c r="MU181" s="18"/>
      <c r="MV181" s="18"/>
      <c r="MW181" s="18"/>
      <c r="MX181" s="18"/>
      <c r="MY181" s="18"/>
      <c r="MZ181" s="18"/>
      <c r="NA181" s="18"/>
      <c r="NB181" s="18"/>
      <c r="NC181" s="18"/>
      <c r="ND181" s="18"/>
      <c r="NE181" s="18"/>
      <c r="NF181" s="18"/>
      <c r="NG181" s="18"/>
      <c r="NH181" s="18"/>
      <c r="NI181" s="18"/>
      <c r="NJ181" s="18"/>
      <c r="NK181" s="18"/>
      <c r="NL181" s="18"/>
      <c r="NM181" s="18"/>
      <c r="NN181" s="18"/>
      <c r="NO181" s="18"/>
      <c r="NP181" s="18"/>
      <c r="NQ181" s="18"/>
      <c r="NR181" s="18"/>
      <c r="NS181" s="18"/>
      <c r="NT181" s="18"/>
      <c r="NU181" s="18"/>
      <c r="NV181" s="18"/>
      <c r="NW181" s="18"/>
      <c r="NX181" s="18"/>
      <c r="NY181" s="18"/>
      <c r="NZ181" s="18"/>
      <c r="OA181" s="18"/>
      <c r="OB181" s="18"/>
      <c r="OC181" s="18"/>
      <c r="OD181" s="18"/>
      <c r="OE181" s="18"/>
      <c r="OF181" s="18"/>
      <c r="OG181" s="18"/>
      <c r="OH181" s="18"/>
      <c r="OI181" s="18"/>
      <c r="OJ181" s="18"/>
      <c r="OK181" s="18"/>
      <c r="OL181" s="18"/>
      <c r="OM181" s="18"/>
      <c r="ON181" s="18"/>
      <c r="OO181" s="18"/>
      <c r="OP181" s="18"/>
      <c r="OQ181" s="18"/>
      <c r="OR181" s="18"/>
      <c r="OS181" s="18"/>
      <c r="OT181" s="18"/>
      <c r="OU181" s="18"/>
      <c r="OV181" s="18"/>
      <c r="OW181" s="18"/>
      <c r="OX181" s="18"/>
      <c r="OY181" s="18"/>
      <c r="OZ181" s="18"/>
      <c r="PA181" s="18"/>
      <c r="PB181" s="18"/>
      <c r="PC181" s="18"/>
      <c r="PD181" s="18"/>
      <c r="PE181" s="18"/>
      <c r="PF181" s="18"/>
      <c r="PG181" s="18"/>
      <c r="PH181" s="18"/>
      <c r="PI181" s="18"/>
      <c r="PJ181" s="18"/>
      <c r="PK181" s="18"/>
      <c r="PL181" s="18"/>
      <c r="PM181" s="18"/>
      <c r="PN181" s="18"/>
      <c r="PO181" s="18"/>
      <c r="PP181" s="18"/>
      <c r="PQ181" s="18"/>
      <c r="PR181" s="18"/>
      <c r="PS181" s="18"/>
      <c r="PT181" s="18"/>
      <c r="PU181" s="18"/>
      <c r="PV181" s="18"/>
      <c r="PW181" s="18"/>
      <c r="PX181" s="18"/>
      <c r="PY181" s="18"/>
      <c r="PZ181" s="18"/>
      <c r="QA181" s="18"/>
      <c r="QB181" s="18"/>
      <c r="QC181" s="18"/>
      <c r="QD181" s="18"/>
      <c r="QE181" s="18"/>
      <c r="QF181" s="18"/>
      <c r="QG181" s="18"/>
      <c r="QH181" s="18"/>
      <c r="QI181" s="18"/>
      <c r="QJ181" s="18"/>
      <c r="QK181" s="18"/>
      <c r="QL181" s="18"/>
      <c r="QM181" s="18"/>
      <c r="QN181" s="18"/>
      <c r="QO181" s="18"/>
      <c r="QP181" s="18"/>
      <c r="QQ181" s="18"/>
      <c r="QR181" s="18"/>
      <c r="QS181" s="18"/>
      <c r="QT181" s="18"/>
      <c r="QU181" s="18"/>
      <c r="QV181" s="18"/>
      <c r="QW181" s="18"/>
      <c r="QX181" s="18"/>
      <c r="QY181" s="18"/>
      <c r="QZ181" s="18"/>
      <c r="RA181" s="18"/>
      <c r="RB181" s="18"/>
      <c r="RC181" s="18"/>
      <c r="RD181" s="18"/>
      <c r="RE181" s="18"/>
      <c r="RF181" s="18"/>
      <c r="RG181" s="18"/>
      <c r="RH181" s="18"/>
      <c r="RI181" s="18"/>
      <c r="RJ181" s="18"/>
      <c r="RK181" s="18"/>
      <c r="RL181" s="18"/>
      <c r="RM181" s="18"/>
      <c r="RN181" s="18"/>
      <c r="RO181" s="18"/>
      <c r="RP181" s="18"/>
      <c r="RQ181" s="18"/>
      <c r="RR181" s="18"/>
      <c r="RS181" s="18"/>
      <c r="RT181" s="18"/>
      <c r="RU181" s="18"/>
      <c r="RV181" s="18"/>
      <c r="RW181" s="18"/>
      <c r="RX181" s="18"/>
      <c r="RY181" s="18"/>
      <c r="RZ181" s="18"/>
      <c r="SA181" s="18"/>
      <c r="SB181" s="18"/>
      <c r="SC181" s="18"/>
      <c r="SD181" s="18"/>
      <c r="SE181" s="18"/>
      <c r="SF181" s="18"/>
      <c r="SG181" s="18"/>
      <c r="SH181" s="18"/>
      <c r="SI181" s="18"/>
      <c r="SJ181" s="18"/>
      <c r="SK181" s="18"/>
      <c r="SL181" s="18"/>
      <c r="SM181" s="18"/>
      <c r="SN181" s="18"/>
      <c r="SO181" s="18"/>
      <c r="SP181" s="18"/>
      <c r="SQ181" s="18"/>
      <c r="SR181" s="18"/>
      <c r="SS181" s="18"/>
      <c r="ST181" s="18"/>
      <c r="SU181" s="18"/>
      <c r="SV181" s="18"/>
      <c r="SW181" s="18"/>
      <c r="SX181" s="18"/>
      <c r="SY181" s="18"/>
      <c r="SZ181" s="18"/>
      <c r="TA181" s="18"/>
      <c r="TB181" s="18"/>
      <c r="TC181" s="18"/>
      <c r="TD181" s="18"/>
      <c r="TE181" s="18"/>
      <c r="TF181" s="18"/>
      <c r="TG181" s="18"/>
      <c r="TH181" s="18"/>
      <c r="TI181" s="18"/>
      <c r="TJ181" s="18"/>
      <c r="TK181" s="18"/>
      <c r="TL181" s="18"/>
      <c r="TM181" s="18"/>
      <c r="TN181" s="18"/>
      <c r="TO181" s="18"/>
      <c r="TP181" s="18"/>
      <c r="TQ181" s="18"/>
      <c r="TR181" s="18"/>
      <c r="TS181" s="18"/>
      <c r="TT181" s="18"/>
      <c r="TU181" s="18"/>
      <c r="TV181" s="18"/>
      <c r="TW181" s="18"/>
      <c r="TX181" s="18"/>
      <c r="TY181" s="18"/>
      <c r="TZ181" s="18"/>
      <c r="UA181" s="18"/>
      <c r="UB181" s="18"/>
      <c r="UC181" s="18"/>
      <c r="UD181" s="18"/>
      <c r="UE181" s="18"/>
      <c r="UF181" s="18"/>
      <c r="UG181" s="18"/>
      <c r="UH181" s="18"/>
      <c r="UI181" s="18"/>
      <c r="UJ181" s="18"/>
      <c r="UK181" s="18"/>
      <c r="UL181" s="18"/>
      <c r="UM181" s="18"/>
      <c r="UN181" s="18"/>
      <c r="UO181" s="18"/>
      <c r="UP181" s="18"/>
      <c r="UQ181" s="18"/>
      <c r="UR181" s="18"/>
      <c r="US181" s="18"/>
      <c r="UT181" s="18"/>
      <c r="UU181" s="18"/>
      <c r="UV181" s="18"/>
      <c r="UW181" s="18"/>
      <c r="UX181" s="18"/>
      <c r="UY181" s="18"/>
      <c r="UZ181" s="18"/>
      <c r="VA181" s="18"/>
      <c r="VB181" s="18"/>
      <c r="VC181" s="18"/>
      <c r="VD181" s="18"/>
      <c r="VE181" s="18"/>
      <c r="VF181" s="18"/>
      <c r="VG181" s="18"/>
      <c r="VH181" s="18"/>
      <c r="VI181" s="18"/>
      <c r="VJ181" s="18"/>
      <c r="VK181" s="18"/>
      <c r="VL181" s="18"/>
      <c r="VM181" s="18"/>
      <c r="VN181" s="18"/>
      <c r="VO181" s="18"/>
      <c r="VP181" s="18"/>
      <c r="VQ181" s="18"/>
      <c r="VR181" s="18"/>
      <c r="VS181" s="18"/>
      <c r="VT181" s="18"/>
      <c r="VU181" s="18"/>
      <c r="VV181" s="18"/>
      <c r="VW181" s="18"/>
      <c r="VX181" s="18"/>
      <c r="VY181" s="18"/>
      <c r="VZ181" s="18"/>
      <c r="WA181" s="18"/>
      <c r="WB181" s="18"/>
      <c r="WC181" s="18"/>
      <c r="WD181" s="18"/>
      <c r="WE181" s="18"/>
      <c r="WF181" s="18"/>
      <c r="WG181" s="18"/>
      <c r="WH181" s="18"/>
      <c r="WI181" s="18"/>
      <c r="WJ181" s="18"/>
      <c r="WK181" s="18"/>
      <c r="WL181" s="18"/>
      <c r="WM181" s="18"/>
      <c r="WN181" s="18"/>
      <c r="WO181" s="18"/>
      <c r="WP181" s="18"/>
      <c r="WQ181" s="18"/>
      <c r="WR181" s="18"/>
      <c r="WS181" s="18"/>
      <c r="WT181" s="18"/>
      <c r="WU181" s="18"/>
      <c r="WV181" s="18"/>
      <c r="WW181" s="18"/>
      <c r="WX181" s="18"/>
      <c r="WY181" s="18"/>
      <c r="WZ181" s="18"/>
      <c r="XA181" s="18"/>
      <c r="XB181" s="18"/>
      <c r="XC181" s="18"/>
      <c r="XD181" s="18"/>
      <c r="XE181" s="18"/>
      <c r="XF181" s="18"/>
      <c r="XG181" s="18"/>
      <c r="XH181" s="18"/>
      <c r="XI181" s="18"/>
      <c r="XJ181" s="18"/>
      <c r="XK181" s="18"/>
      <c r="XL181" s="18"/>
      <c r="XM181" s="18"/>
      <c r="XN181" s="18"/>
      <c r="XO181" s="18"/>
      <c r="XP181" s="18"/>
      <c r="XQ181" s="18"/>
      <c r="XR181" s="18"/>
      <c r="XS181" s="18"/>
      <c r="XT181" s="18"/>
      <c r="XU181" s="18"/>
      <c r="XV181" s="18"/>
      <c r="XW181" s="18"/>
      <c r="XX181" s="18"/>
      <c r="XY181" s="18"/>
      <c r="XZ181" s="18"/>
      <c r="YA181" s="18"/>
      <c r="YB181" s="18"/>
      <c r="YC181" s="18"/>
      <c r="YD181" s="18"/>
      <c r="YE181" s="18"/>
      <c r="YF181" s="18"/>
      <c r="YG181" s="18"/>
      <c r="YH181" s="18"/>
      <c r="YI181" s="18"/>
      <c r="YJ181" s="18"/>
      <c r="YK181" s="18"/>
      <c r="YL181" s="18"/>
      <c r="YM181" s="18"/>
      <c r="YN181" s="18"/>
      <c r="YO181" s="18"/>
      <c r="YP181" s="18"/>
      <c r="YQ181" s="18"/>
      <c r="YR181" s="18"/>
      <c r="YS181" s="18"/>
      <c r="YT181" s="18"/>
      <c r="YU181" s="18"/>
      <c r="YV181" s="18"/>
      <c r="YW181" s="18"/>
      <c r="YX181" s="18"/>
      <c r="YY181" s="18"/>
      <c r="YZ181" s="18"/>
      <c r="ZA181" s="18"/>
      <c r="ZB181" s="18"/>
      <c r="ZC181" s="18"/>
      <c r="ZD181" s="18"/>
      <c r="ZE181" s="18"/>
      <c r="ZF181" s="18"/>
      <c r="ZG181" s="18"/>
      <c r="ZH181" s="18"/>
      <c r="ZI181" s="18"/>
      <c r="ZJ181" s="18"/>
      <c r="ZK181" s="18"/>
      <c r="ZL181" s="18"/>
      <c r="ZM181" s="18"/>
      <c r="ZN181" s="18"/>
      <c r="ZO181" s="18"/>
      <c r="ZP181" s="18"/>
      <c r="ZQ181" s="18"/>
      <c r="ZR181" s="18"/>
      <c r="ZS181" s="18"/>
      <c r="ZT181" s="18"/>
      <c r="ZU181" s="18"/>
      <c r="ZV181" s="18"/>
      <c r="ZW181" s="18"/>
      <c r="ZX181" s="18"/>
      <c r="ZY181" s="18"/>
      <c r="ZZ181" s="18"/>
      <c r="AAA181" s="18"/>
      <c r="AAB181" s="18"/>
      <c r="AAC181" s="18"/>
      <c r="AAD181" s="18"/>
      <c r="AAE181" s="18"/>
      <c r="AAF181" s="18"/>
      <c r="AAG181" s="18"/>
      <c r="AAH181" s="18"/>
      <c r="AAI181" s="18"/>
      <c r="AAJ181" s="18"/>
      <c r="AAK181" s="18"/>
      <c r="AAL181" s="18"/>
      <c r="AAM181" s="18"/>
      <c r="AAN181" s="18"/>
      <c r="AAO181" s="18"/>
      <c r="AAP181" s="18"/>
      <c r="AAQ181" s="18"/>
      <c r="AAR181" s="18"/>
      <c r="AAS181" s="18"/>
      <c r="AAT181" s="18"/>
      <c r="AAU181" s="18"/>
      <c r="AAV181" s="18"/>
      <c r="AAW181" s="18"/>
      <c r="AAX181" s="18"/>
      <c r="AAY181" s="18"/>
      <c r="AAZ181" s="18"/>
      <c r="ABA181" s="18"/>
      <c r="ABB181" s="18"/>
      <c r="ABC181" s="18"/>
      <c r="ABD181" s="18"/>
      <c r="ABE181" s="18"/>
      <c r="ABF181" s="18"/>
      <c r="ABG181" s="18"/>
      <c r="ABH181" s="18"/>
      <c r="ABI181" s="18"/>
      <c r="ABJ181" s="18"/>
      <c r="ABK181" s="18"/>
      <c r="ABL181" s="18"/>
      <c r="ABM181" s="18"/>
      <c r="ABN181" s="18"/>
      <c r="ABO181" s="18"/>
      <c r="ABP181" s="18"/>
      <c r="ABQ181" s="18"/>
      <c r="ABR181" s="18"/>
      <c r="ABS181" s="18"/>
      <c r="ABT181" s="18"/>
      <c r="ABU181" s="18"/>
      <c r="ABV181" s="18"/>
      <c r="ABW181" s="18"/>
      <c r="ABX181" s="18"/>
      <c r="ABY181" s="18"/>
      <c r="ABZ181" s="18"/>
      <c r="ACA181" s="18"/>
      <c r="ACB181" s="18"/>
      <c r="ACC181" s="18"/>
      <c r="ACD181" s="18"/>
      <c r="ACE181" s="18"/>
      <c r="ACF181" s="18"/>
      <c r="ACG181" s="18"/>
      <c r="ACH181" s="18"/>
      <c r="ACI181" s="18"/>
      <c r="ACJ181" s="18"/>
      <c r="ACK181" s="18"/>
      <c r="ACL181" s="18"/>
      <c r="ACM181" s="18"/>
      <c r="ACN181" s="18"/>
      <c r="ACO181" s="18"/>
      <c r="ACP181" s="18"/>
      <c r="ACQ181" s="18"/>
      <c r="ACR181" s="18"/>
      <c r="ACS181" s="18"/>
      <c r="ACT181" s="18"/>
      <c r="ACU181" s="18"/>
      <c r="ACV181" s="18"/>
      <c r="ACW181" s="18"/>
      <c r="ACX181" s="18"/>
      <c r="ACY181" s="18"/>
      <c r="ACZ181" s="18"/>
      <c r="ADA181" s="18"/>
      <c r="ADB181" s="18"/>
      <c r="ADC181" s="18"/>
      <c r="ADD181" s="18"/>
      <c r="ADE181" s="18"/>
      <c r="ADF181" s="18"/>
      <c r="ADG181" s="18"/>
      <c r="ADH181" s="18"/>
      <c r="ADI181" s="18"/>
      <c r="ADJ181" s="18"/>
      <c r="ADK181" s="18"/>
      <c r="ADL181" s="18"/>
      <c r="ADM181" s="18"/>
      <c r="ADN181" s="18"/>
      <c r="ADO181" s="18"/>
      <c r="ADP181" s="18"/>
      <c r="ADQ181" s="18"/>
      <c r="ADR181" s="18"/>
      <c r="ADS181" s="18"/>
      <c r="ADT181" s="18"/>
      <c r="ADU181" s="18"/>
      <c r="ADV181" s="18"/>
      <c r="ADW181" s="18"/>
      <c r="ADX181" s="18"/>
      <c r="ADY181" s="18"/>
      <c r="ADZ181" s="18"/>
      <c r="AEA181" s="18"/>
      <c r="AEB181" s="18"/>
      <c r="AEC181" s="18"/>
      <c r="AED181" s="18"/>
      <c r="AEE181" s="18"/>
      <c r="AEF181" s="18"/>
      <c r="AEG181" s="18"/>
      <c r="AEH181" s="18"/>
      <c r="AEI181" s="18"/>
      <c r="AEJ181" s="18"/>
      <c r="AEK181" s="18"/>
      <c r="AEL181" s="18"/>
      <c r="AEM181" s="18"/>
      <c r="AEN181" s="18"/>
      <c r="AEO181" s="18"/>
      <c r="AEP181" s="18"/>
      <c r="AEQ181" s="18"/>
      <c r="AER181" s="18"/>
      <c r="AES181" s="18"/>
      <c r="AET181" s="18"/>
      <c r="AEU181" s="18"/>
      <c r="AEV181" s="18"/>
      <c r="AEW181" s="18"/>
      <c r="AEX181" s="18"/>
      <c r="AEY181" s="18"/>
      <c r="AEZ181" s="18"/>
      <c r="AFA181" s="18"/>
      <c r="AFB181" s="18"/>
      <c r="AFC181" s="18"/>
      <c r="AFD181" s="18"/>
      <c r="AFE181" s="18"/>
      <c r="AFF181" s="18"/>
      <c r="AFG181" s="18"/>
      <c r="AFH181" s="18"/>
      <c r="AFI181" s="18"/>
      <c r="AFJ181" s="18"/>
      <c r="AFK181" s="18"/>
      <c r="AFL181" s="18"/>
      <c r="AFM181" s="18"/>
      <c r="AFN181" s="18"/>
      <c r="AFO181" s="18"/>
      <c r="AFP181" s="18"/>
      <c r="AFQ181" s="18"/>
      <c r="AFR181" s="18"/>
      <c r="AFS181" s="18"/>
      <c r="AFT181" s="18"/>
      <c r="AFU181" s="18"/>
      <c r="AFV181" s="18"/>
      <c r="AFW181" s="18"/>
      <c r="AFX181" s="18"/>
      <c r="AFY181" s="18"/>
      <c r="AFZ181" s="18"/>
      <c r="AGA181" s="18"/>
      <c r="AGB181" s="18"/>
      <c r="AGC181" s="18"/>
      <c r="AGD181" s="18"/>
      <c r="AGE181" s="18"/>
      <c r="AGF181" s="18"/>
      <c r="AGG181" s="18"/>
      <c r="AGH181" s="18"/>
      <c r="AGI181" s="18"/>
      <c r="AGJ181" s="18"/>
      <c r="AGK181" s="18"/>
      <c r="AGL181" s="18"/>
      <c r="AGM181" s="18"/>
      <c r="AGN181" s="18"/>
      <c r="AGO181" s="18"/>
      <c r="AGP181" s="18"/>
      <c r="AGQ181" s="18"/>
      <c r="AGR181" s="18"/>
      <c r="AGS181" s="18"/>
      <c r="AGT181" s="18"/>
      <c r="AGU181" s="18"/>
      <c r="AGV181" s="18"/>
      <c r="AGW181" s="18"/>
      <c r="AGX181" s="18"/>
      <c r="AGY181" s="18"/>
      <c r="AGZ181" s="18"/>
      <c r="AHA181" s="18"/>
      <c r="AHB181" s="18"/>
      <c r="AHC181" s="18"/>
      <c r="AHD181" s="18"/>
      <c r="AHE181" s="18"/>
      <c r="AHF181" s="18"/>
      <c r="AHG181" s="18"/>
      <c r="AHH181" s="18"/>
      <c r="AHI181" s="18"/>
      <c r="AHJ181" s="18"/>
      <c r="AHK181" s="18"/>
      <c r="AHL181" s="18"/>
      <c r="AHM181" s="18"/>
      <c r="AHN181" s="18"/>
      <c r="AHO181" s="18"/>
      <c r="AHP181" s="18"/>
      <c r="AHQ181" s="18"/>
      <c r="AHR181" s="18"/>
      <c r="AHS181" s="18"/>
      <c r="AHT181" s="18"/>
      <c r="AHU181" s="18"/>
      <c r="AHV181" s="18"/>
      <c r="AHW181" s="18"/>
      <c r="AHX181" s="18"/>
      <c r="AHY181" s="18"/>
      <c r="AHZ181" s="18"/>
      <c r="AIA181" s="18"/>
      <c r="AIB181" s="18"/>
      <c r="AIC181" s="18"/>
      <c r="AID181" s="18"/>
      <c r="AIE181" s="18"/>
      <c r="AIF181" s="18"/>
      <c r="AIG181" s="18"/>
      <c r="AIH181" s="18"/>
      <c r="AII181" s="18"/>
      <c r="AIJ181" s="18"/>
      <c r="AIK181" s="18"/>
      <c r="AIL181" s="18"/>
      <c r="AIM181" s="18"/>
      <c r="AIN181" s="18"/>
      <c r="AIO181" s="18"/>
      <c r="AIP181" s="18"/>
      <c r="AIQ181" s="18"/>
      <c r="AIR181" s="18"/>
      <c r="AIS181" s="18"/>
      <c r="AIT181" s="18"/>
      <c r="AIU181" s="18"/>
      <c r="AIV181" s="18"/>
      <c r="AIW181" s="18"/>
      <c r="AIX181" s="18"/>
      <c r="AIY181" s="18"/>
      <c r="AIZ181" s="18"/>
      <c r="AJA181" s="18"/>
      <c r="AJB181" s="18"/>
      <c r="AJC181" s="18"/>
      <c r="AJD181" s="18"/>
      <c r="AJE181" s="18"/>
      <c r="AJF181" s="18"/>
      <c r="AJG181" s="18"/>
      <c r="AJH181" s="18"/>
      <c r="AJI181" s="18"/>
      <c r="AJJ181" s="18"/>
      <c r="AJK181" s="18"/>
      <c r="AJL181" s="18"/>
      <c r="AJM181" s="18"/>
      <c r="AJN181" s="18"/>
      <c r="AJO181" s="18"/>
      <c r="AJP181" s="18"/>
      <c r="AJQ181" s="18"/>
      <c r="AJR181" s="18"/>
      <c r="AJS181" s="18"/>
      <c r="AJT181" s="18"/>
      <c r="AJU181" s="18"/>
      <c r="AJV181" s="18"/>
      <c r="AJW181" s="18"/>
      <c r="AJX181" s="18"/>
      <c r="AJY181" s="18"/>
      <c r="AJZ181" s="18"/>
      <c r="AKA181" s="18"/>
      <c r="AKB181" s="18"/>
      <c r="AKC181" s="18"/>
      <c r="AKD181" s="18"/>
      <c r="AKE181" s="18"/>
      <c r="AKF181" s="18"/>
      <c r="AKG181" s="18"/>
      <c r="AKH181" s="18"/>
      <c r="AKI181" s="18"/>
      <c r="AKJ181" s="18"/>
      <c r="AKK181" s="18"/>
      <c r="AKL181" s="18"/>
      <c r="AKM181" s="18"/>
      <c r="AKN181" s="18"/>
      <c r="AKO181" s="18"/>
      <c r="AKP181" s="18"/>
      <c r="AKQ181" s="18"/>
      <c r="AKR181" s="18"/>
      <c r="AKS181" s="18"/>
      <c r="AKT181" s="18"/>
      <c r="AKU181" s="18"/>
      <c r="AKV181" s="18"/>
      <c r="AKW181" s="18"/>
      <c r="AKX181" s="18"/>
      <c r="AKY181" s="18"/>
      <c r="AKZ181" s="18"/>
      <c r="ALA181" s="18"/>
      <c r="ALB181" s="18"/>
      <c r="ALC181" s="18"/>
      <c r="ALD181" s="18"/>
      <c r="ALE181" s="18"/>
      <c r="ALF181" s="18"/>
      <c r="ALG181" s="18"/>
      <c r="ALH181" s="18"/>
      <c r="ALI181" s="18"/>
      <c r="ALJ181" s="18"/>
      <c r="ALK181" s="18"/>
      <c r="ALL181" s="18"/>
      <c r="ALM181" s="18"/>
      <c r="ALN181" s="18"/>
      <c r="ALO181" s="18"/>
      <c r="ALP181" s="18"/>
      <c r="ALQ181" s="18"/>
      <c r="ALR181" s="18"/>
      <c r="ALS181" s="18"/>
      <c r="ALT181" s="18"/>
      <c r="ALU181" s="18"/>
      <c r="ALV181" s="18"/>
      <c r="ALW181" s="18"/>
      <c r="ALX181" s="18"/>
      <c r="ALY181" s="18"/>
      <c r="ALZ181" s="18"/>
      <c r="AMA181" s="18"/>
      <c r="AMB181" s="18"/>
      <c r="AMC181" s="18"/>
      <c r="AMD181" s="18"/>
      <c r="AME181" s="18"/>
      <c r="AMF181" s="18"/>
      <c r="AMG181" s="18"/>
      <c r="AMH181" s="18"/>
      <c r="AMI181" s="18"/>
      <c r="AMJ181" s="18"/>
      <c r="AMK181" s="18"/>
      <c r="AML181" s="18"/>
      <c r="AMM181"/>
    </row>
    <row r="182" spans="1:1027" x14ac:dyDescent="0.2">
      <c r="A182" s="18">
        <v>2</v>
      </c>
      <c r="B182" s="18" t="s">
        <v>750</v>
      </c>
      <c r="C182" s="18"/>
      <c r="D182" s="18">
        <v>97</v>
      </c>
      <c r="E182" s="19" t="s">
        <v>507</v>
      </c>
      <c r="F182" s="19" t="s">
        <v>507</v>
      </c>
      <c r="G182" s="20" t="s">
        <v>540</v>
      </c>
      <c r="H182" s="19" t="s">
        <v>507</v>
      </c>
      <c r="I182" s="19" t="s">
        <v>507</v>
      </c>
      <c r="J182" s="19" t="s">
        <v>507</v>
      </c>
      <c r="K182" s="21" t="s">
        <v>509</v>
      </c>
      <c r="L182" s="18"/>
      <c r="M182" s="1" t="s">
        <v>609</v>
      </c>
      <c r="O182" s="18"/>
      <c r="P182" s="18"/>
      <c r="Q182" s="18"/>
      <c r="R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c r="DY182" s="18"/>
      <c r="DZ182" s="18"/>
      <c r="EA182" s="18"/>
      <c r="EB182" s="18"/>
      <c r="EC182" s="18"/>
      <c r="ED182" s="18"/>
      <c r="EE182" s="18"/>
      <c r="EF182" s="18"/>
      <c r="EG182" s="18"/>
      <c r="EH182" s="18"/>
      <c r="EI182" s="18"/>
      <c r="EJ182" s="18"/>
      <c r="EK182" s="18"/>
      <c r="EL182" s="18"/>
      <c r="EM182" s="18"/>
      <c r="EN182" s="18"/>
      <c r="EO182" s="18"/>
      <c r="EP182" s="18"/>
      <c r="EQ182" s="18"/>
      <c r="ER182" s="18"/>
      <c r="ES182" s="18"/>
      <c r="ET182" s="18"/>
      <c r="EU182" s="18"/>
      <c r="EV182" s="18"/>
      <c r="EW182" s="18"/>
      <c r="EX182" s="18"/>
      <c r="EY182" s="18"/>
      <c r="EZ182" s="18"/>
      <c r="FA182" s="18"/>
      <c r="FB182" s="18"/>
      <c r="FC182" s="18"/>
      <c r="FD182" s="18"/>
      <c r="FE182" s="18"/>
      <c r="FF182" s="18"/>
      <c r="FG182" s="18"/>
      <c r="FH182" s="18"/>
      <c r="FI182" s="18"/>
      <c r="FJ182" s="18"/>
      <c r="FK182" s="18"/>
      <c r="FL182" s="18"/>
      <c r="FM182" s="18"/>
      <c r="FN182" s="18"/>
      <c r="FO182" s="18"/>
      <c r="FP182" s="18"/>
      <c r="FQ182" s="18"/>
      <c r="FR182" s="18"/>
      <c r="FS182" s="18"/>
      <c r="FT182" s="18"/>
      <c r="FU182" s="18"/>
      <c r="FV182" s="18"/>
      <c r="FW182" s="18"/>
      <c r="FX182" s="18"/>
      <c r="FY182" s="18"/>
      <c r="FZ182" s="18"/>
      <c r="GA182" s="18"/>
      <c r="GB182" s="18"/>
      <c r="GC182" s="18"/>
      <c r="GD182" s="18"/>
      <c r="GE182" s="18"/>
      <c r="GF182" s="18"/>
      <c r="GG182" s="18"/>
      <c r="GH182" s="18"/>
      <c r="GI182" s="18"/>
      <c r="GJ182" s="18"/>
      <c r="GK182" s="18"/>
      <c r="GL182" s="18"/>
      <c r="GM182" s="18"/>
      <c r="GN182" s="18"/>
      <c r="GO182" s="18"/>
      <c r="GP182" s="18"/>
      <c r="GQ182" s="18"/>
      <c r="GR182" s="18"/>
      <c r="GS182" s="18"/>
      <c r="GT182" s="18"/>
      <c r="GU182" s="18"/>
      <c r="GV182" s="18"/>
      <c r="GW182" s="18"/>
      <c r="GX182" s="18"/>
      <c r="GY182" s="18"/>
      <c r="GZ182" s="18"/>
      <c r="HA182" s="18"/>
      <c r="HB182" s="18"/>
      <c r="HC182" s="18"/>
      <c r="HD182" s="18"/>
      <c r="HE182" s="18"/>
      <c r="HF182" s="18"/>
      <c r="HG182" s="18"/>
      <c r="HH182" s="18"/>
      <c r="HI182" s="18"/>
      <c r="HJ182" s="18"/>
      <c r="HK182" s="18"/>
      <c r="HL182" s="18"/>
      <c r="HM182" s="18"/>
      <c r="HN182" s="18"/>
      <c r="HO182" s="18"/>
      <c r="HP182" s="18"/>
      <c r="HQ182" s="18"/>
      <c r="HR182" s="18"/>
      <c r="HS182" s="18"/>
      <c r="HT182" s="18"/>
      <c r="HU182" s="18"/>
      <c r="HV182" s="18"/>
      <c r="HW182" s="18"/>
      <c r="HX182" s="18"/>
      <c r="HY182" s="18"/>
      <c r="HZ182" s="18"/>
      <c r="IA182" s="18"/>
      <c r="IB182" s="18"/>
      <c r="IC182" s="18"/>
      <c r="ID182" s="18"/>
      <c r="IE182" s="18"/>
      <c r="IF182" s="18"/>
      <c r="IG182" s="18"/>
      <c r="IH182" s="18"/>
      <c r="II182" s="18"/>
      <c r="IJ182" s="18"/>
      <c r="IK182" s="18"/>
      <c r="IL182" s="18"/>
      <c r="IM182" s="18"/>
      <c r="IN182" s="18"/>
      <c r="IO182" s="18"/>
      <c r="IP182" s="18"/>
      <c r="IQ182" s="18"/>
      <c r="IR182" s="18"/>
      <c r="IS182" s="18"/>
      <c r="IT182" s="18"/>
      <c r="IU182" s="18"/>
      <c r="IV182" s="18"/>
      <c r="IW182" s="18"/>
      <c r="IX182" s="18"/>
      <c r="IY182" s="18"/>
      <c r="IZ182" s="18"/>
      <c r="JA182" s="18"/>
      <c r="JB182" s="18"/>
      <c r="JC182" s="18"/>
      <c r="JD182" s="18"/>
      <c r="JE182" s="18"/>
      <c r="JF182" s="18"/>
      <c r="JG182" s="18"/>
      <c r="JH182" s="18"/>
      <c r="JI182" s="18"/>
      <c r="JJ182" s="18"/>
      <c r="JK182" s="18"/>
      <c r="JL182" s="18"/>
      <c r="JM182" s="18"/>
      <c r="JN182" s="18"/>
      <c r="JO182" s="18"/>
      <c r="JP182" s="18"/>
      <c r="JQ182" s="18"/>
      <c r="JR182" s="18"/>
      <c r="JS182" s="18"/>
      <c r="JT182" s="18"/>
      <c r="JU182" s="18"/>
      <c r="JV182" s="18"/>
      <c r="JW182" s="18"/>
      <c r="JX182" s="18"/>
      <c r="JY182" s="18"/>
      <c r="JZ182" s="18"/>
      <c r="KA182" s="18"/>
      <c r="KB182" s="18"/>
      <c r="KC182" s="18"/>
      <c r="KD182" s="18"/>
      <c r="KE182" s="18"/>
      <c r="KF182" s="18"/>
      <c r="KG182" s="18"/>
      <c r="KH182" s="18"/>
      <c r="KI182" s="18"/>
      <c r="KJ182" s="18"/>
      <c r="KK182" s="18"/>
      <c r="KL182" s="18"/>
      <c r="KM182" s="18"/>
      <c r="KN182" s="18"/>
      <c r="KO182" s="18"/>
      <c r="KP182" s="18"/>
      <c r="KQ182" s="18"/>
      <c r="KR182" s="18"/>
      <c r="KS182" s="18"/>
      <c r="KT182" s="18"/>
      <c r="KU182" s="18"/>
      <c r="KV182" s="18"/>
      <c r="KW182" s="18"/>
      <c r="KX182" s="18"/>
      <c r="KY182" s="18"/>
      <c r="KZ182" s="18"/>
      <c r="LA182" s="18"/>
      <c r="LB182" s="18"/>
      <c r="LC182" s="18"/>
      <c r="LD182" s="18"/>
      <c r="LE182" s="18"/>
      <c r="LF182" s="18"/>
      <c r="LG182" s="18"/>
      <c r="LH182" s="18"/>
      <c r="LI182" s="18"/>
      <c r="LJ182" s="18"/>
      <c r="LK182" s="18"/>
      <c r="LL182" s="18"/>
      <c r="LM182" s="18"/>
      <c r="LN182" s="18"/>
      <c r="LO182" s="18"/>
      <c r="LP182" s="18"/>
      <c r="LQ182" s="18"/>
      <c r="LR182" s="18"/>
      <c r="LS182" s="18"/>
      <c r="LT182" s="18"/>
      <c r="LU182" s="18"/>
      <c r="LV182" s="18"/>
      <c r="LW182" s="18"/>
      <c r="LX182" s="18"/>
      <c r="LY182" s="18"/>
      <c r="LZ182" s="18"/>
      <c r="MA182" s="18"/>
      <c r="MB182" s="18"/>
      <c r="MC182" s="18"/>
      <c r="MD182" s="18"/>
      <c r="ME182" s="18"/>
      <c r="MF182" s="18"/>
      <c r="MG182" s="18"/>
      <c r="MH182" s="18"/>
      <c r="MI182" s="18"/>
      <c r="MJ182" s="18"/>
      <c r="MK182" s="18"/>
      <c r="ML182" s="18"/>
      <c r="MM182" s="18"/>
      <c r="MN182" s="18"/>
      <c r="MO182" s="18"/>
      <c r="MP182" s="18"/>
      <c r="MQ182" s="18"/>
      <c r="MR182" s="18"/>
      <c r="MS182" s="18"/>
      <c r="MT182" s="18"/>
      <c r="MU182" s="18"/>
      <c r="MV182" s="18"/>
      <c r="MW182" s="18"/>
      <c r="MX182" s="18"/>
      <c r="MY182" s="18"/>
      <c r="MZ182" s="18"/>
      <c r="NA182" s="18"/>
      <c r="NB182" s="18"/>
      <c r="NC182" s="18"/>
      <c r="ND182" s="18"/>
      <c r="NE182" s="18"/>
      <c r="NF182" s="18"/>
      <c r="NG182" s="18"/>
      <c r="NH182" s="18"/>
      <c r="NI182" s="18"/>
      <c r="NJ182" s="18"/>
      <c r="NK182" s="18"/>
      <c r="NL182" s="18"/>
      <c r="NM182" s="18"/>
      <c r="NN182" s="18"/>
      <c r="NO182" s="18"/>
      <c r="NP182" s="18"/>
      <c r="NQ182" s="18"/>
      <c r="NR182" s="18"/>
      <c r="NS182" s="18"/>
      <c r="NT182" s="18"/>
      <c r="NU182" s="18"/>
      <c r="NV182" s="18"/>
      <c r="NW182" s="18"/>
      <c r="NX182" s="18"/>
      <c r="NY182" s="18"/>
      <c r="NZ182" s="18"/>
      <c r="OA182" s="18"/>
      <c r="OB182" s="18"/>
      <c r="OC182" s="18"/>
      <c r="OD182" s="18"/>
      <c r="OE182" s="18"/>
      <c r="OF182" s="18"/>
      <c r="OG182" s="18"/>
      <c r="OH182" s="18"/>
      <c r="OI182" s="18"/>
      <c r="OJ182" s="18"/>
      <c r="OK182" s="18"/>
      <c r="OL182" s="18"/>
      <c r="OM182" s="18"/>
      <c r="ON182" s="18"/>
      <c r="OO182" s="18"/>
      <c r="OP182" s="18"/>
      <c r="OQ182" s="18"/>
      <c r="OR182" s="18"/>
      <c r="OS182" s="18"/>
      <c r="OT182" s="18"/>
      <c r="OU182" s="18"/>
      <c r="OV182" s="18"/>
      <c r="OW182" s="18"/>
      <c r="OX182" s="18"/>
      <c r="OY182" s="18"/>
      <c r="OZ182" s="18"/>
      <c r="PA182" s="18"/>
      <c r="PB182" s="18"/>
      <c r="PC182" s="18"/>
      <c r="PD182" s="18"/>
      <c r="PE182" s="18"/>
      <c r="PF182" s="18"/>
      <c r="PG182" s="18"/>
      <c r="PH182" s="18"/>
      <c r="PI182" s="18"/>
      <c r="PJ182" s="18"/>
      <c r="PK182" s="18"/>
      <c r="PL182" s="18"/>
      <c r="PM182" s="18"/>
      <c r="PN182" s="18"/>
      <c r="PO182" s="18"/>
      <c r="PP182" s="18"/>
      <c r="PQ182" s="18"/>
      <c r="PR182" s="18"/>
      <c r="PS182" s="18"/>
      <c r="PT182" s="18"/>
      <c r="PU182" s="18"/>
      <c r="PV182" s="18"/>
      <c r="PW182" s="18"/>
      <c r="PX182" s="18"/>
      <c r="PY182" s="18"/>
      <c r="PZ182" s="18"/>
      <c r="QA182" s="18"/>
      <c r="QB182" s="18"/>
      <c r="QC182" s="18"/>
      <c r="QD182" s="18"/>
      <c r="QE182" s="18"/>
      <c r="QF182" s="18"/>
      <c r="QG182" s="18"/>
      <c r="QH182" s="18"/>
      <c r="QI182" s="18"/>
      <c r="QJ182" s="18"/>
      <c r="QK182" s="18"/>
      <c r="QL182" s="18"/>
      <c r="QM182" s="18"/>
      <c r="QN182" s="18"/>
      <c r="QO182" s="18"/>
      <c r="QP182" s="18"/>
      <c r="QQ182" s="18"/>
      <c r="QR182" s="18"/>
      <c r="QS182" s="18"/>
      <c r="QT182" s="18"/>
      <c r="QU182" s="18"/>
      <c r="QV182" s="18"/>
      <c r="QW182" s="18"/>
      <c r="QX182" s="18"/>
      <c r="QY182" s="18"/>
      <c r="QZ182" s="18"/>
      <c r="RA182" s="18"/>
      <c r="RB182" s="18"/>
      <c r="RC182" s="18"/>
      <c r="RD182" s="18"/>
      <c r="RE182" s="18"/>
      <c r="RF182" s="18"/>
      <c r="RG182" s="18"/>
      <c r="RH182" s="18"/>
      <c r="RI182" s="18"/>
      <c r="RJ182" s="18"/>
      <c r="RK182" s="18"/>
      <c r="RL182" s="18"/>
      <c r="RM182" s="18"/>
      <c r="RN182" s="18"/>
      <c r="RO182" s="18"/>
      <c r="RP182" s="18"/>
      <c r="RQ182" s="18"/>
      <c r="RR182" s="18"/>
      <c r="RS182" s="18"/>
      <c r="RT182" s="18"/>
      <c r="RU182" s="18"/>
      <c r="RV182" s="18"/>
      <c r="RW182" s="18"/>
      <c r="RX182" s="18"/>
      <c r="RY182" s="18"/>
      <c r="RZ182" s="18"/>
      <c r="SA182" s="18"/>
      <c r="SB182" s="18"/>
      <c r="SC182" s="18"/>
      <c r="SD182" s="18"/>
      <c r="SE182" s="18"/>
      <c r="SF182" s="18"/>
      <c r="SG182" s="18"/>
      <c r="SH182" s="18"/>
      <c r="SI182" s="18"/>
      <c r="SJ182" s="18"/>
      <c r="SK182" s="18"/>
      <c r="SL182" s="18"/>
      <c r="SM182" s="18"/>
      <c r="SN182" s="18"/>
      <c r="SO182" s="18"/>
      <c r="SP182" s="18"/>
      <c r="SQ182" s="18"/>
      <c r="SR182" s="18"/>
      <c r="SS182" s="18"/>
      <c r="ST182" s="18"/>
      <c r="SU182" s="18"/>
      <c r="SV182" s="18"/>
      <c r="SW182" s="18"/>
      <c r="SX182" s="18"/>
      <c r="SY182" s="18"/>
      <c r="SZ182" s="18"/>
      <c r="TA182" s="18"/>
      <c r="TB182" s="18"/>
      <c r="TC182" s="18"/>
      <c r="TD182" s="18"/>
      <c r="TE182" s="18"/>
      <c r="TF182" s="18"/>
      <c r="TG182" s="18"/>
      <c r="TH182" s="18"/>
      <c r="TI182" s="18"/>
      <c r="TJ182" s="18"/>
      <c r="TK182" s="18"/>
      <c r="TL182" s="18"/>
      <c r="TM182" s="18"/>
      <c r="TN182" s="18"/>
      <c r="TO182" s="18"/>
      <c r="TP182" s="18"/>
      <c r="TQ182" s="18"/>
      <c r="TR182" s="18"/>
      <c r="TS182" s="18"/>
      <c r="TT182" s="18"/>
      <c r="TU182" s="18"/>
      <c r="TV182" s="18"/>
      <c r="TW182" s="18"/>
      <c r="TX182" s="18"/>
      <c r="TY182" s="18"/>
      <c r="TZ182" s="18"/>
      <c r="UA182" s="18"/>
      <c r="UB182" s="18"/>
      <c r="UC182" s="18"/>
      <c r="UD182" s="18"/>
      <c r="UE182" s="18"/>
      <c r="UF182" s="18"/>
      <c r="UG182" s="18"/>
      <c r="UH182" s="18"/>
      <c r="UI182" s="18"/>
      <c r="UJ182" s="18"/>
      <c r="UK182" s="18"/>
      <c r="UL182" s="18"/>
      <c r="UM182" s="18"/>
      <c r="UN182" s="18"/>
      <c r="UO182" s="18"/>
      <c r="UP182" s="18"/>
      <c r="UQ182" s="18"/>
      <c r="UR182" s="18"/>
      <c r="US182" s="18"/>
      <c r="UT182" s="18"/>
      <c r="UU182" s="18"/>
      <c r="UV182" s="18"/>
      <c r="UW182" s="18"/>
      <c r="UX182" s="18"/>
      <c r="UY182" s="18"/>
      <c r="UZ182" s="18"/>
      <c r="VA182" s="18"/>
      <c r="VB182" s="18"/>
      <c r="VC182" s="18"/>
      <c r="VD182" s="18"/>
      <c r="VE182" s="18"/>
      <c r="VF182" s="18"/>
      <c r="VG182" s="18"/>
      <c r="VH182" s="18"/>
      <c r="VI182" s="18"/>
      <c r="VJ182" s="18"/>
      <c r="VK182" s="18"/>
      <c r="VL182" s="18"/>
      <c r="VM182" s="18"/>
      <c r="VN182" s="18"/>
      <c r="VO182" s="18"/>
      <c r="VP182" s="18"/>
      <c r="VQ182" s="18"/>
      <c r="VR182" s="18"/>
      <c r="VS182" s="18"/>
      <c r="VT182" s="18"/>
      <c r="VU182" s="18"/>
      <c r="VV182" s="18"/>
      <c r="VW182" s="18"/>
      <c r="VX182" s="18"/>
      <c r="VY182" s="18"/>
      <c r="VZ182" s="18"/>
      <c r="WA182" s="18"/>
      <c r="WB182" s="18"/>
      <c r="WC182" s="18"/>
      <c r="WD182" s="18"/>
      <c r="WE182" s="18"/>
      <c r="WF182" s="18"/>
      <c r="WG182" s="18"/>
      <c r="WH182" s="18"/>
      <c r="WI182" s="18"/>
      <c r="WJ182" s="18"/>
      <c r="WK182" s="18"/>
      <c r="WL182" s="18"/>
      <c r="WM182" s="18"/>
      <c r="WN182" s="18"/>
      <c r="WO182" s="18"/>
      <c r="WP182" s="18"/>
      <c r="WQ182" s="18"/>
      <c r="WR182" s="18"/>
      <c r="WS182" s="18"/>
      <c r="WT182" s="18"/>
      <c r="WU182" s="18"/>
      <c r="WV182" s="18"/>
      <c r="WW182" s="18"/>
      <c r="WX182" s="18"/>
      <c r="WY182" s="18"/>
      <c r="WZ182" s="18"/>
      <c r="XA182" s="18"/>
      <c r="XB182" s="18"/>
      <c r="XC182" s="18"/>
      <c r="XD182" s="18"/>
      <c r="XE182" s="18"/>
      <c r="XF182" s="18"/>
      <c r="XG182" s="18"/>
      <c r="XH182" s="18"/>
      <c r="XI182" s="18"/>
      <c r="XJ182" s="18"/>
      <c r="XK182" s="18"/>
      <c r="XL182" s="18"/>
      <c r="XM182" s="18"/>
      <c r="XN182" s="18"/>
      <c r="XO182" s="18"/>
      <c r="XP182" s="18"/>
      <c r="XQ182" s="18"/>
      <c r="XR182" s="18"/>
      <c r="XS182" s="18"/>
      <c r="XT182" s="18"/>
      <c r="XU182" s="18"/>
      <c r="XV182" s="18"/>
      <c r="XW182" s="18"/>
      <c r="XX182" s="18"/>
      <c r="XY182" s="18"/>
      <c r="XZ182" s="18"/>
      <c r="YA182" s="18"/>
      <c r="YB182" s="18"/>
      <c r="YC182" s="18"/>
      <c r="YD182" s="18"/>
      <c r="YE182" s="18"/>
      <c r="YF182" s="18"/>
      <c r="YG182" s="18"/>
      <c r="YH182" s="18"/>
      <c r="YI182" s="18"/>
      <c r="YJ182" s="18"/>
      <c r="YK182" s="18"/>
      <c r="YL182" s="18"/>
      <c r="YM182" s="18"/>
      <c r="YN182" s="18"/>
      <c r="YO182" s="18"/>
      <c r="YP182" s="18"/>
      <c r="YQ182" s="18"/>
      <c r="YR182" s="18"/>
      <c r="YS182" s="18"/>
      <c r="YT182" s="18"/>
      <c r="YU182" s="18"/>
      <c r="YV182" s="18"/>
      <c r="YW182" s="18"/>
      <c r="YX182" s="18"/>
      <c r="YY182" s="18"/>
      <c r="YZ182" s="18"/>
      <c r="ZA182" s="18"/>
      <c r="ZB182" s="18"/>
      <c r="ZC182" s="18"/>
      <c r="ZD182" s="18"/>
      <c r="ZE182" s="18"/>
      <c r="ZF182" s="18"/>
      <c r="ZG182" s="18"/>
      <c r="ZH182" s="18"/>
      <c r="ZI182" s="18"/>
      <c r="ZJ182" s="18"/>
      <c r="ZK182" s="18"/>
      <c r="ZL182" s="18"/>
      <c r="ZM182" s="18"/>
      <c r="ZN182" s="18"/>
      <c r="ZO182" s="18"/>
      <c r="ZP182" s="18"/>
      <c r="ZQ182" s="18"/>
      <c r="ZR182" s="18"/>
      <c r="ZS182" s="18"/>
      <c r="ZT182" s="18"/>
      <c r="ZU182" s="18"/>
      <c r="ZV182" s="18"/>
      <c r="ZW182" s="18"/>
      <c r="ZX182" s="18"/>
      <c r="ZY182" s="18"/>
      <c r="ZZ182" s="18"/>
      <c r="AAA182" s="18"/>
      <c r="AAB182" s="18"/>
      <c r="AAC182" s="18"/>
      <c r="AAD182" s="18"/>
      <c r="AAE182" s="18"/>
      <c r="AAF182" s="18"/>
      <c r="AAG182" s="18"/>
      <c r="AAH182" s="18"/>
      <c r="AAI182" s="18"/>
      <c r="AAJ182" s="18"/>
      <c r="AAK182" s="18"/>
      <c r="AAL182" s="18"/>
      <c r="AAM182" s="18"/>
      <c r="AAN182" s="18"/>
      <c r="AAO182" s="18"/>
      <c r="AAP182" s="18"/>
      <c r="AAQ182" s="18"/>
      <c r="AAR182" s="18"/>
      <c r="AAS182" s="18"/>
      <c r="AAT182" s="18"/>
      <c r="AAU182" s="18"/>
      <c r="AAV182" s="18"/>
      <c r="AAW182" s="18"/>
      <c r="AAX182" s="18"/>
      <c r="AAY182" s="18"/>
      <c r="AAZ182" s="18"/>
      <c r="ABA182" s="18"/>
      <c r="ABB182" s="18"/>
      <c r="ABC182" s="18"/>
      <c r="ABD182" s="18"/>
      <c r="ABE182" s="18"/>
      <c r="ABF182" s="18"/>
      <c r="ABG182" s="18"/>
      <c r="ABH182" s="18"/>
      <c r="ABI182" s="18"/>
      <c r="ABJ182" s="18"/>
      <c r="ABK182" s="18"/>
      <c r="ABL182" s="18"/>
      <c r="ABM182" s="18"/>
      <c r="ABN182" s="18"/>
      <c r="ABO182" s="18"/>
      <c r="ABP182" s="18"/>
      <c r="ABQ182" s="18"/>
      <c r="ABR182" s="18"/>
      <c r="ABS182" s="18"/>
      <c r="ABT182" s="18"/>
      <c r="ABU182" s="18"/>
      <c r="ABV182" s="18"/>
      <c r="ABW182" s="18"/>
      <c r="ABX182" s="18"/>
      <c r="ABY182" s="18"/>
      <c r="ABZ182" s="18"/>
      <c r="ACA182" s="18"/>
      <c r="ACB182" s="18"/>
      <c r="ACC182" s="18"/>
      <c r="ACD182" s="18"/>
      <c r="ACE182" s="18"/>
      <c r="ACF182" s="18"/>
      <c r="ACG182" s="18"/>
      <c r="ACH182" s="18"/>
      <c r="ACI182" s="18"/>
      <c r="ACJ182" s="18"/>
      <c r="ACK182" s="18"/>
      <c r="ACL182" s="18"/>
      <c r="ACM182" s="18"/>
      <c r="ACN182" s="18"/>
      <c r="ACO182" s="18"/>
      <c r="ACP182" s="18"/>
      <c r="ACQ182" s="18"/>
      <c r="ACR182" s="18"/>
      <c r="ACS182" s="18"/>
      <c r="ACT182" s="18"/>
      <c r="ACU182" s="18"/>
      <c r="ACV182" s="18"/>
      <c r="ACW182" s="18"/>
      <c r="ACX182" s="18"/>
      <c r="ACY182" s="18"/>
      <c r="ACZ182" s="18"/>
      <c r="ADA182" s="18"/>
      <c r="ADB182" s="18"/>
      <c r="ADC182" s="18"/>
      <c r="ADD182" s="18"/>
      <c r="ADE182" s="18"/>
      <c r="ADF182" s="18"/>
      <c r="ADG182" s="18"/>
      <c r="ADH182" s="18"/>
      <c r="ADI182" s="18"/>
      <c r="ADJ182" s="18"/>
      <c r="ADK182" s="18"/>
      <c r="ADL182" s="18"/>
      <c r="ADM182" s="18"/>
      <c r="ADN182" s="18"/>
      <c r="ADO182" s="18"/>
      <c r="ADP182" s="18"/>
      <c r="ADQ182" s="18"/>
      <c r="ADR182" s="18"/>
      <c r="ADS182" s="18"/>
      <c r="ADT182" s="18"/>
      <c r="ADU182" s="18"/>
      <c r="ADV182" s="18"/>
      <c r="ADW182" s="18"/>
      <c r="ADX182" s="18"/>
      <c r="ADY182" s="18"/>
      <c r="ADZ182" s="18"/>
      <c r="AEA182" s="18"/>
      <c r="AEB182" s="18"/>
      <c r="AEC182" s="18"/>
      <c r="AED182" s="18"/>
      <c r="AEE182" s="18"/>
      <c r="AEF182" s="18"/>
      <c r="AEG182" s="18"/>
      <c r="AEH182" s="18"/>
      <c r="AEI182" s="18"/>
      <c r="AEJ182" s="18"/>
      <c r="AEK182" s="18"/>
      <c r="AEL182" s="18"/>
      <c r="AEM182" s="18"/>
      <c r="AEN182" s="18"/>
      <c r="AEO182" s="18"/>
      <c r="AEP182" s="18"/>
      <c r="AEQ182" s="18"/>
      <c r="AER182" s="18"/>
      <c r="AES182" s="18"/>
      <c r="AET182" s="18"/>
      <c r="AEU182" s="18"/>
      <c r="AEV182" s="18"/>
      <c r="AEW182" s="18"/>
      <c r="AEX182" s="18"/>
      <c r="AEY182" s="18"/>
      <c r="AEZ182" s="18"/>
      <c r="AFA182" s="18"/>
      <c r="AFB182" s="18"/>
      <c r="AFC182" s="18"/>
      <c r="AFD182" s="18"/>
      <c r="AFE182" s="18"/>
      <c r="AFF182" s="18"/>
      <c r="AFG182" s="18"/>
      <c r="AFH182" s="18"/>
      <c r="AFI182" s="18"/>
      <c r="AFJ182" s="18"/>
      <c r="AFK182" s="18"/>
      <c r="AFL182" s="18"/>
      <c r="AFM182" s="18"/>
      <c r="AFN182" s="18"/>
      <c r="AFO182" s="18"/>
      <c r="AFP182" s="18"/>
      <c r="AFQ182" s="18"/>
      <c r="AFR182" s="18"/>
      <c r="AFS182" s="18"/>
      <c r="AFT182" s="18"/>
      <c r="AFU182" s="18"/>
      <c r="AFV182" s="18"/>
      <c r="AFW182" s="18"/>
      <c r="AFX182" s="18"/>
      <c r="AFY182" s="18"/>
      <c r="AFZ182" s="18"/>
      <c r="AGA182" s="18"/>
      <c r="AGB182" s="18"/>
      <c r="AGC182" s="18"/>
      <c r="AGD182" s="18"/>
      <c r="AGE182" s="18"/>
      <c r="AGF182" s="18"/>
      <c r="AGG182" s="18"/>
      <c r="AGH182" s="18"/>
      <c r="AGI182" s="18"/>
      <c r="AGJ182" s="18"/>
      <c r="AGK182" s="18"/>
      <c r="AGL182" s="18"/>
      <c r="AGM182" s="18"/>
      <c r="AGN182" s="18"/>
      <c r="AGO182" s="18"/>
      <c r="AGP182" s="18"/>
      <c r="AGQ182" s="18"/>
      <c r="AGR182" s="18"/>
      <c r="AGS182" s="18"/>
      <c r="AGT182" s="18"/>
      <c r="AGU182" s="18"/>
      <c r="AGV182" s="18"/>
      <c r="AGW182" s="18"/>
      <c r="AGX182" s="18"/>
      <c r="AGY182" s="18"/>
      <c r="AGZ182" s="18"/>
      <c r="AHA182" s="18"/>
      <c r="AHB182" s="18"/>
      <c r="AHC182" s="18"/>
      <c r="AHD182" s="18"/>
      <c r="AHE182" s="18"/>
      <c r="AHF182" s="18"/>
      <c r="AHG182" s="18"/>
      <c r="AHH182" s="18"/>
      <c r="AHI182" s="18"/>
      <c r="AHJ182" s="18"/>
      <c r="AHK182" s="18"/>
      <c r="AHL182" s="18"/>
      <c r="AHM182" s="18"/>
      <c r="AHN182" s="18"/>
      <c r="AHO182" s="18"/>
      <c r="AHP182" s="18"/>
      <c r="AHQ182" s="18"/>
      <c r="AHR182" s="18"/>
      <c r="AHS182" s="18"/>
      <c r="AHT182" s="18"/>
      <c r="AHU182" s="18"/>
      <c r="AHV182" s="18"/>
      <c r="AHW182" s="18"/>
      <c r="AHX182" s="18"/>
      <c r="AHY182" s="18"/>
      <c r="AHZ182" s="18"/>
      <c r="AIA182" s="18"/>
      <c r="AIB182" s="18"/>
      <c r="AIC182" s="18"/>
      <c r="AID182" s="18"/>
      <c r="AIE182" s="18"/>
      <c r="AIF182" s="18"/>
      <c r="AIG182" s="18"/>
      <c r="AIH182" s="18"/>
      <c r="AII182" s="18"/>
      <c r="AIJ182" s="18"/>
      <c r="AIK182" s="18"/>
      <c r="AIL182" s="18"/>
      <c r="AIM182" s="18"/>
      <c r="AIN182" s="18"/>
      <c r="AIO182" s="18"/>
      <c r="AIP182" s="18"/>
      <c r="AIQ182" s="18"/>
      <c r="AIR182" s="18"/>
      <c r="AIS182" s="18"/>
      <c r="AIT182" s="18"/>
      <c r="AIU182" s="18"/>
      <c r="AIV182" s="18"/>
      <c r="AIW182" s="18"/>
      <c r="AIX182" s="18"/>
      <c r="AIY182" s="18"/>
      <c r="AIZ182" s="18"/>
      <c r="AJA182" s="18"/>
      <c r="AJB182" s="18"/>
      <c r="AJC182" s="18"/>
      <c r="AJD182" s="18"/>
      <c r="AJE182" s="18"/>
      <c r="AJF182" s="18"/>
      <c r="AJG182" s="18"/>
      <c r="AJH182" s="18"/>
      <c r="AJI182" s="18"/>
      <c r="AJJ182" s="18"/>
      <c r="AJK182" s="18"/>
      <c r="AJL182" s="18"/>
      <c r="AJM182" s="18"/>
      <c r="AJN182" s="18"/>
      <c r="AJO182" s="18"/>
      <c r="AJP182" s="18"/>
      <c r="AJQ182" s="18"/>
      <c r="AJR182" s="18"/>
      <c r="AJS182" s="18"/>
      <c r="AJT182" s="18"/>
      <c r="AJU182" s="18"/>
      <c r="AJV182" s="18"/>
      <c r="AJW182" s="18"/>
      <c r="AJX182" s="18"/>
      <c r="AJY182" s="18"/>
      <c r="AJZ182" s="18"/>
      <c r="AKA182" s="18"/>
      <c r="AKB182" s="18"/>
      <c r="AKC182" s="18"/>
      <c r="AKD182" s="18"/>
      <c r="AKE182" s="18"/>
      <c r="AKF182" s="18"/>
      <c r="AKG182" s="18"/>
      <c r="AKH182" s="18"/>
      <c r="AKI182" s="18"/>
      <c r="AKJ182" s="18"/>
      <c r="AKK182" s="18"/>
      <c r="AKL182" s="18"/>
      <c r="AKM182" s="18"/>
      <c r="AKN182" s="18"/>
      <c r="AKO182" s="18"/>
      <c r="AKP182" s="18"/>
      <c r="AKQ182" s="18"/>
      <c r="AKR182" s="18"/>
      <c r="AKS182" s="18"/>
      <c r="AKT182" s="18"/>
      <c r="AKU182" s="18"/>
      <c r="AKV182" s="18"/>
      <c r="AKW182" s="18"/>
      <c r="AKX182" s="18"/>
      <c r="AKY182" s="18"/>
      <c r="AKZ182" s="18"/>
      <c r="ALA182" s="18"/>
      <c r="ALB182" s="18"/>
      <c r="ALC182" s="18"/>
      <c r="ALD182" s="18"/>
      <c r="ALE182" s="18"/>
      <c r="ALF182" s="18"/>
      <c r="ALG182" s="18"/>
      <c r="ALH182" s="18"/>
      <c r="ALI182" s="18"/>
      <c r="ALJ182" s="18"/>
      <c r="ALK182" s="18"/>
      <c r="ALL182" s="18"/>
      <c r="ALM182" s="18"/>
      <c r="ALN182" s="18"/>
      <c r="ALO182" s="18"/>
      <c r="ALP182" s="18"/>
      <c r="ALQ182" s="18"/>
      <c r="ALR182" s="18"/>
      <c r="ALS182" s="18"/>
      <c r="ALT182" s="18"/>
      <c r="ALU182" s="18"/>
      <c r="ALV182" s="18"/>
      <c r="ALW182" s="18"/>
      <c r="ALX182" s="18"/>
      <c r="ALY182" s="18"/>
      <c r="ALZ182" s="18"/>
      <c r="AMA182" s="18"/>
      <c r="AMB182" s="18"/>
      <c r="AMC182" s="18"/>
      <c r="AMD182" s="18"/>
      <c r="AME182" s="18"/>
      <c r="AMF182" s="18"/>
      <c r="AMG182" s="18"/>
      <c r="AMH182" s="18"/>
      <c r="AMI182" s="18"/>
      <c r="AMJ182" s="18"/>
      <c r="AMK182" s="18"/>
      <c r="AML182" s="18"/>
      <c r="AMM182" s="18"/>
    </row>
    <row r="183" spans="1:1027" s="18" customFormat="1" x14ac:dyDescent="0.2">
      <c r="A183" s="18">
        <v>3</v>
      </c>
      <c r="B183" s="18" t="s">
        <v>751</v>
      </c>
      <c r="C183" s="18" t="s">
        <v>752</v>
      </c>
      <c r="D183" s="18">
        <v>220</v>
      </c>
      <c r="E183" s="19" t="s">
        <v>507</v>
      </c>
      <c r="F183" s="19" t="s">
        <v>507</v>
      </c>
      <c r="G183" s="20" t="s">
        <v>508</v>
      </c>
      <c r="H183" s="19" t="s">
        <v>507</v>
      </c>
      <c r="I183" s="19"/>
      <c r="J183" s="32" t="s">
        <v>507</v>
      </c>
      <c r="K183" s="21" t="s">
        <v>509</v>
      </c>
      <c r="M183" s="1" t="s">
        <v>598</v>
      </c>
      <c r="N183" s="1"/>
      <c r="O183" s="1"/>
      <c r="P183" s="1"/>
      <c r="Q183" s="1"/>
      <c r="R183" s="1"/>
      <c r="S183" s="13"/>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spans="1:1027" s="18" customFormat="1" x14ac:dyDescent="0.2">
      <c r="A184" s="18">
        <v>3</v>
      </c>
      <c r="B184" s="18" t="s">
        <v>753</v>
      </c>
      <c r="C184" s="18" t="s">
        <v>754</v>
      </c>
      <c r="D184" s="18">
        <v>83</v>
      </c>
      <c r="E184" s="19" t="s">
        <v>507</v>
      </c>
      <c r="F184" s="19" t="s">
        <v>507</v>
      </c>
      <c r="G184" s="20" t="s">
        <v>508</v>
      </c>
      <c r="H184" s="19" t="s">
        <v>507</v>
      </c>
      <c r="I184" s="19"/>
      <c r="J184" s="32" t="s">
        <v>507</v>
      </c>
      <c r="K184" s="21" t="s">
        <v>509</v>
      </c>
      <c r="M184" s="1" t="s">
        <v>598</v>
      </c>
      <c r="N184" s="1"/>
      <c r="O184" s="1"/>
      <c r="P184" s="1"/>
      <c r="Q184" s="1"/>
      <c r="R184" s="1"/>
      <c r="S184" s="13"/>
      <c r="T184" s="6"/>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spans="1:1027" s="18" customFormat="1" x14ac:dyDescent="0.2">
      <c r="A185" s="18" t="s">
        <v>504</v>
      </c>
      <c r="B185" s="18" t="s">
        <v>755</v>
      </c>
      <c r="D185" s="18">
        <v>28</v>
      </c>
      <c r="E185" s="19" t="s">
        <v>506</v>
      </c>
      <c r="F185" s="19" t="s">
        <v>507</v>
      </c>
      <c r="G185" s="20" t="s">
        <v>508</v>
      </c>
      <c r="H185" s="19" t="s">
        <v>507</v>
      </c>
      <c r="I185" s="19"/>
      <c r="J185" s="32" t="s">
        <v>507</v>
      </c>
      <c r="K185" s="21" t="s">
        <v>509</v>
      </c>
      <c r="M185" s="1" t="s">
        <v>598</v>
      </c>
      <c r="N185" s="1"/>
      <c r="S185" s="13"/>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spans="1:1027" s="18" customFormat="1" x14ac:dyDescent="0.2">
      <c r="A186" s="18">
        <v>2</v>
      </c>
      <c r="B186" s="18" t="s">
        <v>298</v>
      </c>
      <c r="C186" s="18" t="s">
        <v>300</v>
      </c>
      <c r="D186" s="18">
        <v>71</v>
      </c>
      <c r="E186" s="19" t="s">
        <v>507</v>
      </c>
      <c r="F186" s="19" t="s">
        <v>507</v>
      </c>
      <c r="G186" s="20" t="s">
        <v>508</v>
      </c>
      <c r="H186" s="19" t="s">
        <v>507</v>
      </c>
      <c r="I186" s="19" t="s">
        <v>507</v>
      </c>
      <c r="J186" s="19" t="s">
        <v>507</v>
      </c>
      <c r="K186" s="21" t="s">
        <v>509</v>
      </c>
      <c r="M186" s="1" t="s">
        <v>739</v>
      </c>
      <c r="N186" s="1"/>
      <c r="S186" s="13"/>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spans="1:1027" s="18" customFormat="1" x14ac:dyDescent="0.2">
      <c r="A187" s="18">
        <v>1</v>
      </c>
      <c r="B187" s="18" t="s">
        <v>127</v>
      </c>
      <c r="D187" s="18">
        <v>19</v>
      </c>
      <c r="E187" s="42" t="s">
        <v>507</v>
      </c>
      <c r="F187" s="42" t="s">
        <v>507</v>
      </c>
      <c r="G187" s="43" t="s">
        <v>507</v>
      </c>
      <c r="H187" s="42" t="s">
        <v>507</v>
      </c>
      <c r="I187" s="42"/>
      <c r="J187" s="67" t="s">
        <v>507</v>
      </c>
      <c r="K187" s="21" t="s">
        <v>509</v>
      </c>
      <c r="M187" s="1" t="s">
        <v>598</v>
      </c>
      <c r="N187" s="1"/>
      <c r="S187" s="13"/>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spans="1:1027" s="18" customFormat="1" x14ac:dyDescent="0.2">
      <c r="A188" s="18">
        <v>2</v>
      </c>
      <c r="B188" s="18" t="s">
        <v>302</v>
      </c>
      <c r="C188" s="18" t="s">
        <v>304</v>
      </c>
      <c r="D188" s="18">
        <v>30</v>
      </c>
      <c r="E188" s="42" t="s">
        <v>507</v>
      </c>
      <c r="F188" s="42" t="s">
        <v>507</v>
      </c>
      <c r="G188" s="43" t="s">
        <v>508</v>
      </c>
      <c r="H188" s="42" t="s">
        <v>507</v>
      </c>
      <c r="I188" s="42"/>
      <c r="J188" s="67" t="s">
        <v>507</v>
      </c>
      <c r="K188" s="21" t="s">
        <v>509</v>
      </c>
      <c r="M188" s="1" t="s">
        <v>598</v>
      </c>
      <c r="N188" s="1"/>
      <c r="S188" s="13"/>
      <c r="T188" s="1"/>
      <c r="U188" s="1"/>
      <c r="V188" s="1"/>
      <c r="W188" s="1"/>
      <c r="X188" s="1"/>
      <c r="Y188" s="1"/>
      <c r="Z188" s="1"/>
      <c r="AA188" s="30"/>
      <c r="AB188" s="30"/>
      <c r="AC188" s="1"/>
      <c r="AD188" s="33"/>
      <c r="AE188" s="33"/>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row>
    <row r="189" spans="1:1027" s="18" customFormat="1" x14ac:dyDescent="0.2">
      <c r="A189" s="18">
        <v>1</v>
      </c>
      <c r="B189" s="18" t="s">
        <v>756</v>
      </c>
      <c r="D189" s="18">
        <v>217</v>
      </c>
      <c r="E189" s="42" t="s">
        <v>507</v>
      </c>
      <c r="F189" s="42" t="s">
        <v>507</v>
      </c>
      <c r="G189" s="43" t="s">
        <v>611</v>
      </c>
      <c r="H189" s="42" t="s">
        <v>507</v>
      </c>
      <c r="I189" s="42" t="s">
        <v>507</v>
      </c>
      <c r="J189" s="42" t="s">
        <v>507</v>
      </c>
      <c r="K189" s="21" t="s">
        <v>509</v>
      </c>
      <c r="M189" s="1" t="s">
        <v>609</v>
      </c>
      <c r="N189" s="1"/>
      <c r="S189" s="13"/>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spans="1:1027" s="18" customFormat="1" x14ac:dyDescent="0.2">
      <c r="A190" s="18" t="s">
        <v>504</v>
      </c>
      <c r="B190" s="18" t="s">
        <v>757</v>
      </c>
      <c r="D190" s="18">
        <v>80</v>
      </c>
      <c r="E190" s="42" t="s">
        <v>506</v>
      </c>
      <c r="F190" s="19" t="s">
        <v>507</v>
      </c>
      <c r="G190" s="20" t="s">
        <v>508</v>
      </c>
      <c r="H190" s="19" t="s">
        <v>507</v>
      </c>
      <c r="I190" s="19" t="s">
        <v>507</v>
      </c>
      <c r="J190" s="19" t="s">
        <v>507</v>
      </c>
      <c r="K190" s="21" t="s">
        <v>509</v>
      </c>
      <c r="M190" s="1" t="s">
        <v>609</v>
      </c>
      <c r="N190" s="1"/>
      <c r="S190" s="13"/>
      <c r="T190" s="1"/>
      <c r="U190" s="33"/>
      <c r="V190" s="33"/>
      <c r="W190" s="33"/>
      <c r="X190" s="33"/>
      <c r="Y190" s="33"/>
      <c r="Z190" s="33"/>
      <c r="AA190" s="30"/>
      <c r="AB190" s="30"/>
      <c r="AC190" s="33"/>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AMM190"/>
    </row>
    <row r="191" spans="1:1027" x14ac:dyDescent="0.2">
      <c r="A191" s="18" t="s">
        <v>504</v>
      </c>
      <c r="B191" s="18" t="s">
        <v>758</v>
      </c>
      <c r="C191" s="18"/>
      <c r="D191" s="18">
        <v>41</v>
      </c>
      <c r="E191" s="42" t="s">
        <v>506</v>
      </c>
      <c r="F191" s="19" t="s">
        <v>507</v>
      </c>
      <c r="G191" s="20" t="s">
        <v>508</v>
      </c>
      <c r="H191" s="19" t="s">
        <v>507</v>
      </c>
      <c r="I191" s="19" t="s">
        <v>507</v>
      </c>
      <c r="J191" s="19" t="s">
        <v>507</v>
      </c>
      <c r="K191" s="21" t="s">
        <v>509</v>
      </c>
      <c r="L191" s="18"/>
      <c r="M191" s="1" t="s">
        <v>609</v>
      </c>
      <c r="O191" s="18"/>
      <c r="P191" s="18"/>
      <c r="Q191" s="18"/>
      <c r="R191" s="18"/>
      <c r="AA191" s="30"/>
      <c r="AB191" s="30"/>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c r="IV191" s="33"/>
      <c r="IW191" s="33"/>
      <c r="IX191" s="33"/>
      <c r="IY191" s="33"/>
      <c r="IZ191" s="33"/>
      <c r="JA191" s="33"/>
      <c r="JB191" s="33"/>
      <c r="JC191" s="33"/>
      <c r="JD191" s="33"/>
      <c r="JE191" s="33"/>
      <c r="JF191" s="33"/>
      <c r="JG191" s="33"/>
      <c r="JH191" s="33"/>
      <c r="JI191" s="33"/>
      <c r="JJ191" s="33"/>
      <c r="JK191" s="33"/>
      <c r="JL191" s="33"/>
      <c r="JM191" s="33"/>
      <c r="JN191" s="33"/>
      <c r="JO191" s="33"/>
      <c r="JP191" s="33"/>
      <c r="JQ191" s="33"/>
      <c r="JR191" s="33"/>
      <c r="JS191" s="33"/>
      <c r="JT191" s="33"/>
      <c r="JU191" s="33"/>
      <c r="JV191" s="33"/>
      <c r="JW191" s="33"/>
      <c r="JX191" s="33"/>
      <c r="JY191" s="33"/>
      <c r="JZ191" s="33"/>
      <c r="KA191" s="33"/>
      <c r="KB191" s="33"/>
      <c r="KC191" s="33"/>
      <c r="KD191" s="33"/>
      <c r="KE191" s="33"/>
      <c r="KF191" s="33"/>
      <c r="KG191" s="33"/>
      <c r="KH191" s="33"/>
      <c r="KI191" s="33"/>
      <c r="KJ191" s="33"/>
      <c r="KK191" s="33"/>
      <c r="KL191" s="33"/>
      <c r="KM191" s="33"/>
      <c r="KN191" s="33"/>
      <c r="KO191" s="33"/>
      <c r="KP191" s="33"/>
      <c r="KQ191" s="33"/>
      <c r="KR191" s="33"/>
      <c r="KS191" s="33"/>
      <c r="KT191" s="33"/>
      <c r="KU191" s="33"/>
      <c r="KV191" s="33"/>
      <c r="KW191" s="33"/>
      <c r="KX191" s="33"/>
      <c r="KY191" s="33"/>
      <c r="KZ191" s="33"/>
      <c r="LA191" s="33"/>
      <c r="LB191" s="33"/>
      <c r="LC191" s="33"/>
      <c r="LD191" s="33"/>
      <c r="LE191" s="33"/>
      <c r="LF191" s="33"/>
      <c r="LG191" s="33"/>
      <c r="LH191" s="33"/>
      <c r="LI191" s="33"/>
      <c r="LJ191" s="33"/>
      <c r="LK191" s="33"/>
      <c r="LL191" s="33"/>
      <c r="LM191" s="33"/>
      <c r="LN191" s="33"/>
      <c r="LO191" s="33"/>
      <c r="LP191" s="33"/>
      <c r="LQ191" s="33"/>
      <c r="LR191" s="33"/>
      <c r="LS191" s="33"/>
      <c r="LT191" s="33"/>
      <c r="LU191" s="33"/>
      <c r="LV191" s="33"/>
      <c r="LW191" s="33"/>
      <c r="LX191" s="33"/>
      <c r="LY191" s="33"/>
      <c r="LZ191" s="33"/>
      <c r="MA191" s="33"/>
      <c r="MB191" s="33"/>
      <c r="MC191" s="33"/>
      <c r="MD191" s="33"/>
      <c r="ME191" s="33"/>
      <c r="MF191" s="33"/>
      <c r="MG191" s="33"/>
      <c r="MH191" s="33"/>
      <c r="MI191" s="33"/>
      <c r="MJ191" s="33"/>
      <c r="MK191" s="33"/>
      <c r="ML191" s="33"/>
      <c r="MM191" s="33"/>
      <c r="MN191" s="33"/>
      <c r="MO191" s="33"/>
      <c r="MP191" s="33"/>
      <c r="MQ191" s="33"/>
      <c r="MR191" s="33"/>
      <c r="MS191" s="33"/>
      <c r="MT191" s="33"/>
      <c r="MU191" s="33"/>
      <c r="MV191" s="33"/>
      <c r="MW191" s="33"/>
      <c r="MX191" s="33"/>
      <c r="MY191" s="33"/>
      <c r="MZ191" s="33"/>
      <c r="NA191" s="33"/>
      <c r="NB191" s="33"/>
      <c r="NC191" s="33"/>
      <c r="ND191" s="33"/>
      <c r="NE191" s="33"/>
      <c r="NF191" s="33"/>
      <c r="NG191" s="33"/>
      <c r="NH191" s="33"/>
      <c r="NI191" s="33"/>
      <c r="NJ191" s="33"/>
      <c r="NK191" s="33"/>
      <c r="NL191" s="33"/>
      <c r="NM191" s="33"/>
      <c r="NN191" s="33"/>
      <c r="NO191" s="33"/>
      <c r="NP191" s="33"/>
      <c r="NQ191" s="33"/>
      <c r="NR191" s="33"/>
      <c r="NS191" s="33"/>
      <c r="NT191" s="33"/>
      <c r="NU191" s="33"/>
      <c r="NV191" s="33"/>
      <c r="NW191" s="33"/>
      <c r="NX191" s="33"/>
      <c r="NY191" s="33"/>
      <c r="NZ191" s="33"/>
      <c r="OA191" s="33"/>
      <c r="OB191" s="33"/>
      <c r="OC191" s="33"/>
      <c r="OD191" s="33"/>
      <c r="OE191" s="33"/>
      <c r="OF191" s="33"/>
      <c r="OG191" s="33"/>
      <c r="OH191" s="33"/>
      <c r="OI191" s="33"/>
      <c r="OJ191" s="33"/>
      <c r="OK191" s="33"/>
      <c r="OL191" s="33"/>
      <c r="OM191" s="33"/>
      <c r="ON191" s="33"/>
      <c r="OO191" s="33"/>
      <c r="OP191" s="33"/>
      <c r="OQ191" s="33"/>
      <c r="OR191" s="33"/>
      <c r="OS191" s="33"/>
      <c r="OT191" s="33"/>
      <c r="OU191" s="33"/>
      <c r="OV191" s="33"/>
      <c r="OW191" s="33"/>
      <c r="OX191" s="33"/>
      <c r="OY191" s="33"/>
      <c r="OZ191" s="33"/>
      <c r="PA191" s="33"/>
      <c r="PB191" s="33"/>
      <c r="PC191" s="33"/>
      <c r="PD191" s="33"/>
      <c r="PE191" s="33"/>
      <c r="PF191" s="33"/>
      <c r="PG191" s="33"/>
      <c r="PH191" s="33"/>
      <c r="PI191" s="33"/>
      <c r="PJ191" s="33"/>
      <c r="PK191" s="33"/>
      <c r="PL191" s="33"/>
      <c r="PM191" s="33"/>
      <c r="PN191" s="33"/>
      <c r="PO191" s="33"/>
      <c r="PP191" s="33"/>
      <c r="PQ191" s="33"/>
      <c r="PR191" s="33"/>
      <c r="PS191" s="33"/>
      <c r="PT191" s="33"/>
      <c r="PU191" s="33"/>
      <c r="PV191" s="33"/>
      <c r="PW191" s="33"/>
      <c r="PX191" s="33"/>
      <c r="PY191" s="33"/>
      <c r="PZ191" s="33"/>
      <c r="QA191" s="33"/>
      <c r="QB191" s="33"/>
      <c r="QC191" s="33"/>
      <c r="QD191" s="33"/>
      <c r="QE191" s="33"/>
      <c r="QF191" s="33"/>
      <c r="QG191" s="33"/>
      <c r="QH191" s="33"/>
      <c r="QI191" s="33"/>
      <c r="QJ191" s="33"/>
      <c r="QK191" s="33"/>
      <c r="QL191" s="33"/>
      <c r="QM191" s="33"/>
      <c r="QN191" s="33"/>
      <c r="QO191" s="33"/>
      <c r="QP191" s="33"/>
      <c r="QQ191" s="33"/>
      <c r="QR191" s="33"/>
      <c r="QS191" s="33"/>
      <c r="QT191" s="33"/>
      <c r="QU191" s="33"/>
      <c r="QV191" s="33"/>
      <c r="QW191" s="33"/>
      <c r="QX191" s="33"/>
      <c r="QY191" s="33"/>
      <c r="QZ191" s="33"/>
      <c r="RA191" s="33"/>
      <c r="RB191" s="33"/>
      <c r="RC191" s="33"/>
      <c r="RD191" s="33"/>
      <c r="RE191" s="33"/>
      <c r="RF191" s="33"/>
      <c r="RG191" s="33"/>
      <c r="RH191" s="33"/>
      <c r="RI191" s="33"/>
      <c r="RJ191" s="33"/>
      <c r="RK191" s="33"/>
      <c r="RL191" s="33"/>
      <c r="RM191" s="33"/>
      <c r="RN191" s="33"/>
      <c r="RO191" s="33"/>
      <c r="RP191" s="33"/>
      <c r="RQ191" s="33"/>
      <c r="RR191" s="33"/>
      <c r="RS191" s="33"/>
      <c r="RT191" s="33"/>
      <c r="RU191" s="33"/>
      <c r="RV191" s="33"/>
      <c r="RW191" s="33"/>
      <c r="RX191" s="33"/>
      <c r="RY191" s="33"/>
      <c r="RZ191" s="33"/>
      <c r="SA191" s="33"/>
      <c r="SB191" s="33"/>
      <c r="SC191" s="33"/>
      <c r="SD191" s="33"/>
      <c r="SE191" s="33"/>
      <c r="SF191" s="33"/>
      <c r="SG191" s="33"/>
      <c r="SH191" s="33"/>
      <c r="SI191" s="33"/>
      <c r="SJ191" s="33"/>
      <c r="SK191" s="33"/>
      <c r="SL191" s="33"/>
      <c r="SM191" s="33"/>
      <c r="SN191" s="33"/>
      <c r="SO191" s="33"/>
      <c r="SP191" s="33"/>
      <c r="SQ191" s="33"/>
      <c r="SR191" s="33"/>
      <c r="SS191" s="33"/>
      <c r="ST191" s="33"/>
      <c r="SU191" s="33"/>
      <c r="SV191" s="33"/>
      <c r="SW191" s="33"/>
      <c r="SX191" s="33"/>
      <c r="SY191" s="33"/>
      <c r="SZ191" s="33"/>
      <c r="TA191" s="33"/>
      <c r="TB191" s="33"/>
      <c r="TC191" s="33"/>
      <c r="TD191" s="33"/>
      <c r="TE191" s="33"/>
      <c r="TF191" s="33"/>
      <c r="TG191" s="33"/>
      <c r="TH191" s="33"/>
      <c r="TI191" s="33"/>
      <c r="TJ191" s="33"/>
      <c r="TK191" s="33"/>
      <c r="TL191" s="33"/>
      <c r="TM191" s="33"/>
      <c r="TN191" s="33"/>
      <c r="TO191" s="33"/>
      <c r="TP191" s="33"/>
      <c r="TQ191" s="33"/>
      <c r="TR191" s="33"/>
      <c r="TS191" s="33"/>
      <c r="TT191" s="33"/>
      <c r="TU191" s="33"/>
      <c r="TV191" s="33"/>
      <c r="TW191" s="33"/>
      <c r="TX191" s="33"/>
      <c r="TY191" s="33"/>
      <c r="TZ191" s="33"/>
      <c r="UA191" s="33"/>
      <c r="UB191" s="33"/>
      <c r="UC191" s="33"/>
      <c r="UD191" s="33"/>
      <c r="UE191" s="33"/>
      <c r="UF191" s="33"/>
      <c r="UG191" s="33"/>
      <c r="UH191" s="33"/>
      <c r="UI191" s="33"/>
      <c r="UJ191" s="33"/>
      <c r="UK191" s="33"/>
      <c r="UL191" s="33"/>
      <c r="UM191" s="33"/>
      <c r="UN191" s="33"/>
      <c r="UO191" s="33"/>
      <c r="UP191" s="33"/>
      <c r="UQ191" s="33"/>
      <c r="UR191" s="33"/>
      <c r="US191" s="33"/>
      <c r="UT191" s="33"/>
      <c r="UU191" s="33"/>
      <c r="UV191" s="33"/>
      <c r="UW191" s="33"/>
      <c r="UX191" s="33"/>
      <c r="UY191" s="33"/>
      <c r="UZ191" s="33"/>
      <c r="VA191" s="33"/>
      <c r="VB191" s="33"/>
      <c r="VC191" s="33"/>
      <c r="VD191" s="33"/>
      <c r="VE191" s="33"/>
      <c r="VF191" s="33"/>
      <c r="VG191" s="33"/>
      <c r="VH191" s="33"/>
      <c r="VI191" s="33"/>
      <c r="VJ191" s="33"/>
      <c r="VK191" s="33"/>
      <c r="VL191" s="33"/>
      <c r="VM191" s="33"/>
      <c r="VN191" s="33"/>
      <c r="VO191" s="33"/>
      <c r="VP191" s="33"/>
      <c r="VQ191" s="33"/>
      <c r="VR191" s="33"/>
      <c r="VS191" s="33"/>
      <c r="VT191" s="33"/>
      <c r="VU191" s="33"/>
      <c r="VV191" s="33"/>
      <c r="VW191" s="33"/>
      <c r="VX191" s="33"/>
      <c r="VY191" s="33"/>
      <c r="VZ191" s="33"/>
      <c r="WA191" s="33"/>
      <c r="WB191" s="33"/>
      <c r="WC191" s="33"/>
      <c r="WD191" s="33"/>
      <c r="WE191" s="33"/>
      <c r="WF191" s="33"/>
      <c r="WG191" s="33"/>
      <c r="WH191" s="33"/>
      <c r="WI191" s="33"/>
      <c r="WJ191" s="33"/>
      <c r="WK191" s="33"/>
      <c r="WL191" s="33"/>
      <c r="WM191" s="33"/>
      <c r="WN191" s="33"/>
      <c r="WO191" s="33"/>
      <c r="WP191" s="33"/>
      <c r="WQ191" s="33"/>
      <c r="WR191" s="33"/>
      <c r="WS191" s="33"/>
      <c r="WT191" s="33"/>
      <c r="WU191" s="33"/>
      <c r="WV191" s="33"/>
      <c r="WW191" s="33"/>
      <c r="WX191" s="33"/>
      <c r="WY191" s="33"/>
      <c r="WZ191" s="33"/>
      <c r="XA191" s="33"/>
      <c r="XB191" s="33"/>
      <c r="XC191" s="33"/>
      <c r="XD191" s="33"/>
      <c r="XE191" s="33"/>
      <c r="XF191" s="33"/>
      <c r="XG191" s="33"/>
      <c r="XH191" s="33"/>
      <c r="XI191" s="33"/>
      <c r="XJ191" s="33"/>
      <c r="XK191" s="33"/>
      <c r="XL191" s="33"/>
      <c r="XM191" s="33"/>
      <c r="XN191" s="33"/>
      <c r="XO191" s="33"/>
      <c r="XP191" s="33"/>
      <c r="XQ191" s="33"/>
      <c r="XR191" s="33"/>
      <c r="XS191" s="33"/>
      <c r="XT191" s="33"/>
      <c r="XU191" s="33"/>
      <c r="XV191" s="33"/>
      <c r="XW191" s="33"/>
      <c r="XX191" s="33"/>
      <c r="XY191" s="33"/>
      <c r="XZ191" s="33"/>
      <c r="YA191" s="33"/>
      <c r="YB191" s="33"/>
      <c r="YC191" s="33"/>
      <c r="YD191" s="33"/>
      <c r="YE191" s="33"/>
      <c r="YF191" s="33"/>
      <c r="YG191" s="33"/>
      <c r="YH191" s="33"/>
      <c r="YI191" s="33"/>
      <c r="YJ191" s="33"/>
      <c r="YK191" s="33"/>
      <c r="YL191" s="33"/>
      <c r="YM191" s="33"/>
      <c r="YN191" s="33"/>
      <c r="YO191" s="33"/>
      <c r="YP191" s="33"/>
      <c r="YQ191" s="33"/>
      <c r="YR191" s="33"/>
      <c r="YS191" s="33"/>
      <c r="YT191" s="33"/>
      <c r="YU191" s="33"/>
      <c r="YV191" s="33"/>
      <c r="YW191" s="33"/>
      <c r="YX191" s="33"/>
      <c r="YY191" s="33"/>
      <c r="YZ191" s="33"/>
      <c r="ZA191" s="33"/>
      <c r="ZB191" s="33"/>
      <c r="ZC191" s="33"/>
      <c r="ZD191" s="33"/>
      <c r="ZE191" s="33"/>
      <c r="ZF191" s="33"/>
      <c r="ZG191" s="33"/>
      <c r="ZH191" s="33"/>
      <c r="ZI191" s="33"/>
      <c r="ZJ191" s="33"/>
      <c r="ZK191" s="33"/>
      <c r="ZL191" s="33"/>
      <c r="ZM191" s="33"/>
      <c r="ZN191" s="33"/>
      <c r="ZO191" s="33"/>
      <c r="ZP191" s="33"/>
      <c r="ZQ191" s="33"/>
      <c r="ZR191" s="33"/>
      <c r="ZS191" s="33"/>
      <c r="ZT191" s="33"/>
      <c r="ZU191" s="33"/>
      <c r="ZV191" s="33"/>
      <c r="ZW191" s="33"/>
      <c r="ZX191" s="33"/>
      <c r="ZY191" s="33"/>
      <c r="ZZ191" s="33"/>
      <c r="AAA191" s="33"/>
      <c r="AAB191" s="33"/>
      <c r="AAC191" s="33"/>
      <c r="AAD191" s="33"/>
      <c r="AAE191" s="33"/>
      <c r="AAF191" s="33"/>
      <c r="AAG191" s="33"/>
      <c r="AAH191" s="33"/>
      <c r="AAI191" s="33"/>
      <c r="AAJ191" s="33"/>
      <c r="AAK191" s="33"/>
      <c r="AAL191" s="33"/>
      <c r="AAM191" s="33"/>
      <c r="AAN191" s="33"/>
      <c r="AAO191" s="33"/>
      <c r="AAP191" s="33"/>
      <c r="AAQ191" s="33"/>
      <c r="AAR191" s="33"/>
      <c r="AAS191" s="33"/>
      <c r="AAT191" s="33"/>
      <c r="AAU191" s="33"/>
      <c r="AAV191" s="33"/>
      <c r="AAW191" s="33"/>
      <c r="AAX191" s="33"/>
      <c r="AAY191" s="33"/>
      <c r="AAZ191" s="33"/>
      <c r="ABA191" s="33"/>
      <c r="ABB191" s="33"/>
      <c r="ABC191" s="33"/>
      <c r="ABD191" s="33"/>
      <c r="ABE191" s="33"/>
      <c r="ABF191" s="33"/>
      <c r="ABG191" s="33"/>
      <c r="ABH191" s="33"/>
      <c r="ABI191" s="33"/>
      <c r="ABJ191" s="33"/>
      <c r="ABK191" s="33"/>
      <c r="ABL191" s="33"/>
      <c r="ABM191" s="33"/>
      <c r="ABN191" s="33"/>
      <c r="ABO191" s="33"/>
      <c r="ABP191" s="33"/>
      <c r="ABQ191" s="33"/>
      <c r="ABR191" s="33"/>
      <c r="ABS191" s="33"/>
      <c r="ABT191" s="33"/>
      <c r="ABU191" s="33"/>
      <c r="ABV191" s="33"/>
      <c r="ABW191" s="33"/>
      <c r="ABX191" s="33"/>
      <c r="ABY191" s="33"/>
      <c r="ABZ191" s="33"/>
      <c r="ACA191" s="33"/>
      <c r="ACB191" s="33"/>
      <c r="ACC191" s="33"/>
      <c r="ACD191" s="33"/>
      <c r="ACE191" s="33"/>
      <c r="ACF191" s="33"/>
      <c r="ACG191" s="33"/>
      <c r="ACH191" s="33"/>
      <c r="ACI191" s="33"/>
      <c r="ACJ191" s="33"/>
      <c r="ACK191" s="33"/>
      <c r="ACL191" s="33"/>
      <c r="ACM191" s="33"/>
      <c r="ACN191" s="33"/>
      <c r="ACO191" s="33"/>
      <c r="ACP191" s="33"/>
      <c r="ACQ191" s="33"/>
      <c r="ACR191" s="33"/>
      <c r="ACS191" s="33"/>
      <c r="ACT191" s="33"/>
      <c r="ACU191" s="33"/>
      <c r="ACV191" s="33"/>
      <c r="ACW191" s="33"/>
      <c r="ACX191" s="33"/>
      <c r="ACY191" s="33"/>
      <c r="ACZ191" s="33"/>
      <c r="ADA191" s="33"/>
      <c r="ADB191" s="33"/>
      <c r="ADC191" s="33"/>
      <c r="ADD191" s="33"/>
      <c r="ADE191" s="33"/>
      <c r="ADF191" s="33"/>
      <c r="ADG191" s="33"/>
      <c r="ADH191" s="33"/>
      <c r="ADI191" s="33"/>
      <c r="ADJ191" s="33"/>
      <c r="ADK191" s="33"/>
      <c r="ADL191" s="33"/>
      <c r="ADM191" s="33"/>
      <c r="ADN191" s="33"/>
      <c r="ADO191" s="33"/>
      <c r="ADP191" s="33"/>
      <c r="ADQ191" s="33"/>
      <c r="ADR191" s="33"/>
      <c r="ADS191" s="33"/>
      <c r="ADT191" s="33"/>
      <c r="ADU191" s="33"/>
      <c r="ADV191" s="33"/>
      <c r="ADW191" s="33"/>
      <c r="ADX191" s="33"/>
      <c r="ADY191" s="33"/>
      <c r="ADZ191" s="33"/>
      <c r="AEA191" s="33"/>
      <c r="AEB191" s="33"/>
      <c r="AEC191" s="33"/>
      <c r="AED191" s="33"/>
      <c r="AEE191" s="33"/>
      <c r="AEF191" s="33"/>
      <c r="AEG191" s="33"/>
      <c r="AEH191" s="33"/>
      <c r="AEI191" s="33"/>
      <c r="AEJ191" s="33"/>
      <c r="AEK191" s="33"/>
      <c r="AEL191" s="33"/>
      <c r="AEM191" s="33"/>
      <c r="AEN191" s="33"/>
      <c r="AEO191" s="33"/>
      <c r="AEP191" s="33"/>
      <c r="AEQ191" s="33"/>
      <c r="AER191" s="33"/>
      <c r="AES191" s="33"/>
      <c r="AET191" s="33"/>
      <c r="AEU191" s="33"/>
      <c r="AEV191" s="33"/>
      <c r="AEW191" s="33"/>
      <c r="AEX191" s="33"/>
      <c r="AEY191" s="33"/>
      <c r="AEZ191" s="33"/>
      <c r="AFA191" s="33"/>
      <c r="AFB191" s="33"/>
      <c r="AFC191" s="33"/>
      <c r="AFD191" s="33"/>
      <c r="AFE191" s="33"/>
      <c r="AFF191" s="33"/>
      <c r="AFG191" s="33"/>
      <c r="AFH191" s="33"/>
      <c r="AFI191" s="33"/>
      <c r="AFJ191" s="33"/>
      <c r="AFK191" s="33"/>
      <c r="AFL191" s="33"/>
      <c r="AFM191" s="33"/>
      <c r="AFN191" s="33"/>
      <c r="AFO191" s="33"/>
      <c r="AFP191" s="33"/>
      <c r="AFQ191" s="33"/>
      <c r="AFR191" s="33"/>
      <c r="AFS191" s="33"/>
      <c r="AFT191" s="33"/>
      <c r="AFU191" s="33"/>
      <c r="AFV191" s="33"/>
      <c r="AFW191" s="33"/>
      <c r="AFX191" s="33"/>
      <c r="AFY191" s="33"/>
      <c r="AFZ191" s="33"/>
      <c r="AGA191" s="33"/>
      <c r="AGB191" s="33"/>
      <c r="AGC191" s="33"/>
      <c r="AGD191" s="33"/>
      <c r="AGE191" s="33"/>
      <c r="AGF191" s="33"/>
      <c r="AGG191" s="33"/>
      <c r="AGH191" s="33"/>
      <c r="AGI191" s="33"/>
      <c r="AGJ191" s="33"/>
      <c r="AGK191" s="33"/>
      <c r="AGL191" s="33"/>
      <c r="AGM191" s="33"/>
      <c r="AGN191" s="33"/>
      <c r="AGO191" s="33"/>
      <c r="AGP191" s="33"/>
      <c r="AGQ191" s="33"/>
      <c r="AGR191" s="33"/>
      <c r="AGS191" s="33"/>
      <c r="AGT191" s="33"/>
      <c r="AGU191" s="33"/>
      <c r="AGV191" s="33"/>
      <c r="AGW191" s="33"/>
      <c r="AGX191" s="33"/>
      <c r="AGY191" s="33"/>
      <c r="AGZ191" s="33"/>
      <c r="AHA191" s="33"/>
      <c r="AHB191" s="33"/>
      <c r="AHC191" s="33"/>
      <c r="AHD191" s="33"/>
      <c r="AHE191" s="33"/>
      <c r="AHF191" s="33"/>
      <c r="AHG191" s="33"/>
      <c r="AHH191" s="33"/>
      <c r="AHI191" s="33"/>
      <c r="AHJ191" s="33"/>
      <c r="AHK191" s="33"/>
      <c r="AHL191" s="33"/>
      <c r="AHM191" s="33"/>
      <c r="AHN191" s="33"/>
      <c r="AHO191" s="33"/>
      <c r="AHP191" s="33"/>
      <c r="AHQ191" s="33"/>
      <c r="AHR191" s="33"/>
      <c r="AHS191" s="33"/>
      <c r="AHT191" s="33"/>
      <c r="AHU191" s="33"/>
      <c r="AHV191" s="33"/>
      <c r="AHW191" s="33"/>
      <c r="AHX191" s="33"/>
      <c r="AHY191" s="33"/>
      <c r="AHZ191" s="33"/>
      <c r="AIA191" s="33"/>
      <c r="AIB191" s="33"/>
      <c r="AIC191" s="33"/>
      <c r="AID191" s="33"/>
      <c r="AIE191" s="33"/>
      <c r="AIF191" s="33"/>
      <c r="AIG191" s="33"/>
      <c r="AIH191" s="33"/>
      <c r="AII191" s="33"/>
      <c r="AIJ191" s="33"/>
      <c r="AIK191" s="33"/>
      <c r="AIL191" s="33"/>
      <c r="AIM191" s="33"/>
      <c r="AIN191" s="33"/>
      <c r="AIO191" s="33"/>
      <c r="AIP191" s="33"/>
      <c r="AIQ191" s="33"/>
      <c r="AIR191" s="33"/>
      <c r="AIS191" s="33"/>
      <c r="AIT191" s="33"/>
      <c r="AIU191" s="33"/>
      <c r="AIV191" s="33"/>
      <c r="AIW191" s="33"/>
      <c r="AIX191" s="33"/>
      <c r="AIY191" s="33"/>
      <c r="AIZ191" s="33"/>
      <c r="AJA191" s="33"/>
      <c r="AJB191" s="33"/>
      <c r="AJC191" s="33"/>
      <c r="AJD191" s="33"/>
      <c r="AJE191" s="33"/>
      <c r="AJF191" s="33"/>
      <c r="AJG191" s="33"/>
      <c r="AJH191" s="33"/>
      <c r="AJI191" s="33"/>
      <c r="AJJ191" s="33"/>
      <c r="AJK191" s="33"/>
      <c r="AJL191" s="33"/>
      <c r="AJM191" s="33"/>
      <c r="AJN191" s="33"/>
      <c r="AJO191" s="33"/>
      <c r="AJP191" s="33"/>
      <c r="AJQ191" s="33"/>
      <c r="AJR191" s="33"/>
      <c r="AJS191" s="33"/>
      <c r="AJT191" s="33"/>
      <c r="AJU191" s="33"/>
      <c r="AJV191" s="33"/>
      <c r="AJW191" s="33"/>
      <c r="AJX191" s="33"/>
      <c r="AJY191" s="33"/>
      <c r="AJZ191" s="33"/>
      <c r="AKA191" s="33"/>
      <c r="AKB191" s="33"/>
      <c r="AKC191" s="33"/>
      <c r="AKD191" s="33"/>
      <c r="AKE191" s="33"/>
      <c r="AKF191" s="33"/>
      <c r="AKG191" s="33"/>
      <c r="AKH191" s="33"/>
      <c r="AKI191" s="33"/>
      <c r="AKJ191" s="33"/>
      <c r="AKK191" s="33"/>
      <c r="AKL191" s="33"/>
      <c r="AKM191" s="33"/>
      <c r="AKN191" s="33"/>
      <c r="AKO191" s="33"/>
      <c r="AKP191" s="33"/>
      <c r="AKQ191" s="33"/>
      <c r="AKR191" s="33"/>
      <c r="AKS191" s="33"/>
      <c r="AKT191" s="33"/>
      <c r="AKU191" s="33"/>
      <c r="AKV191" s="33"/>
      <c r="AKW191" s="33"/>
      <c r="AKX191" s="33"/>
      <c r="AKY191" s="33"/>
      <c r="AKZ191" s="33"/>
      <c r="ALA191" s="33"/>
      <c r="ALB191" s="33"/>
      <c r="ALC191" s="33"/>
      <c r="ALD191" s="33"/>
      <c r="ALE191" s="33"/>
      <c r="ALF191" s="33"/>
      <c r="ALG191" s="33"/>
      <c r="ALH191" s="33"/>
      <c r="ALI191" s="33"/>
      <c r="ALJ191" s="33"/>
      <c r="ALK191" s="33"/>
      <c r="ALL191" s="33"/>
      <c r="ALM191" s="33"/>
      <c r="ALN191" s="33"/>
      <c r="ALO191" s="33"/>
      <c r="ALP191" s="33"/>
      <c r="ALQ191" s="33"/>
      <c r="ALR191" s="33"/>
      <c r="ALS191" s="33"/>
      <c r="ALT191" s="33"/>
      <c r="ALU191" s="33"/>
      <c r="ALV191" s="33"/>
      <c r="ALW191" s="33"/>
      <c r="ALX191" s="33"/>
      <c r="ALY191" s="33"/>
      <c r="ALZ191" s="33"/>
      <c r="AMA191" s="33"/>
      <c r="AMB191" s="33"/>
      <c r="AMC191" s="33"/>
      <c r="AMD191" s="33"/>
      <c r="AME191" s="33"/>
      <c r="AMF191" s="33"/>
      <c r="AMG191" s="33"/>
      <c r="AMH191" s="33"/>
      <c r="AMI191" s="33"/>
      <c r="AMJ191" s="33"/>
      <c r="AMK191" s="33"/>
      <c r="AML191" s="33"/>
      <c r="AMM191" s="18"/>
    </row>
    <row r="192" spans="1:1027" s="18" customFormat="1" x14ac:dyDescent="0.2">
      <c r="A192" s="18">
        <v>2</v>
      </c>
      <c r="B192" s="18" t="s">
        <v>307</v>
      </c>
      <c r="C192" s="18" t="s">
        <v>309</v>
      </c>
      <c r="D192" s="18">
        <v>41</v>
      </c>
      <c r="E192" s="19" t="s">
        <v>507</v>
      </c>
      <c r="F192" s="19" t="s">
        <v>507</v>
      </c>
      <c r="G192" s="20" t="s">
        <v>507</v>
      </c>
      <c r="H192" s="19" t="s">
        <v>507</v>
      </c>
      <c r="I192" s="19" t="s">
        <v>507</v>
      </c>
      <c r="J192" s="19" t="s">
        <v>507</v>
      </c>
      <c r="K192" s="21" t="s">
        <v>509</v>
      </c>
      <c r="M192" s="1" t="s">
        <v>609</v>
      </c>
      <c r="N192" s="1"/>
      <c r="S192" s="13"/>
      <c r="T192" s="1"/>
      <c r="U192" s="13"/>
      <c r="V192" s="13"/>
      <c r="W192" s="13"/>
      <c r="X192" s="13"/>
      <c r="Y192" s="13"/>
      <c r="Z192" s="13"/>
      <c r="AA192" s="74"/>
      <c r="AB192" s="74"/>
      <c r="AC192" s="13"/>
      <c r="AD192" s="13"/>
      <c r="AE192" s="13"/>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c r="HK192" s="70"/>
      <c r="HL192" s="70"/>
      <c r="HM192" s="70"/>
      <c r="HN192" s="70"/>
      <c r="HO192" s="70"/>
      <c r="HP192" s="70"/>
      <c r="HQ192" s="70"/>
      <c r="HR192" s="70"/>
      <c r="HS192" s="70"/>
      <c r="HT192" s="70"/>
      <c r="HU192" s="70"/>
      <c r="HV192" s="70"/>
      <c r="HW192" s="70"/>
      <c r="HX192" s="70"/>
      <c r="HY192" s="70"/>
      <c r="HZ192" s="70"/>
      <c r="IA192" s="70"/>
      <c r="IB192" s="70"/>
      <c r="IC192" s="70"/>
      <c r="ID192" s="70"/>
      <c r="IE192" s="70"/>
      <c r="IF192" s="70"/>
      <c r="IG192" s="70"/>
      <c r="IH192" s="70"/>
      <c r="II192" s="70"/>
      <c r="IJ192" s="70"/>
      <c r="IK192" s="70"/>
      <c r="IL192" s="70"/>
      <c r="IM192" s="70"/>
      <c r="IN192" s="70"/>
      <c r="IO192" s="70"/>
      <c r="IP192" s="70"/>
      <c r="IQ192" s="70"/>
      <c r="IR192" s="70"/>
      <c r="IS192" s="70"/>
      <c r="IT192" s="70"/>
      <c r="IU192" s="70"/>
      <c r="IV192" s="70"/>
      <c r="IW192" s="70"/>
      <c r="IX192" s="70"/>
      <c r="IY192" s="70"/>
      <c r="IZ192" s="70"/>
      <c r="JA192" s="70"/>
      <c r="JB192" s="70"/>
      <c r="JC192" s="70"/>
      <c r="JD192" s="70"/>
      <c r="JE192" s="70"/>
      <c r="JF192" s="70"/>
      <c r="JG192" s="70"/>
      <c r="JH192" s="70"/>
      <c r="JI192" s="70"/>
      <c r="JJ192" s="70"/>
      <c r="JK192" s="70"/>
      <c r="JL192" s="70"/>
      <c r="JM192" s="70"/>
      <c r="JN192" s="70"/>
      <c r="JO192" s="70"/>
      <c r="JP192" s="70"/>
      <c r="JQ192" s="70"/>
      <c r="JR192" s="70"/>
      <c r="JS192" s="70"/>
      <c r="JT192" s="70"/>
      <c r="JU192" s="70"/>
      <c r="JV192" s="70"/>
      <c r="JW192" s="70"/>
      <c r="JX192" s="70"/>
      <c r="JY192" s="70"/>
      <c r="JZ192" s="70"/>
      <c r="KA192" s="70"/>
      <c r="KB192" s="70"/>
      <c r="KC192" s="70"/>
      <c r="KD192" s="70"/>
      <c r="KE192" s="70"/>
      <c r="KF192" s="70"/>
      <c r="KG192" s="70"/>
      <c r="KH192" s="70"/>
      <c r="KI192" s="70"/>
      <c r="KJ192" s="70"/>
      <c r="KK192" s="70"/>
      <c r="KL192" s="70"/>
      <c r="KM192" s="70"/>
      <c r="KN192" s="70"/>
      <c r="KO192" s="70"/>
      <c r="KP192" s="70"/>
      <c r="KQ192" s="70"/>
      <c r="KR192" s="70"/>
      <c r="KS192" s="70"/>
      <c r="KT192" s="70"/>
      <c r="KU192" s="70"/>
      <c r="KV192" s="70"/>
      <c r="KW192" s="70"/>
      <c r="KX192" s="70"/>
      <c r="KY192" s="70"/>
      <c r="KZ192" s="70"/>
      <c r="LA192" s="70"/>
      <c r="LB192" s="70"/>
      <c r="LC192" s="70"/>
      <c r="LD192" s="70"/>
      <c r="LE192" s="70"/>
      <c r="LF192" s="70"/>
      <c r="LG192" s="70"/>
      <c r="LH192" s="70"/>
      <c r="LI192" s="70"/>
      <c r="LJ192" s="70"/>
      <c r="LK192" s="70"/>
      <c r="LL192" s="70"/>
      <c r="LM192" s="70"/>
      <c r="LN192" s="70"/>
      <c r="LO192" s="70"/>
      <c r="LP192" s="70"/>
      <c r="LQ192" s="70"/>
      <c r="LR192" s="70"/>
      <c r="LS192" s="70"/>
      <c r="LT192" s="70"/>
      <c r="LU192" s="70"/>
      <c r="LV192" s="70"/>
      <c r="LW192" s="70"/>
      <c r="LX192" s="70"/>
      <c r="LY192" s="70"/>
      <c r="LZ192" s="70"/>
      <c r="MA192" s="70"/>
      <c r="MB192" s="70"/>
      <c r="MC192" s="70"/>
      <c r="MD192" s="70"/>
      <c r="ME192" s="70"/>
      <c r="MF192" s="70"/>
      <c r="MG192" s="70"/>
      <c r="MH192" s="70"/>
      <c r="MI192" s="70"/>
      <c r="MJ192" s="70"/>
      <c r="MK192" s="70"/>
      <c r="ML192" s="70"/>
      <c r="MM192" s="70"/>
      <c r="MN192" s="70"/>
      <c r="MO192" s="70"/>
      <c r="MP192" s="70"/>
      <c r="MQ192" s="70"/>
      <c r="MR192" s="70"/>
      <c r="MS192" s="70"/>
      <c r="MT192" s="70"/>
      <c r="MU192" s="70"/>
      <c r="MV192" s="70"/>
      <c r="MW192" s="70"/>
      <c r="MX192" s="70"/>
      <c r="MY192" s="70"/>
      <c r="MZ192" s="70"/>
      <c r="NA192" s="70"/>
      <c r="NB192" s="70"/>
      <c r="NC192" s="70"/>
      <c r="ND192" s="70"/>
      <c r="NE192" s="70"/>
      <c r="NF192" s="70"/>
      <c r="NG192" s="70"/>
      <c r="NH192" s="70"/>
      <c r="NI192" s="70"/>
      <c r="NJ192" s="70"/>
      <c r="NK192" s="70"/>
      <c r="NL192" s="70"/>
      <c r="NM192" s="70"/>
      <c r="NN192" s="70"/>
      <c r="NO192" s="70"/>
      <c r="NP192" s="70"/>
      <c r="NQ192" s="70"/>
      <c r="NR192" s="70"/>
      <c r="NS192" s="70"/>
      <c r="NT192" s="70"/>
      <c r="NU192" s="70"/>
      <c r="NV192" s="70"/>
      <c r="NW192" s="70"/>
      <c r="NX192" s="70"/>
      <c r="NY192" s="70"/>
      <c r="NZ192" s="70"/>
      <c r="OA192" s="70"/>
      <c r="OB192" s="70"/>
      <c r="OC192" s="70"/>
      <c r="OD192" s="70"/>
      <c r="OE192" s="70"/>
      <c r="OF192" s="70"/>
      <c r="OG192" s="70"/>
      <c r="OH192" s="70"/>
      <c r="OI192" s="70"/>
      <c r="OJ192" s="70"/>
      <c r="OK192" s="70"/>
      <c r="OL192" s="70"/>
      <c r="OM192" s="70"/>
      <c r="ON192" s="70"/>
      <c r="OO192" s="70"/>
      <c r="OP192" s="70"/>
      <c r="OQ192" s="70"/>
      <c r="OR192" s="70"/>
      <c r="OS192" s="70"/>
      <c r="OT192" s="70"/>
      <c r="OU192" s="70"/>
      <c r="OV192" s="70"/>
      <c r="OW192" s="70"/>
      <c r="OX192" s="70"/>
      <c r="OY192" s="70"/>
      <c r="OZ192" s="70"/>
      <c r="PA192" s="70"/>
      <c r="PB192" s="70"/>
      <c r="PC192" s="70"/>
      <c r="PD192" s="70"/>
      <c r="PE192" s="70"/>
      <c r="PF192" s="70"/>
      <c r="PG192" s="70"/>
      <c r="PH192" s="70"/>
      <c r="PI192" s="70"/>
      <c r="PJ192" s="70"/>
      <c r="PK192" s="70"/>
      <c r="PL192" s="70"/>
      <c r="PM192" s="70"/>
      <c r="PN192" s="70"/>
      <c r="PO192" s="70"/>
      <c r="PP192" s="70"/>
      <c r="PQ192" s="70"/>
      <c r="PR192" s="70"/>
      <c r="PS192" s="70"/>
      <c r="PT192" s="70"/>
      <c r="PU192" s="70"/>
      <c r="PV192" s="70"/>
      <c r="PW192" s="70"/>
      <c r="PX192" s="70"/>
      <c r="PY192" s="70"/>
      <c r="PZ192" s="70"/>
      <c r="QA192" s="70"/>
      <c r="QB192" s="70"/>
      <c r="QC192" s="70"/>
      <c r="QD192" s="70"/>
      <c r="QE192" s="70"/>
      <c r="QF192" s="70"/>
      <c r="QG192" s="70"/>
      <c r="QH192" s="70"/>
      <c r="QI192" s="70"/>
      <c r="QJ192" s="70"/>
      <c r="QK192" s="70"/>
      <c r="QL192" s="70"/>
      <c r="QM192" s="70"/>
      <c r="QN192" s="70"/>
      <c r="QO192" s="70"/>
      <c r="QP192" s="70"/>
      <c r="QQ192" s="70"/>
      <c r="QR192" s="70"/>
      <c r="QS192" s="70"/>
      <c r="QT192" s="70"/>
      <c r="QU192" s="70"/>
      <c r="QV192" s="70"/>
      <c r="QW192" s="70"/>
      <c r="QX192" s="70"/>
      <c r="QY192" s="70"/>
      <c r="QZ192" s="70"/>
      <c r="RA192" s="70"/>
      <c r="RB192" s="70"/>
      <c r="RC192" s="70"/>
      <c r="RD192" s="70"/>
      <c r="RE192" s="70"/>
      <c r="RF192" s="70"/>
      <c r="RG192" s="70"/>
      <c r="RH192" s="70"/>
      <c r="RI192" s="70"/>
      <c r="RJ192" s="70"/>
      <c r="RK192" s="70"/>
      <c r="RL192" s="70"/>
      <c r="RM192" s="70"/>
      <c r="RN192" s="70"/>
      <c r="RO192" s="70"/>
      <c r="RP192" s="70"/>
      <c r="RQ192" s="70"/>
      <c r="RR192" s="70"/>
      <c r="RS192" s="70"/>
      <c r="RT192" s="70"/>
      <c r="RU192" s="70"/>
      <c r="RV192" s="70"/>
      <c r="RW192" s="70"/>
      <c r="RX192" s="70"/>
      <c r="RY192" s="70"/>
      <c r="RZ192" s="70"/>
      <c r="SA192" s="70"/>
      <c r="SB192" s="70"/>
      <c r="SC192" s="70"/>
      <c r="SD192" s="70"/>
      <c r="SE192" s="70"/>
      <c r="SF192" s="70"/>
      <c r="SG192" s="70"/>
      <c r="SH192" s="70"/>
      <c r="SI192" s="70"/>
      <c r="SJ192" s="70"/>
      <c r="SK192" s="70"/>
      <c r="SL192" s="70"/>
      <c r="SM192" s="70"/>
      <c r="SN192" s="70"/>
      <c r="SO192" s="70"/>
      <c r="SP192" s="70"/>
      <c r="SQ192" s="70"/>
      <c r="SR192" s="70"/>
      <c r="SS192" s="70"/>
      <c r="ST192" s="70"/>
      <c r="SU192" s="70"/>
      <c r="SV192" s="70"/>
      <c r="SW192" s="70"/>
      <c r="SX192" s="70"/>
      <c r="SY192" s="70"/>
      <c r="SZ192" s="70"/>
      <c r="TA192" s="70"/>
      <c r="TB192" s="70"/>
      <c r="TC192" s="70"/>
      <c r="TD192" s="70"/>
      <c r="TE192" s="70"/>
      <c r="TF192" s="70"/>
      <c r="TG192" s="70"/>
      <c r="TH192" s="70"/>
      <c r="TI192" s="70"/>
      <c r="TJ192" s="70"/>
      <c r="TK192" s="70"/>
      <c r="TL192" s="70"/>
      <c r="TM192" s="70"/>
      <c r="TN192" s="70"/>
      <c r="TO192" s="70"/>
      <c r="TP192" s="70"/>
      <c r="TQ192" s="70"/>
      <c r="TR192" s="70"/>
      <c r="TS192" s="70"/>
      <c r="TT192" s="70"/>
      <c r="TU192" s="70"/>
      <c r="TV192" s="70"/>
      <c r="TW192" s="70"/>
      <c r="TX192" s="70"/>
      <c r="TY192" s="70"/>
      <c r="TZ192" s="70"/>
      <c r="UA192" s="70"/>
      <c r="UB192" s="70"/>
      <c r="UC192" s="70"/>
      <c r="UD192" s="70"/>
      <c r="UE192" s="70"/>
      <c r="UF192" s="70"/>
      <c r="UG192" s="70"/>
      <c r="UH192" s="70"/>
      <c r="UI192" s="70"/>
      <c r="UJ192" s="70"/>
      <c r="UK192" s="70"/>
      <c r="UL192" s="70"/>
      <c r="UM192" s="70"/>
      <c r="UN192" s="70"/>
      <c r="UO192" s="70"/>
      <c r="UP192" s="70"/>
      <c r="UQ192" s="70"/>
      <c r="UR192" s="70"/>
      <c r="US192" s="70"/>
      <c r="UT192" s="70"/>
      <c r="UU192" s="70"/>
      <c r="UV192" s="70"/>
      <c r="UW192" s="70"/>
      <c r="UX192" s="70"/>
      <c r="UY192" s="70"/>
      <c r="UZ192" s="70"/>
      <c r="VA192" s="70"/>
      <c r="VB192" s="70"/>
      <c r="VC192" s="70"/>
      <c r="VD192" s="70"/>
      <c r="VE192" s="70"/>
      <c r="VF192" s="70"/>
      <c r="VG192" s="70"/>
      <c r="VH192" s="70"/>
      <c r="VI192" s="70"/>
      <c r="VJ192" s="70"/>
      <c r="VK192" s="70"/>
      <c r="VL192" s="70"/>
      <c r="VM192" s="70"/>
      <c r="VN192" s="70"/>
      <c r="VO192" s="70"/>
      <c r="VP192" s="70"/>
      <c r="VQ192" s="70"/>
      <c r="VR192" s="70"/>
      <c r="VS192" s="70"/>
      <c r="VT192" s="70"/>
      <c r="VU192" s="70"/>
      <c r="VV192" s="70"/>
      <c r="VW192" s="70"/>
      <c r="VX192" s="70"/>
      <c r="VY192" s="70"/>
      <c r="VZ192" s="70"/>
      <c r="WA192" s="70"/>
      <c r="WB192" s="70"/>
      <c r="WC192" s="70"/>
      <c r="WD192" s="70"/>
      <c r="WE192" s="70"/>
      <c r="WF192" s="70"/>
      <c r="WG192" s="70"/>
      <c r="WH192" s="70"/>
      <c r="WI192" s="70"/>
      <c r="WJ192" s="70"/>
      <c r="WK192" s="70"/>
      <c r="WL192" s="70"/>
      <c r="WM192" s="70"/>
      <c r="WN192" s="70"/>
      <c r="WO192" s="70"/>
      <c r="WP192" s="70"/>
      <c r="WQ192" s="70"/>
      <c r="WR192" s="70"/>
      <c r="WS192" s="70"/>
      <c r="WT192" s="70"/>
      <c r="WU192" s="70"/>
      <c r="WV192" s="70"/>
      <c r="WW192" s="70"/>
      <c r="WX192" s="70"/>
      <c r="WY192" s="70"/>
      <c r="WZ192" s="70"/>
      <c r="XA192" s="70"/>
      <c r="XB192" s="70"/>
      <c r="XC192" s="70"/>
      <c r="XD192" s="70"/>
      <c r="XE192" s="70"/>
      <c r="XF192" s="70"/>
      <c r="XG192" s="70"/>
      <c r="XH192" s="70"/>
      <c r="XI192" s="70"/>
      <c r="XJ192" s="70"/>
      <c r="XK192" s="70"/>
      <c r="XL192" s="70"/>
      <c r="XM192" s="70"/>
      <c r="XN192" s="70"/>
      <c r="XO192" s="70"/>
      <c r="XP192" s="70"/>
      <c r="XQ192" s="70"/>
      <c r="XR192" s="70"/>
      <c r="XS192" s="70"/>
      <c r="XT192" s="70"/>
      <c r="XU192" s="70"/>
      <c r="XV192" s="70"/>
      <c r="XW192" s="70"/>
      <c r="XX192" s="70"/>
      <c r="XY192" s="70"/>
      <c r="XZ192" s="70"/>
      <c r="YA192" s="70"/>
      <c r="YB192" s="70"/>
      <c r="YC192" s="70"/>
      <c r="YD192" s="70"/>
      <c r="YE192" s="70"/>
      <c r="YF192" s="70"/>
      <c r="YG192" s="70"/>
      <c r="YH192" s="70"/>
      <c r="YI192" s="70"/>
      <c r="YJ192" s="70"/>
      <c r="YK192" s="70"/>
      <c r="YL192" s="70"/>
      <c r="YM192" s="70"/>
      <c r="YN192" s="70"/>
      <c r="YO192" s="70"/>
      <c r="YP192" s="70"/>
      <c r="YQ192" s="70"/>
      <c r="YR192" s="70"/>
      <c r="YS192" s="70"/>
      <c r="YT192" s="70"/>
      <c r="YU192" s="70"/>
      <c r="YV192" s="70"/>
      <c r="YW192" s="70"/>
      <c r="YX192" s="70"/>
      <c r="YY192" s="70"/>
      <c r="YZ192" s="70"/>
      <c r="ZA192" s="70"/>
      <c r="ZB192" s="70"/>
      <c r="ZC192" s="70"/>
      <c r="ZD192" s="70"/>
      <c r="ZE192" s="70"/>
      <c r="ZF192" s="70"/>
      <c r="ZG192" s="70"/>
      <c r="ZH192" s="70"/>
      <c r="ZI192" s="70"/>
      <c r="ZJ192" s="70"/>
      <c r="ZK192" s="70"/>
      <c r="ZL192" s="70"/>
      <c r="ZM192" s="70"/>
      <c r="ZN192" s="70"/>
      <c r="ZO192" s="70"/>
      <c r="ZP192" s="70"/>
      <c r="ZQ192" s="70"/>
      <c r="ZR192" s="70"/>
      <c r="ZS192" s="70"/>
      <c r="ZT192" s="70"/>
      <c r="ZU192" s="70"/>
      <c r="ZV192" s="70"/>
      <c r="ZW192" s="70"/>
      <c r="ZX192" s="70"/>
      <c r="ZY192" s="70"/>
      <c r="ZZ192" s="70"/>
      <c r="AAA192" s="70"/>
      <c r="AAB192" s="70"/>
      <c r="AAC192" s="70"/>
      <c r="AAD192" s="70"/>
      <c r="AAE192" s="70"/>
      <c r="AAF192" s="70"/>
      <c r="AAG192" s="70"/>
      <c r="AAH192" s="70"/>
      <c r="AAI192" s="70"/>
      <c r="AAJ192" s="70"/>
      <c r="AAK192" s="70"/>
      <c r="AAL192" s="70"/>
      <c r="AAM192" s="70"/>
      <c r="AAN192" s="70"/>
      <c r="AAO192" s="70"/>
      <c r="AAP192" s="70"/>
      <c r="AAQ192" s="70"/>
      <c r="AAR192" s="70"/>
      <c r="AAS192" s="70"/>
      <c r="AAT192" s="70"/>
      <c r="AAU192" s="70"/>
      <c r="AAV192" s="70"/>
      <c r="AAW192" s="70"/>
      <c r="AAX192" s="70"/>
      <c r="AAY192" s="70"/>
      <c r="AAZ192" s="70"/>
      <c r="ABA192" s="70"/>
      <c r="ABB192" s="70"/>
      <c r="ABC192" s="70"/>
      <c r="ABD192" s="70"/>
      <c r="ABE192" s="70"/>
      <c r="ABF192" s="70"/>
      <c r="ABG192" s="70"/>
      <c r="ABH192" s="70"/>
      <c r="ABI192" s="70"/>
      <c r="ABJ192" s="70"/>
      <c r="ABK192" s="70"/>
      <c r="ABL192" s="70"/>
      <c r="ABM192" s="70"/>
      <c r="ABN192" s="70"/>
      <c r="ABO192" s="70"/>
      <c r="ABP192" s="70"/>
      <c r="ABQ192" s="70"/>
      <c r="ABR192" s="70"/>
      <c r="ABS192" s="70"/>
      <c r="ABT192" s="70"/>
      <c r="ABU192" s="70"/>
      <c r="ABV192" s="70"/>
      <c r="ABW192" s="70"/>
      <c r="ABX192" s="70"/>
      <c r="ABY192" s="70"/>
      <c r="ABZ192" s="70"/>
      <c r="ACA192" s="70"/>
      <c r="ACB192" s="70"/>
      <c r="ACC192" s="70"/>
      <c r="ACD192" s="70"/>
      <c r="ACE192" s="70"/>
      <c r="ACF192" s="70"/>
      <c r="ACG192" s="70"/>
      <c r="ACH192" s="70"/>
      <c r="ACI192" s="70"/>
      <c r="ACJ192" s="70"/>
      <c r="ACK192" s="70"/>
      <c r="ACL192" s="70"/>
      <c r="ACM192" s="70"/>
      <c r="ACN192" s="70"/>
      <c r="ACO192" s="70"/>
      <c r="ACP192" s="70"/>
      <c r="ACQ192" s="70"/>
      <c r="ACR192" s="70"/>
      <c r="ACS192" s="70"/>
      <c r="ACT192" s="70"/>
      <c r="ACU192" s="70"/>
      <c r="ACV192" s="70"/>
      <c r="ACW192" s="70"/>
      <c r="ACX192" s="70"/>
      <c r="ACY192" s="70"/>
      <c r="ACZ192" s="70"/>
      <c r="ADA192" s="70"/>
      <c r="ADB192" s="70"/>
      <c r="ADC192" s="70"/>
      <c r="ADD192" s="70"/>
      <c r="ADE192" s="70"/>
      <c r="ADF192" s="70"/>
      <c r="ADG192" s="70"/>
      <c r="ADH192" s="70"/>
      <c r="ADI192" s="70"/>
      <c r="ADJ192" s="70"/>
      <c r="ADK192" s="70"/>
      <c r="ADL192" s="70"/>
      <c r="ADM192" s="70"/>
      <c r="ADN192" s="70"/>
      <c r="ADO192" s="70"/>
      <c r="ADP192" s="70"/>
      <c r="ADQ192" s="70"/>
      <c r="ADR192" s="70"/>
      <c r="ADS192" s="70"/>
      <c r="ADT192" s="70"/>
      <c r="ADU192" s="70"/>
      <c r="ADV192" s="70"/>
      <c r="ADW192" s="70"/>
      <c r="ADX192" s="70"/>
      <c r="ADY192" s="70"/>
      <c r="ADZ192" s="70"/>
      <c r="AEA192" s="70"/>
      <c r="AEB192" s="70"/>
      <c r="AEC192" s="70"/>
      <c r="AED192" s="70"/>
      <c r="AEE192" s="70"/>
      <c r="AEF192" s="70"/>
      <c r="AEG192" s="70"/>
      <c r="AEH192" s="70"/>
      <c r="AEI192" s="70"/>
      <c r="AEJ192" s="70"/>
      <c r="AEK192" s="70"/>
      <c r="AEL192" s="70"/>
      <c r="AEM192" s="70"/>
      <c r="AEN192" s="70"/>
      <c r="AEO192" s="70"/>
      <c r="AEP192" s="70"/>
      <c r="AEQ192" s="70"/>
      <c r="AER192" s="70"/>
      <c r="AES192" s="70"/>
      <c r="AET192" s="70"/>
      <c r="AEU192" s="70"/>
      <c r="AEV192" s="70"/>
      <c r="AEW192" s="70"/>
      <c r="AEX192" s="70"/>
      <c r="AEY192" s="70"/>
      <c r="AEZ192" s="70"/>
      <c r="AFA192" s="70"/>
      <c r="AFB192" s="70"/>
      <c r="AFC192" s="70"/>
      <c r="AFD192" s="70"/>
      <c r="AFE192" s="70"/>
      <c r="AFF192" s="70"/>
      <c r="AFG192" s="70"/>
      <c r="AFH192" s="70"/>
      <c r="AFI192" s="70"/>
      <c r="AFJ192" s="70"/>
      <c r="AFK192" s="70"/>
      <c r="AFL192" s="70"/>
      <c r="AFM192" s="70"/>
      <c r="AFN192" s="70"/>
      <c r="AFO192" s="70"/>
      <c r="AFP192" s="70"/>
      <c r="AFQ192" s="70"/>
      <c r="AFR192" s="70"/>
      <c r="AFS192" s="70"/>
      <c r="AFT192" s="70"/>
      <c r="AFU192" s="70"/>
      <c r="AFV192" s="70"/>
      <c r="AFW192" s="70"/>
      <c r="AFX192" s="70"/>
      <c r="AFY192" s="70"/>
      <c r="AFZ192" s="70"/>
      <c r="AGA192" s="70"/>
      <c r="AGB192" s="70"/>
      <c r="AGC192" s="70"/>
      <c r="AGD192" s="70"/>
      <c r="AGE192" s="70"/>
      <c r="AGF192" s="70"/>
      <c r="AGG192" s="70"/>
      <c r="AGH192" s="70"/>
      <c r="AGI192" s="70"/>
      <c r="AGJ192" s="70"/>
      <c r="AGK192" s="70"/>
      <c r="AGL192" s="70"/>
      <c r="AGM192" s="70"/>
      <c r="AGN192" s="70"/>
      <c r="AGO192" s="70"/>
      <c r="AGP192" s="70"/>
      <c r="AGQ192" s="70"/>
      <c r="AGR192" s="70"/>
      <c r="AGS192" s="70"/>
      <c r="AGT192" s="70"/>
      <c r="AGU192" s="70"/>
      <c r="AGV192" s="70"/>
      <c r="AGW192" s="70"/>
      <c r="AGX192" s="70"/>
      <c r="AGY192" s="70"/>
      <c r="AGZ192" s="70"/>
      <c r="AHA192" s="70"/>
      <c r="AHB192" s="70"/>
      <c r="AHC192" s="70"/>
      <c r="AHD192" s="70"/>
      <c r="AHE192" s="70"/>
      <c r="AHF192" s="70"/>
      <c r="AHG192" s="70"/>
      <c r="AHH192" s="70"/>
      <c r="AHI192" s="70"/>
      <c r="AHJ192" s="70"/>
      <c r="AHK192" s="70"/>
      <c r="AHL192" s="70"/>
      <c r="AHM192" s="70"/>
      <c r="AHN192" s="70"/>
      <c r="AHO192" s="70"/>
      <c r="AHP192" s="70"/>
      <c r="AHQ192" s="70"/>
      <c r="AHR192" s="70"/>
      <c r="AHS192" s="70"/>
      <c r="AHT192" s="70"/>
      <c r="AHU192" s="70"/>
      <c r="AHV192" s="70"/>
      <c r="AHW192" s="70"/>
      <c r="AHX192" s="70"/>
      <c r="AHY192" s="70"/>
      <c r="AHZ192" s="70"/>
      <c r="AIA192" s="70"/>
      <c r="AIB192" s="70"/>
      <c r="AIC192" s="70"/>
      <c r="AID192" s="70"/>
      <c r="AIE192" s="70"/>
      <c r="AIF192" s="70"/>
      <c r="AIG192" s="70"/>
      <c r="AIH192" s="70"/>
      <c r="AII192" s="70"/>
      <c r="AIJ192" s="70"/>
      <c r="AIK192" s="70"/>
      <c r="AIL192" s="70"/>
      <c r="AIM192" s="70"/>
      <c r="AIN192" s="70"/>
      <c r="AIO192" s="70"/>
      <c r="AIP192" s="70"/>
      <c r="AIQ192" s="70"/>
      <c r="AIR192" s="70"/>
      <c r="AIS192" s="70"/>
      <c r="AIT192" s="70"/>
      <c r="AIU192" s="70"/>
      <c r="AIV192" s="70"/>
      <c r="AIW192" s="70"/>
      <c r="AIX192" s="70"/>
      <c r="AIY192" s="70"/>
      <c r="AIZ192" s="70"/>
      <c r="AJA192" s="70"/>
      <c r="AJB192" s="70"/>
      <c r="AJC192" s="70"/>
      <c r="AJD192" s="70"/>
      <c r="AJE192" s="70"/>
      <c r="AJF192" s="70"/>
      <c r="AJG192" s="70"/>
      <c r="AJH192" s="70"/>
      <c r="AJI192" s="70"/>
      <c r="AJJ192" s="70"/>
      <c r="AJK192" s="70"/>
      <c r="AJL192" s="70"/>
      <c r="AJM192" s="70"/>
      <c r="AJN192" s="70"/>
      <c r="AJO192" s="70"/>
      <c r="AJP192" s="70"/>
      <c r="AJQ192" s="70"/>
      <c r="AJR192" s="70"/>
      <c r="AJS192" s="70"/>
      <c r="AJT192" s="70"/>
      <c r="AJU192" s="70"/>
      <c r="AJV192" s="70"/>
      <c r="AJW192" s="70"/>
      <c r="AJX192" s="70"/>
      <c r="AJY192" s="70"/>
      <c r="AJZ192" s="70"/>
      <c r="AKA192" s="70"/>
      <c r="AKB192" s="70"/>
      <c r="AKC192" s="70"/>
      <c r="AKD192" s="70"/>
      <c r="AKE192" s="70"/>
      <c r="AKF192" s="70"/>
      <c r="AKG192" s="70"/>
      <c r="AKH192" s="70"/>
      <c r="AKI192" s="70"/>
      <c r="AKJ192" s="70"/>
      <c r="AKK192" s="70"/>
      <c r="AKL192" s="70"/>
      <c r="AKM192" s="70"/>
      <c r="AKN192" s="70"/>
      <c r="AKO192" s="70"/>
      <c r="AKP192" s="70"/>
      <c r="AKQ192" s="70"/>
      <c r="AKR192" s="70"/>
      <c r="AKS192" s="70"/>
      <c r="AKT192" s="70"/>
      <c r="AKU192" s="70"/>
      <c r="AKV192" s="70"/>
      <c r="AKW192" s="70"/>
      <c r="AKX192" s="70"/>
      <c r="AKY192" s="70"/>
      <c r="AKZ192" s="70"/>
      <c r="ALA192" s="70"/>
      <c r="ALB192" s="70"/>
      <c r="ALC192" s="70"/>
      <c r="ALD192" s="70"/>
      <c r="ALE192" s="70"/>
      <c r="ALF192" s="70"/>
      <c r="ALG192" s="70"/>
      <c r="ALH192" s="70"/>
      <c r="ALI192" s="70"/>
      <c r="ALJ192" s="70"/>
      <c r="ALK192" s="70"/>
      <c r="ALL192" s="70"/>
      <c r="ALM192" s="70"/>
      <c r="ALN192" s="70"/>
      <c r="ALO192" s="70"/>
      <c r="ALP192" s="70"/>
      <c r="ALQ192" s="70"/>
      <c r="ALR192" s="70"/>
      <c r="ALS192" s="70"/>
      <c r="ALT192" s="70"/>
      <c r="ALU192" s="70"/>
      <c r="ALV192" s="70"/>
      <c r="ALW192" s="70"/>
      <c r="ALX192" s="70"/>
      <c r="ALY192" s="70"/>
      <c r="ALZ192" s="70"/>
      <c r="AMA192" s="70"/>
      <c r="AMB192" s="70"/>
      <c r="AMC192" s="70"/>
      <c r="AMD192" s="70"/>
      <c r="AME192" s="70"/>
      <c r="AMF192" s="70"/>
      <c r="AMG192" s="70"/>
      <c r="AMH192" s="70"/>
      <c r="AMI192" s="70"/>
      <c r="AMJ192" s="70"/>
      <c r="AMK192" s="70"/>
      <c r="AML192" s="70"/>
    </row>
    <row r="193" spans="1:1027" s="18" customFormat="1" x14ac:dyDescent="0.2">
      <c r="A193" s="18">
        <v>2</v>
      </c>
      <c r="B193" s="18" t="s">
        <v>311</v>
      </c>
      <c r="C193" s="18" t="s">
        <v>313</v>
      </c>
      <c r="D193" s="18">
        <v>26</v>
      </c>
      <c r="E193" s="19" t="s">
        <v>507</v>
      </c>
      <c r="F193" s="19" t="s">
        <v>507</v>
      </c>
      <c r="G193" s="20" t="s">
        <v>508</v>
      </c>
      <c r="H193" s="19" t="s">
        <v>507</v>
      </c>
      <c r="I193" s="19" t="s">
        <v>507</v>
      </c>
      <c r="J193" s="19" t="s">
        <v>507</v>
      </c>
      <c r="K193" s="21" t="s">
        <v>509</v>
      </c>
      <c r="M193" s="1" t="s">
        <v>609</v>
      </c>
      <c r="N193" s="1"/>
      <c r="S193" s="13"/>
      <c r="T193" s="1"/>
      <c r="U193" s="1"/>
      <c r="V193" s="1"/>
      <c r="W193" s="1"/>
      <c r="X193" s="1"/>
      <c r="Y193" s="1"/>
      <c r="Z193" s="1"/>
      <c r="AA193" s="30"/>
      <c r="AB193" s="30"/>
      <c r="AC193" s="1"/>
      <c r="AD193" s="1"/>
      <c r="AE193" s="1"/>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c r="IV193" s="33"/>
      <c r="IW193" s="33"/>
      <c r="IX193" s="33"/>
      <c r="IY193" s="33"/>
      <c r="IZ193" s="33"/>
      <c r="JA193" s="33"/>
      <c r="JB193" s="33"/>
      <c r="JC193" s="33"/>
      <c r="JD193" s="33"/>
      <c r="JE193" s="33"/>
      <c r="JF193" s="33"/>
      <c r="JG193" s="33"/>
      <c r="JH193" s="33"/>
      <c r="JI193" s="33"/>
      <c r="JJ193" s="33"/>
      <c r="JK193" s="33"/>
      <c r="JL193" s="33"/>
      <c r="JM193" s="33"/>
      <c r="JN193" s="33"/>
      <c r="JO193" s="33"/>
      <c r="JP193" s="33"/>
      <c r="JQ193" s="33"/>
      <c r="JR193" s="33"/>
      <c r="JS193" s="33"/>
      <c r="JT193" s="33"/>
      <c r="JU193" s="33"/>
      <c r="JV193" s="33"/>
      <c r="JW193" s="33"/>
      <c r="JX193" s="33"/>
      <c r="JY193" s="33"/>
      <c r="JZ193" s="33"/>
      <c r="KA193" s="33"/>
      <c r="KB193" s="33"/>
      <c r="KC193" s="33"/>
      <c r="KD193" s="33"/>
      <c r="KE193" s="33"/>
      <c r="KF193" s="33"/>
      <c r="KG193" s="33"/>
      <c r="KH193" s="33"/>
      <c r="KI193" s="33"/>
      <c r="KJ193" s="33"/>
      <c r="KK193" s="33"/>
      <c r="KL193" s="33"/>
      <c r="KM193" s="33"/>
      <c r="KN193" s="33"/>
      <c r="KO193" s="33"/>
      <c r="KP193" s="33"/>
      <c r="KQ193" s="33"/>
      <c r="KR193" s="33"/>
      <c r="KS193" s="33"/>
      <c r="KT193" s="33"/>
      <c r="KU193" s="33"/>
      <c r="KV193" s="33"/>
      <c r="KW193" s="33"/>
      <c r="KX193" s="33"/>
      <c r="KY193" s="33"/>
      <c r="KZ193" s="33"/>
      <c r="LA193" s="33"/>
      <c r="LB193" s="33"/>
      <c r="LC193" s="33"/>
      <c r="LD193" s="33"/>
      <c r="LE193" s="33"/>
      <c r="LF193" s="33"/>
      <c r="LG193" s="33"/>
      <c r="LH193" s="33"/>
      <c r="LI193" s="33"/>
      <c r="LJ193" s="33"/>
      <c r="LK193" s="33"/>
      <c r="LL193" s="33"/>
      <c r="LM193" s="33"/>
      <c r="LN193" s="33"/>
      <c r="LO193" s="33"/>
      <c r="LP193" s="33"/>
      <c r="LQ193" s="33"/>
      <c r="LR193" s="33"/>
      <c r="LS193" s="33"/>
      <c r="LT193" s="33"/>
      <c r="LU193" s="33"/>
      <c r="LV193" s="33"/>
      <c r="LW193" s="33"/>
      <c r="LX193" s="33"/>
      <c r="LY193" s="33"/>
      <c r="LZ193" s="33"/>
      <c r="MA193" s="33"/>
      <c r="MB193" s="33"/>
      <c r="MC193" s="33"/>
      <c r="MD193" s="33"/>
      <c r="ME193" s="33"/>
      <c r="MF193" s="33"/>
      <c r="MG193" s="33"/>
      <c r="MH193" s="33"/>
      <c r="MI193" s="33"/>
      <c r="MJ193" s="33"/>
      <c r="MK193" s="33"/>
      <c r="ML193" s="33"/>
      <c r="MM193" s="33"/>
      <c r="MN193" s="33"/>
      <c r="MO193" s="33"/>
      <c r="MP193" s="33"/>
      <c r="MQ193" s="33"/>
      <c r="MR193" s="33"/>
      <c r="MS193" s="33"/>
      <c r="MT193" s="33"/>
      <c r="MU193" s="33"/>
      <c r="MV193" s="33"/>
      <c r="MW193" s="33"/>
      <c r="MX193" s="33"/>
      <c r="MY193" s="33"/>
      <c r="MZ193" s="33"/>
      <c r="NA193" s="33"/>
      <c r="NB193" s="33"/>
      <c r="NC193" s="33"/>
      <c r="ND193" s="33"/>
      <c r="NE193" s="33"/>
      <c r="NF193" s="33"/>
      <c r="NG193" s="33"/>
      <c r="NH193" s="33"/>
      <c r="NI193" s="33"/>
      <c r="NJ193" s="33"/>
      <c r="NK193" s="33"/>
      <c r="NL193" s="33"/>
      <c r="NM193" s="33"/>
      <c r="NN193" s="33"/>
      <c r="NO193" s="33"/>
      <c r="NP193" s="33"/>
      <c r="NQ193" s="33"/>
      <c r="NR193" s="33"/>
      <c r="NS193" s="33"/>
      <c r="NT193" s="33"/>
      <c r="NU193" s="33"/>
      <c r="NV193" s="33"/>
      <c r="NW193" s="33"/>
      <c r="NX193" s="33"/>
      <c r="NY193" s="33"/>
      <c r="NZ193" s="33"/>
      <c r="OA193" s="33"/>
      <c r="OB193" s="33"/>
      <c r="OC193" s="33"/>
      <c r="OD193" s="33"/>
      <c r="OE193" s="33"/>
      <c r="OF193" s="33"/>
      <c r="OG193" s="33"/>
      <c r="OH193" s="33"/>
      <c r="OI193" s="33"/>
      <c r="OJ193" s="33"/>
      <c r="OK193" s="33"/>
      <c r="OL193" s="33"/>
      <c r="OM193" s="33"/>
      <c r="ON193" s="33"/>
      <c r="OO193" s="33"/>
      <c r="OP193" s="33"/>
      <c r="OQ193" s="33"/>
      <c r="OR193" s="33"/>
      <c r="OS193" s="33"/>
      <c r="OT193" s="33"/>
      <c r="OU193" s="33"/>
      <c r="OV193" s="33"/>
      <c r="OW193" s="33"/>
      <c r="OX193" s="33"/>
      <c r="OY193" s="33"/>
      <c r="OZ193" s="33"/>
      <c r="PA193" s="33"/>
      <c r="PB193" s="33"/>
      <c r="PC193" s="33"/>
      <c r="PD193" s="33"/>
      <c r="PE193" s="33"/>
      <c r="PF193" s="33"/>
      <c r="PG193" s="33"/>
      <c r="PH193" s="33"/>
      <c r="PI193" s="33"/>
      <c r="PJ193" s="33"/>
      <c r="PK193" s="33"/>
      <c r="PL193" s="33"/>
      <c r="PM193" s="33"/>
      <c r="PN193" s="33"/>
      <c r="PO193" s="33"/>
      <c r="PP193" s="33"/>
      <c r="PQ193" s="33"/>
      <c r="PR193" s="33"/>
      <c r="PS193" s="33"/>
      <c r="PT193" s="33"/>
      <c r="PU193" s="33"/>
      <c r="PV193" s="33"/>
      <c r="PW193" s="33"/>
      <c r="PX193" s="33"/>
      <c r="PY193" s="33"/>
      <c r="PZ193" s="33"/>
      <c r="QA193" s="33"/>
      <c r="QB193" s="33"/>
      <c r="QC193" s="33"/>
      <c r="QD193" s="33"/>
      <c r="QE193" s="33"/>
      <c r="QF193" s="33"/>
      <c r="QG193" s="33"/>
      <c r="QH193" s="33"/>
      <c r="QI193" s="33"/>
      <c r="QJ193" s="33"/>
      <c r="QK193" s="33"/>
      <c r="QL193" s="33"/>
      <c r="QM193" s="33"/>
      <c r="QN193" s="33"/>
      <c r="QO193" s="33"/>
      <c r="QP193" s="33"/>
      <c r="QQ193" s="33"/>
      <c r="QR193" s="33"/>
      <c r="QS193" s="33"/>
      <c r="QT193" s="33"/>
      <c r="QU193" s="33"/>
      <c r="QV193" s="33"/>
      <c r="QW193" s="33"/>
      <c r="QX193" s="33"/>
      <c r="QY193" s="33"/>
      <c r="QZ193" s="33"/>
      <c r="RA193" s="33"/>
      <c r="RB193" s="33"/>
      <c r="RC193" s="33"/>
      <c r="RD193" s="33"/>
      <c r="RE193" s="33"/>
      <c r="RF193" s="33"/>
      <c r="RG193" s="33"/>
      <c r="RH193" s="33"/>
      <c r="RI193" s="33"/>
      <c r="RJ193" s="33"/>
      <c r="RK193" s="33"/>
      <c r="RL193" s="33"/>
      <c r="RM193" s="33"/>
      <c r="RN193" s="33"/>
      <c r="RO193" s="33"/>
      <c r="RP193" s="33"/>
      <c r="RQ193" s="33"/>
      <c r="RR193" s="33"/>
      <c r="RS193" s="33"/>
      <c r="RT193" s="33"/>
      <c r="RU193" s="33"/>
      <c r="RV193" s="33"/>
      <c r="RW193" s="33"/>
      <c r="RX193" s="33"/>
      <c r="RY193" s="33"/>
      <c r="RZ193" s="33"/>
      <c r="SA193" s="33"/>
      <c r="SB193" s="33"/>
      <c r="SC193" s="33"/>
      <c r="SD193" s="33"/>
      <c r="SE193" s="33"/>
      <c r="SF193" s="33"/>
      <c r="SG193" s="33"/>
      <c r="SH193" s="33"/>
      <c r="SI193" s="33"/>
      <c r="SJ193" s="33"/>
      <c r="SK193" s="33"/>
      <c r="SL193" s="33"/>
      <c r="SM193" s="33"/>
      <c r="SN193" s="33"/>
      <c r="SO193" s="33"/>
      <c r="SP193" s="33"/>
      <c r="SQ193" s="33"/>
      <c r="SR193" s="33"/>
      <c r="SS193" s="33"/>
      <c r="ST193" s="33"/>
      <c r="SU193" s="33"/>
      <c r="SV193" s="33"/>
      <c r="SW193" s="33"/>
      <c r="SX193" s="33"/>
      <c r="SY193" s="33"/>
      <c r="SZ193" s="33"/>
      <c r="TA193" s="33"/>
      <c r="TB193" s="33"/>
      <c r="TC193" s="33"/>
      <c r="TD193" s="33"/>
      <c r="TE193" s="33"/>
      <c r="TF193" s="33"/>
      <c r="TG193" s="33"/>
      <c r="TH193" s="33"/>
      <c r="TI193" s="33"/>
      <c r="TJ193" s="33"/>
      <c r="TK193" s="33"/>
      <c r="TL193" s="33"/>
      <c r="TM193" s="33"/>
      <c r="TN193" s="33"/>
      <c r="TO193" s="33"/>
      <c r="TP193" s="33"/>
      <c r="TQ193" s="33"/>
      <c r="TR193" s="33"/>
      <c r="TS193" s="33"/>
      <c r="TT193" s="33"/>
      <c r="TU193" s="33"/>
      <c r="TV193" s="33"/>
      <c r="TW193" s="33"/>
      <c r="TX193" s="33"/>
      <c r="TY193" s="33"/>
      <c r="TZ193" s="33"/>
      <c r="UA193" s="33"/>
      <c r="UB193" s="33"/>
      <c r="UC193" s="33"/>
      <c r="UD193" s="33"/>
      <c r="UE193" s="33"/>
      <c r="UF193" s="33"/>
      <c r="UG193" s="33"/>
      <c r="UH193" s="33"/>
      <c r="UI193" s="33"/>
      <c r="UJ193" s="33"/>
      <c r="UK193" s="33"/>
      <c r="UL193" s="33"/>
      <c r="UM193" s="33"/>
      <c r="UN193" s="33"/>
      <c r="UO193" s="33"/>
      <c r="UP193" s="33"/>
      <c r="UQ193" s="33"/>
      <c r="UR193" s="33"/>
      <c r="US193" s="33"/>
      <c r="UT193" s="33"/>
      <c r="UU193" s="33"/>
      <c r="UV193" s="33"/>
      <c r="UW193" s="33"/>
      <c r="UX193" s="33"/>
      <c r="UY193" s="33"/>
      <c r="UZ193" s="33"/>
      <c r="VA193" s="33"/>
      <c r="VB193" s="33"/>
      <c r="VC193" s="33"/>
      <c r="VD193" s="33"/>
      <c r="VE193" s="33"/>
      <c r="VF193" s="33"/>
      <c r="VG193" s="33"/>
      <c r="VH193" s="33"/>
      <c r="VI193" s="33"/>
      <c r="VJ193" s="33"/>
      <c r="VK193" s="33"/>
      <c r="VL193" s="33"/>
      <c r="VM193" s="33"/>
      <c r="VN193" s="33"/>
      <c r="VO193" s="33"/>
      <c r="VP193" s="33"/>
      <c r="VQ193" s="33"/>
      <c r="VR193" s="33"/>
      <c r="VS193" s="33"/>
      <c r="VT193" s="33"/>
      <c r="VU193" s="33"/>
      <c r="VV193" s="33"/>
      <c r="VW193" s="33"/>
      <c r="VX193" s="33"/>
      <c r="VY193" s="33"/>
      <c r="VZ193" s="33"/>
      <c r="WA193" s="33"/>
      <c r="WB193" s="33"/>
      <c r="WC193" s="33"/>
      <c r="WD193" s="33"/>
      <c r="WE193" s="33"/>
      <c r="WF193" s="33"/>
      <c r="WG193" s="33"/>
      <c r="WH193" s="33"/>
      <c r="WI193" s="33"/>
      <c r="WJ193" s="33"/>
      <c r="WK193" s="33"/>
      <c r="WL193" s="33"/>
      <c r="WM193" s="33"/>
      <c r="WN193" s="33"/>
      <c r="WO193" s="33"/>
      <c r="WP193" s="33"/>
      <c r="WQ193" s="33"/>
      <c r="WR193" s="33"/>
      <c r="WS193" s="33"/>
      <c r="WT193" s="33"/>
      <c r="WU193" s="33"/>
      <c r="WV193" s="33"/>
      <c r="WW193" s="33"/>
      <c r="WX193" s="33"/>
      <c r="WY193" s="33"/>
      <c r="WZ193" s="33"/>
      <c r="XA193" s="33"/>
      <c r="XB193" s="33"/>
      <c r="XC193" s="33"/>
      <c r="XD193" s="33"/>
      <c r="XE193" s="33"/>
      <c r="XF193" s="33"/>
      <c r="XG193" s="33"/>
      <c r="XH193" s="33"/>
      <c r="XI193" s="33"/>
      <c r="XJ193" s="33"/>
      <c r="XK193" s="33"/>
      <c r="XL193" s="33"/>
      <c r="XM193" s="33"/>
      <c r="XN193" s="33"/>
      <c r="XO193" s="33"/>
      <c r="XP193" s="33"/>
      <c r="XQ193" s="33"/>
      <c r="XR193" s="33"/>
      <c r="XS193" s="33"/>
      <c r="XT193" s="33"/>
      <c r="XU193" s="33"/>
      <c r="XV193" s="33"/>
      <c r="XW193" s="33"/>
      <c r="XX193" s="33"/>
      <c r="XY193" s="33"/>
      <c r="XZ193" s="33"/>
      <c r="YA193" s="33"/>
      <c r="YB193" s="33"/>
      <c r="YC193" s="33"/>
      <c r="YD193" s="33"/>
      <c r="YE193" s="33"/>
      <c r="YF193" s="33"/>
      <c r="YG193" s="33"/>
      <c r="YH193" s="33"/>
      <c r="YI193" s="33"/>
      <c r="YJ193" s="33"/>
      <c r="YK193" s="33"/>
      <c r="YL193" s="33"/>
      <c r="YM193" s="33"/>
      <c r="YN193" s="33"/>
      <c r="YO193" s="33"/>
      <c r="YP193" s="33"/>
      <c r="YQ193" s="33"/>
      <c r="YR193" s="33"/>
      <c r="YS193" s="33"/>
      <c r="YT193" s="33"/>
      <c r="YU193" s="33"/>
      <c r="YV193" s="33"/>
      <c r="YW193" s="33"/>
      <c r="YX193" s="33"/>
      <c r="YY193" s="33"/>
      <c r="YZ193" s="33"/>
      <c r="ZA193" s="33"/>
      <c r="ZB193" s="33"/>
      <c r="ZC193" s="33"/>
      <c r="ZD193" s="33"/>
      <c r="ZE193" s="33"/>
      <c r="ZF193" s="33"/>
      <c r="ZG193" s="33"/>
      <c r="ZH193" s="33"/>
      <c r="ZI193" s="33"/>
      <c r="ZJ193" s="33"/>
      <c r="ZK193" s="33"/>
      <c r="ZL193" s="33"/>
      <c r="ZM193" s="33"/>
      <c r="ZN193" s="33"/>
      <c r="ZO193" s="33"/>
      <c r="ZP193" s="33"/>
      <c r="ZQ193" s="33"/>
      <c r="ZR193" s="33"/>
      <c r="ZS193" s="33"/>
      <c r="ZT193" s="33"/>
      <c r="ZU193" s="33"/>
      <c r="ZV193" s="33"/>
      <c r="ZW193" s="33"/>
      <c r="ZX193" s="33"/>
      <c r="ZY193" s="33"/>
      <c r="ZZ193" s="33"/>
      <c r="AAA193" s="33"/>
      <c r="AAB193" s="33"/>
      <c r="AAC193" s="33"/>
      <c r="AAD193" s="33"/>
      <c r="AAE193" s="33"/>
      <c r="AAF193" s="33"/>
      <c r="AAG193" s="33"/>
      <c r="AAH193" s="33"/>
      <c r="AAI193" s="33"/>
      <c r="AAJ193" s="33"/>
      <c r="AAK193" s="33"/>
      <c r="AAL193" s="33"/>
      <c r="AAM193" s="33"/>
      <c r="AAN193" s="33"/>
      <c r="AAO193" s="33"/>
      <c r="AAP193" s="33"/>
      <c r="AAQ193" s="33"/>
      <c r="AAR193" s="33"/>
      <c r="AAS193" s="33"/>
      <c r="AAT193" s="33"/>
      <c r="AAU193" s="33"/>
      <c r="AAV193" s="33"/>
      <c r="AAW193" s="33"/>
      <c r="AAX193" s="33"/>
      <c r="AAY193" s="33"/>
      <c r="AAZ193" s="33"/>
      <c r="ABA193" s="33"/>
      <c r="ABB193" s="33"/>
      <c r="ABC193" s="33"/>
      <c r="ABD193" s="33"/>
      <c r="ABE193" s="33"/>
      <c r="ABF193" s="33"/>
      <c r="ABG193" s="33"/>
      <c r="ABH193" s="33"/>
      <c r="ABI193" s="33"/>
      <c r="ABJ193" s="33"/>
      <c r="ABK193" s="33"/>
      <c r="ABL193" s="33"/>
      <c r="ABM193" s="33"/>
      <c r="ABN193" s="33"/>
      <c r="ABO193" s="33"/>
      <c r="ABP193" s="33"/>
      <c r="ABQ193" s="33"/>
      <c r="ABR193" s="33"/>
      <c r="ABS193" s="33"/>
      <c r="ABT193" s="33"/>
      <c r="ABU193" s="33"/>
      <c r="ABV193" s="33"/>
      <c r="ABW193" s="33"/>
      <c r="ABX193" s="33"/>
      <c r="ABY193" s="33"/>
      <c r="ABZ193" s="33"/>
      <c r="ACA193" s="33"/>
      <c r="ACB193" s="33"/>
      <c r="ACC193" s="33"/>
      <c r="ACD193" s="33"/>
      <c r="ACE193" s="33"/>
      <c r="ACF193" s="33"/>
      <c r="ACG193" s="33"/>
      <c r="ACH193" s="33"/>
      <c r="ACI193" s="33"/>
      <c r="ACJ193" s="33"/>
      <c r="ACK193" s="33"/>
      <c r="ACL193" s="33"/>
      <c r="ACM193" s="33"/>
      <c r="ACN193" s="33"/>
      <c r="ACO193" s="33"/>
      <c r="ACP193" s="33"/>
      <c r="ACQ193" s="33"/>
      <c r="ACR193" s="33"/>
      <c r="ACS193" s="33"/>
      <c r="ACT193" s="33"/>
      <c r="ACU193" s="33"/>
      <c r="ACV193" s="33"/>
      <c r="ACW193" s="33"/>
      <c r="ACX193" s="33"/>
      <c r="ACY193" s="33"/>
      <c r="ACZ193" s="33"/>
      <c r="ADA193" s="33"/>
      <c r="ADB193" s="33"/>
      <c r="ADC193" s="33"/>
      <c r="ADD193" s="33"/>
      <c r="ADE193" s="33"/>
      <c r="ADF193" s="33"/>
      <c r="ADG193" s="33"/>
      <c r="ADH193" s="33"/>
      <c r="ADI193" s="33"/>
      <c r="ADJ193" s="33"/>
      <c r="ADK193" s="33"/>
      <c r="ADL193" s="33"/>
      <c r="ADM193" s="33"/>
      <c r="ADN193" s="33"/>
      <c r="ADO193" s="33"/>
      <c r="ADP193" s="33"/>
      <c r="ADQ193" s="33"/>
      <c r="ADR193" s="33"/>
      <c r="ADS193" s="33"/>
      <c r="ADT193" s="33"/>
      <c r="ADU193" s="33"/>
      <c r="ADV193" s="33"/>
      <c r="ADW193" s="33"/>
      <c r="ADX193" s="33"/>
      <c r="ADY193" s="33"/>
      <c r="ADZ193" s="33"/>
      <c r="AEA193" s="33"/>
      <c r="AEB193" s="33"/>
      <c r="AEC193" s="33"/>
      <c r="AED193" s="33"/>
      <c r="AEE193" s="33"/>
      <c r="AEF193" s="33"/>
      <c r="AEG193" s="33"/>
      <c r="AEH193" s="33"/>
      <c r="AEI193" s="33"/>
      <c r="AEJ193" s="33"/>
      <c r="AEK193" s="33"/>
      <c r="AEL193" s="33"/>
      <c r="AEM193" s="33"/>
      <c r="AEN193" s="33"/>
      <c r="AEO193" s="33"/>
      <c r="AEP193" s="33"/>
      <c r="AEQ193" s="33"/>
      <c r="AER193" s="33"/>
      <c r="AES193" s="33"/>
      <c r="AET193" s="33"/>
      <c r="AEU193" s="33"/>
      <c r="AEV193" s="33"/>
      <c r="AEW193" s="33"/>
      <c r="AEX193" s="33"/>
      <c r="AEY193" s="33"/>
      <c r="AEZ193" s="33"/>
      <c r="AFA193" s="33"/>
      <c r="AFB193" s="33"/>
      <c r="AFC193" s="33"/>
      <c r="AFD193" s="33"/>
      <c r="AFE193" s="33"/>
      <c r="AFF193" s="33"/>
      <c r="AFG193" s="33"/>
      <c r="AFH193" s="33"/>
      <c r="AFI193" s="33"/>
      <c r="AFJ193" s="33"/>
      <c r="AFK193" s="33"/>
      <c r="AFL193" s="33"/>
      <c r="AFM193" s="33"/>
      <c r="AFN193" s="33"/>
      <c r="AFO193" s="33"/>
      <c r="AFP193" s="33"/>
      <c r="AFQ193" s="33"/>
      <c r="AFR193" s="33"/>
      <c r="AFS193" s="33"/>
      <c r="AFT193" s="33"/>
      <c r="AFU193" s="33"/>
      <c r="AFV193" s="33"/>
      <c r="AFW193" s="33"/>
      <c r="AFX193" s="33"/>
      <c r="AFY193" s="33"/>
      <c r="AFZ193" s="33"/>
      <c r="AGA193" s="33"/>
      <c r="AGB193" s="33"/>
      <c r="AGC193" s="33"/>
      <c r="AGD193" s="33"/>
      <c r="AGE193" s="33"/>
      <c r="AGF193" s="33"/>
      <c r="AGG193" s="33"/>
      <c r="AGH193" s="33"/>
      <c r="AGI193" s="33"/>
      <c r="AGJ193" s="33"/>
      <c r="AGK193" s="33"/>
      <c r="AGL193" s="33"/>
      <c r="AGM193" s="33"/>
      <c r="AGN193" s="33"/>
      <c r="AGO193" s="33"/>
      <c r="AGP193" s="33"/>
      <c r="AGQ193" s="33"/>
      <c r="AGR193" s="33"/>
      <c r="AGS193" s="33"/>
      <c r="AGT193" s="33"/>
      <c r="AGU193" s="33"/>
      <c r="AGV193" s="33"/>
      <c r="AGW193" s="33"/>
      <c r="AGX193" s="33"/>
      <c r="AGY193" s="33"/>
      <c r="AGZ193" s="33"/>
      <c r="AHA193" s="33"/>
      <c r="AHB193" s="33"/>
      <c r="AHC193" s="33"/>
      <c r="AHD193" s="33"/>
      <c r="AHE193" s="33"/>
      <c r="AHF193" s="33"/>
      <c r="AHG193" s="33"/>
      <c r="AHH193" s="33"/>
      <c r="AHI193" s="33"/>
      <c r="AHJ193" s="33"/>
      <c r="AHK193" s="33"/>
      <c r="AHL193" s="33"/>
      <c r="AHM193" s="33"/>
      <c r="AHN193" s="33"/>
      <c r="AHO193" s="33"/>
      <c r="AHP193" s="33"/>
      <c r="AHQ193" s="33"/>
      <c r="AHR193" s="33"/>
      <c r="AHS193" s="33"/>
      <c r="AHT193" s="33"/>
      <c r="AHU193" s="33"/>
      <c r="AHV193" s="33"/>
      <c r="AHW193" s="33"/>
      <c r="AHX193" s="33"/>
      <c r="AHY193" s="33"/>
      <c r="AHZ193" s="33"/>
      <c r="AIA193" s="33"/>
      <c r="AIB193" s="33"/>
      <c r="AIC193" s="33"/>
      <c r="AID193" s="33"/>
      <c r="AIE193" s="33"/>
      <c r="AIF193" s="33"/>
      <c r="AIG193" s="33"/>
      <c r="AIH193" s="33"/>
      <c r="AII193" s="33"/>
      <c r="AIJ193" s="33"/>
      <c r="AIK193" s="33"/>
      <c r="AIL193" s="33"/>
      <c r="AIM193" s="33"/>
      <c r="AIN193" s="33"/>
      <c r="AIO193" s="33"/>
      <c r="AIP193" s="33"/>
      <c r="AIQ193" s="33"/>
      <c r="AIR193" s="33"/>
      <c r="AIS193" s="33"/>
      <c r="AIT193" s="33"/>
      <c r="AIU193" s="33"/>
      <c r="AIV193" s="33"/>
      <c r="AIW193" s="33"/>
      <c r="AIX193" s="33"/>
      <c r="AIY193" s="33"/>
      <c r="AIZ193" s="33"/>
      <c r="AJA193" s="33"/>
      <c r="AJB193" s="33"/>
      <c r="AJC193" s="33"/>
      <c r="AJD193" s="33"/>
      <c r="AJE193" s="33"/>
      <c r="AJF193" s="33"/>
      <c r="AJG193" s="33"/>
      <c r="AJH193" s="33"/>
      <c r="AJI193" s="33"/>
      <c r="AJJ193" s="33"/>
      <c r="AJK193" s="33"/>
      <c r="AJL193" s="33"/>
      <c r="AJM193" s="33"/>
      <c r="AJN193" s="33"/>
      <c r="AJO193" s="33"/>
      <c r="AJP193" s="33"/>
      <c r="AJQ193" s="33"/>
      <c r="AJR193" s="33"/>
      <c r="AJS193" s="33"/>
      <c r="AJT193" s="33"/>
      <c r="AJU193" s="33"/>
      <c r="AJV193" s="33"/>
      <c r="AJW193" s="33"/>
      <c r="AJX193" s="33"/>
      <c r="AJY193" s="33"/>
      <c r="AJZ193" s="33"/>
      <c r="AKA193" s="33"/>
      <c r="AKB193" s="33"/>
      <c r="AKC193" s="33"/>
      <c r="AKD193" s="33"/>
      <c r="AKE193" s="33"/>
      <c r="AKF193" s="33"/>
      <c r="AKG193" s="33"/>
      <c r="AKH193" s="33"/>
      <c r="AKI193" s="33"/>
      <c r="AKJ193" s="33"/>
      <c r="AKK193" s="33"/>
      <c r="AKL193" s="33"/>
      <c r="AKM193" s="33"/>
      <c r="AKN193" s="33"/>
      <c r="AKO193" s="33"/>
      <c r="AKP193" s="33"/>
      <c r="AKQ193" s="33"/>
      <c r="AKR193" s="33"/>
      <c r="AKS193" s="33"/>
      <c r="AKT193" s="33"/>
      <c r="AKU193" s="33"/>
      <c r="AKV193" s="33"/>
      <c r="AKW193" s="33"/>
      <c r="AKX193" s="33"/>
      <c r="AKY193" s="33"/>
      <c r="AKZ193" s="33"/>
      <c r="ALA193" s="33"/>
      <c r="ALB193" s="33"/>
      <c r="ALC193" s="33"/>
      <c r="ALD193" s="33"/>
      <c r="ALE193" s="33"/>
      <c r="ALF193" s="33"/>
      <c r="ALG193" s="33"/>
      <c r="ALH193" s="33"/>
      <c r="ALI193" s="33"/>
      <c r="ALJ193" s="33"/>
      <c r="ALK193" s="33"/>
      <c r="ALL193" s="33"/>
      <c r="ALM193" s="33"/>
      <c r="ALN193" s="33"/>
      <c r="ALO193" s="33"/>
      <c r="ALP193" s="33"/>
      <c r="ALQ193" s="33"/>
      <c r="ALR193" s="33"/>
      <c r="ALS193" s="33"/>
      <c r="ALT193" s="33"/>
      <c r="ALU193" s="33"/>
      <c r="ALV193" s="33"/>
      <c r="ALW193" s="33"/>
      <c r="ALX193" s="33"/>
      <c r="ALY193" s="33"/>
      <c r="ALZ193" s="33"/>
      <c r="AMA193" s="33"/>
      <c r="AMB193" s="33"/>
      <c r="AMC193" s="33"/>
      <c r="AMD193" s="33"/>
      <c r="AME193" s="33"/>
      <c r="AMF193" s="33"/>
      <c r="AMG193" s="33"/>
      <c r="AMH193" s="33"/>
      <c r="AMI193" s="33"/>
      <c r="AMJ193" s="33"/>
      <c r="AMK193" s="33"/>
      <c r="AML193" s="33"/>
      <c r="AMM193" s="33"/>
    </row>
    <row r="194" spans="1:1027" s="33" customFormat="1" x14ac:dyDescent="0.2">
      <c r="A194" s="18">
        <v>4</v>
      </c>
      <c r="B194" s="18" t="s">
        <v>759</v>
      </c>
      <c r="C194" s="18" t="s">
        <v>760</v>
      </c>
      <c r="D194" s="18">
        <v>311</v>
      </c>
      <c r="E194" s="19" t="s">
        <v>507</v>
      </c>
      <c r="F194" s="19" t="s">
        <v>507</v>
      </c>
      <c r="G194" s="20" t="s">
        <v>507</v>
      </c>
      <c r="H194" s="19" t="s">
        <v>507</v>
      </c>
      <c r="I194" s="19" t="s">
        <v>507</v>
      </c>
      <c r="J194" s="19" t="s">
        <v>507</v>
      </c>
      <c r="K194" s="21" t="s">
        <v>509</v>
      </c>
      <c r="L194" s="18"/>
      <c r="M194" s="1" t="s">
        <v>510</v>
      </c>
      <c r="N194" s="1"/>
      <c r="O194" s="18"/>
      <c r="P194" s="18"/>
      <c r="Q194" s="18"/>
      <c r="R194" s="18"/>
      <c r="S194" s="13"/>
      <c r="T194" s="6"/>
      <c r="U194" s="1"/>
      <c r="V194" s="1"/>
      <c r="W194" s="1"/>
      <c r="X194" s="1"/>
      <c r="Y194" s="1"/>
      <c r="Z194" s="1"/>
      <c r="AA194" s="30"/>
      <c r="AB194" s="30"/>
      <c r="AC194" s="1"/>
      <c r="AD194" s="1"/>
      <c r="AE194" s="1"/>
      <c r="AMM194" s="70"/>
    </row>
    <row r="195" spans="1:1027" s="70" customFormat="1" x14ac:dyDescent="0.2">
      <c r="A195" s="54">
        <v>1</v>
      </c>
      <c r="B195" s="18" t="s">
        <v>761</v>
      </c>
      <c r="C195" s="18" t="s">
        <v>762</v>
      </c>
      <c r="D195" s="18">
        <v>179</v>
      </c>
      <c r="E195" s="19" t="s">
        <v>507</v>
      </c>
      <c r="F195" s="19" t="s">
        <v>507</v>
      </c>
      <c r="G195" s="20" t="s">
        <v>507</v>
      </c>
      <c r="H195" s="19" t="s">
        <v>507</v>
      </c>
      <c r="I195" s="19" t="s">
        <v>507</v>
      </c>
      <c r="J195" s="19" t="s">
        <v>507</v>
      </c>
      <c r="K195" s="21" t="s">
        <v>509</v>
      </c>
      <c r="L195" s="18"/>
      <c r="M195" s="1" t="s">
        <v>510</v>
      </c>
      <c r="N195" s="1"/>
      <c r="O195" s="18"/>
      <c r="P195" s="18"/>
      <c r="Q195" s="18"/>
      <c r="R195" s="18"/>
      <c r="S195" s="13"/>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c r="DV195" s="18"/>
      <c r="DW195" s="18"/>
      <c r="DX195" s="18"/>
      <c r="DY195" s="18"/>
      <c r="DZ195" s="18"/>
      <c r="EA195" s="18"/>
      <c r="EB195" s="18"/>
      <c r="EC195" s="18"/>
      <c r="ED195" s="18"/>
      <c r="EE195" s="18"/>
      <c r="EF195" s="18"/>
      <c r="EG195" s="18"/>
      <c r="EH195" s="18"/>
      <c r="EI195" s="18"/>
      <c r="EJ195" s="18"/>
      <c r="EK195" s="18"/>
      <c r="EL195" s="18"/>
      <c r="EM195" s="18"/>
      <c r="EN195" s="18"/>
      <c r="EO195" s="18"/>
      <c r="EP195" s="18"/>
      <c r="EQ195" s="18"/>
      <c r="ER195" s="18"/>
      <c r="ES195" s="18"/>
      <c r="ET195" s="18"/>
      <c r="EU195" s="18"/>
      <c r="EV195" s="18"/>
      <c r="EW195" s="18"/>
      <c r="EX195" s="18"/>
      <c r="EY195" s="18"/>
      <c r="EZ195" s="18"/>
      <c r="FA195" s="18"/>
      <c r="FB195" s="18"/>
      <c r="FC195" s="18"/>
      <c r="FD195" s="18"/>
      <c r="FE195" s="18"/>
      <c r="FF195" s="18"/>
      <c r="FG195" s="18"/>
      <c r="FH195" s="18"/>
      <c r="FI195" s="18"/>
      <c r="FJ195" s="18"/>
      <c r="FK195" s="18"/>
      <c r="FL195" s="18"/>
      <c r="FM195" s="18"/>
      <c r="FN195" s="18"/>
      <c r="FO195" s="18"/>
      <c r="FP195" s="18"/>
      <c r="FQ195" s="18"/>
      <c r="FR195" s="18"/>
      <c r="FS195" s="18"/>
      <c r="FT195" s="18"/>
      <c r="FU195" s="18"/>
      <c r="FV195" s="18"/>
      <c r="FW195" s="18"/>
      <c r="FX195" s="18"/>
      <c r="FY195" s="18"/>
      <c r="FZ195" s="18"/>
      <c r="GA195" s="18"/>
      <c r="GB195" s="18"/>
      <c r="GC195" s="18"/>
      <c r="GD195" s="18"/>
      <c r="GE195" s="18"/>
      <c r="GF195" s="18"/>
      <c r="GG195" s="18"/>
      <c r="GH195" s="18"/>
      <c r="GI195" s="18"/>
      <c r="GJ195" s="18"/>
      <c r="GK195" s="18"/>
      <c r="GL195" s="18"/>
      <c r="GM195" s="18"/>
      <c r="GN195" s="18"/>
      <c r="GO195" s="18"/>
      <c r="GP195" s="18"/>
      <c r="GQ195" s="18"/>
      <c r="GR195" s="18"/>
      <c r="GS195" s="18"/>
      <c r="GT195" s="18"/>
      <c r="GU195" s="18"/>
      <c r="GV195" s="18"/>
      <c r="GW195" s="18"/>
      <c r="GX195" s="18"/>
      <c r="GY195" s="18"/>
      <c r="GZ195" s="18"/>
      <c r="HA195" s="18"/>
      <c r="HB195" s="18"/>
      <c r="HC195" s="18"/>
      <c r="HD195" s="18"/>
      <c r="HE195" s="18"/>
      <c r="HF195" s="18"/>
      <c r="HG195" s="18"/>
      <c r="HH195" s="18"/>
      <c r="HI195" s="18"/>
      <c r="HJ195" s="18"/>
      <c r="HK195" s="18"/>
      <c r="HL195" s="18"/>
      <c r="HM195" s="18"/>
      <c r="HN195" s="18"/>
      <c r="HO195" s="18"/>
      <c r="HP195" s="18"/>
      <c r="HQ195" s="18"/>
      <c r="HR195" s="18"/>
      <c r="HS195" s="18"/>
      <c r="HT195" s="18"/>
      <c r="HU195" s="18"/>
      <c r="HV195" s="18"/>
      <c r="HW195" s="18"/>
      <c r="HX195" s="18"/>
      <c r="HY195" s="18"/>
      <c r="HZ195" s="18"/>
      <c r="IA195" s="18"/>
      <c r="IB195" s="18"/>
      <c r="IC195" s="18"/>
      <c r="ID195" s="18"/>
      <c r="IE195" s="18"/>
      <c r="IF195" s="18"/>
      <c r="IG195" s="18"/>
      <c r="IH195" s="18"/>
      <c r="II195" s="18"/>
      <c r="IJ195" s="18"/>
      <c r="IK195" s="18"/>
      <c r="IL195" s="18"/>
      <c r="IM195" s="18"/>
      <c r="IN195" s="18"/>
      <c r="IO195" s="18"/>
      <c r="IP195" s="18"/>
      <c r="IQ195" s="18"/>
      <c r="IR195" s="18"/>
      <c r="IS195" s="18"/>
      <c r="IT195" s="18"/>
      <c r="IU195" s="18"/>
      <c r="IV195" s="18"/>
      <c r="IW195" s="18"/>
      <c r="IX195" s="18"/>
      <c r="IY195" s="18"/>
      <c r="IZ195" s="18"/>
      <c r="JA195" s="18"/>
      <c r="JB195" s="18"/>
      <c r="JC195" s="18"/>
      <c r="JD195" s="18"/>
      <c r="JE195" s="18"/>
      <c r="JF195" s="18"/>
      <c r="JG195" s="18"/>
      <c r="JH195" s="18"/>
      <c r="JI195" s="18"/>
      <c r="JJ195" s="18"/>
      <c r="JK195" s="18"/>
      <c r="JL195" s="18"/>
      <c r="JM195" s="18"/>
      <c r="JN195" s="18"/>
      <c r="JO195" s="18"/>
      <c r="JP195" s="18"/>
      <c r="JQ195" s="18"/>
      <c r="JR195" s="18"/>
      <c r="JS195" s="18"/>
      <c r="JT195" s="18"/>
      <c r="JU195" s="18"/>
      <c r="JV195" s="18"/>
      <c r="JW195" s="18"/>
      <c r="JX195" s="18"/>
      <c r="JY195" s="18"/>
      <c r="JZ195" s="18"/>
      <c r="KA195" s="18"/>
      <c r="KB195" s="18"/>
      <c r="KC195" s="18"/>
      <c r="KD195" s="18"/>
      <c r="KE195" s="18"/>
      <c r="KF195" s="18"/>
      <c r="KG195" s="18"/>
      <c r="KH195" s="18"/>
      <c r="KI195" s="18"/>
      <c r="KJ195" s="18"/>
      <c r="KK195" s="18"/>
      <c r="KL195" s="18"/>
      <c r="KM195" s="18"/>
      <c r="KN195" s="18"/>
      <c r="KO195" s="18"/>
      <c r="KP195" s="18"/>
      <c r="KQ195" s="18"/>
      <c r="KR195" s="18"/>
      <c r="KS195" s="18"/>
      <c r="KT195" s="18"/>
      <c r="KU195" s="18"/>
      <c r="KV195" s="18"/>
      <c r="KW195" s="18"/>
      <c r="KX195" s="18"/>
      <c r="KY195" s="18"/>
      <c r="KZ195" s="18"/>
      <c r="LA195" s="18"/>
      <c r="LB195" s="18"/>
      <c r="LC195" s="18"/>
      <c r="LD195" s="18"/>
      <c r="LE195" s="18"/>
      <c r="LF195" s="18"/>
      <c r="LG195" s="18"/>
      <c r="LH195" s="18"/>
      <c r="LI195" s="18"/>
      <c r="LJ195" s="18"/>
      <c r="LK195" s="18"/>
      <c r="LL195" s="18"/>
      <c r="LM195" s="18"/>
      <c r="LN195" s="18"/>
      <c r="LO195" s="18"/>
      <c r="LP195" s="18"/>
      <c r="LQ195" s="18"/>
      <c r="LR195" s="18"/>
      <c r="LS195" s="18"/>
      <c r="LT195" s="18"/>
      <c r="LU195" s="18"/>
      <c r="LV195" s="18"/>
      <c r="LW195" s="18"/>
      <c r="LX195" s="18"/>
      <c r="LY195" s="18"/>
      <c r="LZ195" s="18"/>
      <c r="MA195" s="18"/>
      <c r="MB195" s="18"/>
      <c r="MC195" s="18"/>
      <c r="MD195" s="18"/>
      <c r="ME195" s="18"/>
      <c r="MF195" s="18"/>
      <c r="MG195" s="18"/>
      <c r="MH195" s="18"/>
      <c r="MI195" s="18"/>
      <c r="MJ195" s="18"/>
      <c r="MK195" s="18"/>
      <c r="ML195" s="18"/>
      <c r="MM195" s="18"/>
      <c r="MN195" s="18"/>
      <c r="MO195" s="18"/>
      <c r="MP195" s="18"/>
      <c r="MQ195" s="18"/>
      <c r="MR195" s="18"/>
      <c r="MS195" s="18"/>
      <c r="MT195" s="18"/>
      <c r="MU195" s="18"/>
      <c r="MV195" s="18"/>
      <c r="MW195" s="18"/>
      <c r="MX195" s="18"/>
      <c r="MY195" s="18"/>
      <c r="MZ195" s="18"/>
      <c r="NA195" s="18"/>
      <c r="NB195" s="18"/>
      <c r="NC195" s="18"/>
      <c r="ND195" s="18"/>
      <c r="NE195" s="18"/>
      <c r="NF195" s="18"/>
      <c r="NG195" s="18"/>
      <c r="NH195" s="18"/>
      <c r="NI195" s="18"/>
      <c r="NJ195" s="18"/>
      <c r="NK195" s="18"/>
      <c r="NL195" s="18"/>
      <c r="NM195" s="18"/>
      <c r="NN195" s="18"/>
      <c r="NO195" s="18"/>
      <c r="NP195" s="18"/>
      <c r="NQ195" s="18"/>
      <c r="NR195" s="18"/>
      <c r="NS195" s="18"/>
      <c r="NT195" s="18"/>
      <c r="NU195" s="18"/>
      <c r="NV195" s="18"/>
      <c r="NW195" s="18"/>
      <c r="NX195" s="18"/>
      <c r="NY195" s="18"/>
      <c r="NZ195" s="18"/>
      <c r="OA195" s="18"/>
      <c r="OB195" s="18"/>
      <c r="OC195" s="18"/>
      <c r="OD195" s="18"/>
      <c r="OE195" s="18"/>
      <c r="OF195" s="18"/>
      <c r="OG195" s="18"/>
      <c r="OH195" s="18"/>
      <c r="OI195" s="18"/>
      <c r="OJ195" s="18"/>
      <c r="OK195" s="18"/>
      <c r="OL195" s="18"/>
      <c r="OM195" s="18"/>
      <c r="ON195" s="18"/>
      <c r="OO195" s="18"/>
      <c r="OP195" s="18"/>
      <c r="OQ195" s="18"/>
      <c r="OR195" s="18"/>
      <c r="OS195" s="18"/>
      <c r="OT195" s="18"/>
      <c r="OU195" s="18"/>
      <c r="OV195" s="18"/>
      <c r="OW195" s="18"/>
      <c r="OX195" s="18"/>
      <c r="OY195" s="18"/>
      <c r="OZ195" s="18"/>
      <c r="PA195" s="18"/>
      <c r="PB195" s="18"/>
      <c r="PC195" s="18"/>
      <c r="PD195" s="18"/>
      <c r="PE195" s="18"/>
      <c r="PF195" s="18"/>
      <c r="PG195" s="18"/>
      <c r="PH195" s="18"/>
      <c r="PI195" s="18"/>
      <c r="PJ195" s="18"/>
      <c r="PK195" s="18"/>
      <c r="PL195" s="18"/>
      <c r="PM195" s="18"/>
      <c r="PN195" s="18"/>
      <c r="PO195" s="18"/>
      <c r="PP195" s="18"/>
      <c r="PQ195" s="18"/>
      <c r="PR195" s="18"/>
      <c r="PS195" s="18"/>
      <c r="PT195" s="18"/>
      <c r="PU195" s="18"/>
      <c r="PV195" s="18"/>
      <c r="PW195" s="18"/>
      <c r="PX195" s="18"/>
      <c r="PY195" s="18"/>
      <c r="PZ195" s="18"/>
      <c r="QA195" s="18"/>
      <c r="QB195" s="18"/>
      <c r="QC195" s="18"/>
      <c r="QD195" s="18"/>
      <c r="QE195" s="18"/>
      <c r="QF195" s="18"/>
      <c r="QG195" s="18"/>
      <c r="QH195" s="18"/>
      <c r="QI195" s="18"/>
      <c r="QJ195" s="18"/>
      <c r="QK195" s="18"/>
      <c r="QL195" s="18"/>
      <c r="QM195" s="18"/>
      <c r="QN195" s="18"/>
      <c r="QO195" s="18"/>
      <c r="QP195" s="18"/>
      <c r="QQ195" s="18"/>
      <c r="QR195" s="18"/>
      <c r="QS195" s="18"/>
      <c r="QT195" s="18"/>
      <c r="QU195" s="18"/>
      <c r="QV195" s="18"/>
      <c r="QW195" s="18"/>
      <c r="QX195" s="18"/>
      <c r="QY195" s="18"/>
      <c r="QZ195" s="18"/>
      <c r="RA195" s="18"/>
      <c r="RB195" s="18"/>
      <c r="RC195" s="18"/>
      <c r="RD195" s="18"/>
      <c r="RE195" s="18"/>
      <c r="RF195" s="18"/>
      <c r="RG195" s="18"/>
      <c r="RH195" s="18"/>
      <c r="RI195" s="18"/>
      <c r="RJ195" s="18"/>
      <c r="RK195" s="18"/>
      <c r="RL195" s="18"/>
      <c r="RM195" s="18"/>
      <c r="RN195" s="18"/>
      <c r="RO195" s="18"/>
      <c r="RP195" s="18"/>
      <c r="RQ195" s="18"/>
      <c r="RR195" s="18"/>
      <c r="RS195" s="18"/>
      <c r="RT195" s="18"/>
      <c r="RU195" s="18"/>
      <c r="RV195" s="18"/>
      <c r="RW195" s="18"/>
      <c r="RX195" s="18"/>
      <c r="RY195" s="18"/>
      <c r="RZ195" s="18"/>
      <c r="SA195" s="18"/>
      <c r="SB195" s="18"/>
      <c r="SC195" s="18"/>
      <c r="SD195" s="18"/>
      <c r="SE195" s="18"/>
      <c r="SF195" s="18"/>
      <c r="SG195" s="18"/>
      <c r="SH195" s="18"/>
      <c r="SI195" s="18"/>
      <c r="SJ195" s="18"/>
      <c r="SK195" s="18"/>
      <c r="SL195" s="18"/>
      <c r="SM195" s="18"/>
      <c r="SN195" s="18"/>
      <c r="SO195" s="18"/>
      <c r="SP195" s="18"/>
      <c r="SQ195" s="18"/>
      <c r="SR195" s="18"/>
      <c r="SS195" s="18"/>
      <c r="ST195" s="18"/>
      <c r="SU195" s="18"/>
      <c r="SV195" s="18"/>
      <c r="SW195" s="18"/>
      <c r="SX195" s="18"/>
      <c r="SY195" s="18"/>
      <c r="SZ195" s="18"/>
      <c r="TA195" s="18"/>
      <c r="TB195" s="18"/>
      <c r="TC195" s="18"/>
      <c r="TD195" s="18"/>
      <c r="TE195" s="18"/>
      <c r="TF195" s="18"/>
      <c r="TG195" s="18"/>
      <c r="TH195" s="18"/>
      <c r="TI195" s="18"/>
      <c r="TJ195" s="18"/>
      <c r="TK195" s="18"/>
      <c r="TL195" s="18"/>
      <c r="TM195" s="18"/>
      <c r="TN195" s="18"/>
      <c r="TO195" s="18"/>
      <c r="TP195" s="18"/>
      <c r="TQ195" s="18"/>
      <c r="TR195" s="18"/>
      <c r="TS195" s="18"/>
      <c r="TT195" s="18"/>
      <c r="TU195" s="18"/>
      <c r="TV195" s="18"/>
      <c r="TW195" s="18"/>
      <c r="TX195" s="18"/>
      <c r="TY195" s="18"/>
      <c r="TZ195" s="18"/>
      <c r="UA195" s="18"/>
      <c r="UB195" s="18"/>
      <c r="UC195" s="18"/>
      <c r="UD195" s="18"/>
      <c r="UE195" s="18"/>
      <c r="UF195" s="18"/>
      <c r="UG195" s="18"/>
      <c r="UH195" s="18"/>
      <c r="UI195" s="18"/>
      <c r="UJ195" s="18"/>
      <c r="UK195" s="18"/>
      <c r="UL195" s="18"/>
      <c r="UM195" s="18"/>
      <c r="UN195" s="18"/>
      <c r="UO195" s="18"/>
      <c r="UP195" s="18"/>
      <c r="UQ195" s="18"/>
      <c r="UR195" s="18"/>
      <c r="US195" s="18"/>
      <c r="UT195" s="18"/>
      <c r="UU195" s="18"/>
      <c r="UV195" s="18"/>
      <c r="UW195" s="18"/>
      <c r="UX195" s="18"/>
      <c r="UY195" s="18"/>
      <c r="UZ195" s="18"/>
      <c r="VA195" s="18"/>
      <c r="VB195" s="18"/>
      <c r="VC195" s="18"/>
      <c r="VD195" s="18"/>
      <c r="VE195" s="18"/>
      <c r="VF195" s="18"/>
      <c r="VG195" s="18"/>
      <c r="VH195" s="18"/>
      <c r="VI195" s="18"/>
      <c r="VJ195" s="18"/>
      <c r="VK195" s="18"/>
      <c r="VL195" s="18"/>
      <c r="VM195" s="18"/>
      <c r="VN195" s="18"/>
      <c r="VO195" s="18"/>
      <c r="VP195" s="18"/>
      <c r="VQ195" s="18"/>
      <c r="VR195" s="18"/>
      <c r="VS195" s="18"/>
      <c r="VT195" s="18"/>
      <c r="VU195" s="18"/>
      <c r="VV195" s="18"/>
      <c r="VW195" s="18"/>
      <c r="VX195" s="18"/>
      <c r="VY195" s="18"/>
      <c r="VZ195" s="18"/>
      <c r="WA195" s="18"/>
      <c r="WB195" s="18"/>
      <c r="WC195" s="18"/>
      <c r="WD195" s="18"/>
      <c r="WE195" s="18"/>
      <c r="WF195" s="18"/>
      <c r="WG195" s="18"/>
      <c r="WH195" s="18"/>
      <c r="WI195" s="18"/>
      <c r="WJ195" s="18"/>
      <c r="WK195" s="18"/>
      <c r="WL195" s="18"/>
      <c r="WM195" s="18"/>
      <c r="WN195" s="18"/>
      <c r="WO195" s="18"/>
      <c r="WP195" s="18"/>
      <c r="WQ195" s="18"/>
      <c r="WR195" s="18"/>
      <c r="WS195" s="18"/>
      <c r="WT195" s="18"/>
      <c r="WU195" s="18"/>
      <c r="WV195" s="18"/>
      <c r="WW195" s="18"/>
      <c r="WX195" s="18"/>
      <c r="WY195" s="18"/>
      <c r="WZ195" s="18"/>
      <c r="XA195" s="18"/>
      <c r="XB195" s="18"/>
      <c r="XC195" s="18"/>
      <c r="XD195" s="18"/>
      <c r="XE195" s="18"/>
      <c r="XF195" s="18"/>
      <c r="XG195" s="18"/>
      <c r="XH195" s="18"/>
      <c r="XI195" s="18"/>
      <c r="XJ195" s="18"/>
      <c r="XK195" s="18"/>
      <c r="XL195" s="18"/>
      <c r="XM195" s="18"/>
      <c r="XN195" s="18"/>
      <c r="XO195" s="18"/>
      <c r="XP195" s="18"/>
      <c r="XQ195" s="18"/>
      <c r="XR195" s="18"/>
      <c r="XS195" s="18"/>
      <c r="XT195" s="18"/>
      <c r="XU195" s="18"/>
      <c r="XV195" s="18"/>
      <c r="XW195" s="18"/>
      <c r="XX195" s="18"/>
      <c r="XY195" s="18"/>
      <c r="XZ195" s="18"/>
      <c r="YA195" s="18"/>
      <c r="YB195" s="18"/>
      <c r="YC195" s="18"/>
      <c r="YD195" s="18"/>
      <c r="YE195" s="18"/>
      <c r="YF195" s="18"/>
      <c r="YG195" s="18"/>
      <c r="YH195" s="18"/>
      <c r="YI195" s="18"/>
      <c r="YJ195" s="18"/>
      <c r="YK195" s="18"/>
      <c r="YL195" s="18"/>
      <c r="YM195" s="18"/>
      <c r="YN195" s="18"/>
      <c r="YO195" s="18"/>
      <c r="YP195" s="18"/>
      <c r="YQ195" s="18"/>
      <c r="YR195" s="18"/>
      <c r="YS195" s="18"/>
      <c r="YT195" s="18"/>
      <c r="YU195" s="18"/>
      <c r="YV195" s="18"/>
      <c r="YW195" s="18"/>
      <c r="YX195" s="18"/>
      <c r="YY195" s="18"/>
      <c r="YZ195" s="18"/>
      <c r="ZA195" s="18"/>
      <c r="ZB195" s="18"/>
      <c r="ZC195" s="18"/>
      <c r="ZD195" s="18"/>
      <c r="ZE195" s="18"/>
      <c r="ZF195" s="18"/>
      <c r="ZG195" s="18"/>
      <c r="ZH195" s="18"/>
      <c r="ZI195" s="18"/>
      <c r="ZJ195" s="18"/>
      <c r="ZK195" s="18"/>
      <c r="ZL195" s="18"/>
      <c r="ZM195" s="18"/>
      <c r="ZN195" s="18"/>
      <c r="ZO195" s="18"/>
      <c r="ZP195" s="18"/>
      <c r="ZQ195" s="18"/>
      <c r="ZR195" s="18"/>
      <c r="ZS195" s="18"/>
      <c r="ZT195" s="18"/>
      <c r="ZU195" s="18"/>
      <c r="ZV195" s="18"/>
      <c r="ZW195" s="18"/>
      <c r="ZX195" s="18"/>
      <c r="ZY195" s="18"/>
      <c r="ZZ195" s="18"/>
      <c r="AAA195" s="18"/>
      <c r="AAB195" s="18"/>
      <c r="AAC195" s="18"/>
      <c r="AAD195" s="18"/>
      <c r="AAE195" s="18"/>
      <c r="AAF195" s="18"/>
      <c r="AAG195" s="18"/>
      <c r="AAH195" s="18"/>
      <c r="AAI195" s="18"/>
      <c r="AAJ195" s="18"/>
      <c r="AAK195" s="18"/>
      <c r="AAL195" s="18"/>
      <c r="AAM195" s="18"/>
      <c r="AAN195" s="18"/>
      <c r="AAO195" s="18"/>
      <c r="AAP195" s="18"/>
      <c r="AAQ195" s="18"/>
      <c r="AAR195" s="18"/>
      <c r="AAS195" s="18"/>
      <c r="AAT195" s="18"/>
      <c r="AAU195" s="18"/>
      <c r="AAV195" s="18"/>
      <c r="AAW195" s="18"/>
      <c r="AAX195" s="18"/>
      <c r="AAY195" s="18"/>
      <c r="AAZ195" s="18"/>
      <c r="ABA195" s="18"/>
      <c r="ABB195" s="18"/>
      <c r="ABC195" s="18"/>
      <c r="ABD195" s="18"/>
      <c r="ABE195" s="18"/>
      <c r="ABF195" s="18"/>
      <c r="ABG195" s="18"/>
      <c r="ABH195" s="18"/>
      <c r="ABI195" s="18"/>
      <c r="ABJ195" s="18"/>
      <c r="ABK195" s="18"/>
      <c r="ABL195" s="18"/>
      <c r="ABM195" s="18"/>
      <c r="ABN195" s="18"/>
      <c r="ABO195" s="18"/>
      <c r="ABP195" s="18"/>
      <c r="ABQ195" s="18"/>
      <c r="ABR195" s="18"/>
      <c r="ABS195" s="18"/>
      <c r="ABT195" s="18"/>
      <c r="ABU195" s="18"/>
      <c r="ABV195" s="18"/>
      <c r="ABW195" s="18"/>
      <c r="ABX195" s="18"/>
      <c r="ABY195" s="18"/>
      <c r="ABZ195" s="18"/>
      <c r="ACA195" s="18"/>
      <c r="ACB195" s="18"/>
      <c r="ACC195" s="18"/>
      <c r="ACD195" s="18"/>
      <c r="ACE195" s="18"/>
      <c r="ACF195" s="18"/>
      <c r="ACG195" s="18"/>
      <c r="ACH195" s="18"/>
      <c r="ACI195" s="18"/>
      <c r="ACJ195" s="18"/>
      <c r="ACK195" s="18"/>
      <c r="ACL195" s="18"/>
      <c r="ACM195" s="18"/>
      <c r="ACN195" s="18"/>
      <c r="ACO195" s="18"/>
      <c r="ACP195" s="18"/>
      <c r="ACQ195" s="18"/>
      <c r="ACR195" s="18"/>
      <c r="ACS195" s="18"/>
      <c r="ACT195" s="18"/>
      <c r="ACU195" s="18"/>
      <c r="ACV195" s="18"/>
      <c r="ACW195" s="18"/>
      <c r="ACX195" s="18"/>
      <c r="ACY195" s="18"/>
      <c r="ACZ195" s="18"/>
      <c r="ADA195" s="18"/>
      <c r="ADB195" s="18"/>
      <c r="ADC195" s="18"/>
      <c r="ADD195" s="18"/>
      <c r="ADE195" s="18"/>
      <c r="ADF195" s="18"/>
      <c r="ADG195" s="18"/>
      <c r="ADH195" s="18"/>
      <c r="ADI195" s="18"/>
      <c r="ADJ195" s="18"/>
      <c r="ADK195" s="18"/>
      <c r="ADL195" s="18"/>
      <c r="ADM195" s="18"/>
      <c r="ADN195" s="18"/>
      <c r="ADO195" s="18"/>
      <c r="ADP195" s="18"/>
      <c r="ADQ195" s="18"/>
      <c r="ADR195" s="18"/>
      <c r="ADS195" s="18"/>
      <c r="ADT195" s="18"/>
      <c r="ADU195" s="18"/>
      <c r="ADV195" s="18"/>
      <c r="ADW195" s="18"/>
      <c r="ADX195" s="18"/>
      <c r="ADY195" s="18"/>
      <c r="ADZ195" s="18"/>
      <c r="AEA195" s="18"/>
      <c r="AEB195" s="18"/>
      <c r="AEC195" s="18"/>
      <c r="AED195" s="18"/>
      <c r="AEE195" s="18"/>
      <c r="AEF195" s="18"/>
      <c r="AEG195" s="18"/>
      <c r="AEH195" s="18"/>
      <c r="AEI195" s="18"/>
      <c r="AEJ195" s="18"/>
      <c r="AEK195" s="18"/>
      <c r="AEL195" s="18"/>
      <c r="AEM195" s="18"/>
      <c r="AEN195" s="18"/>
      <c r="AEO195" s="18"/>
      <c r="AEP195" s="18"/>
      <c r="AEQ195" s="18"/>
      <c r="AER195" s="18"/>
      <c r="AES195" s="18"/>
      <c r="AET195" s="18"/>
      <c r="AEU195" s="18"/>
      <c r="AEV195" s="18"/>
      <c r="AEW195" s="18"/>
      <c r="AEX195" s="18"/>
      <c r="AEY195" s="18"/>
      <c r="AEZ195" s="18"/>
      <c r="AFA195" s="18"/>
      <c r="AFB195" s="18"/>
      <c r="AFC195" s="18"/>
      <c r="AFD195" s="18"/>
      <c r="AFE195" s="18"/>
      <c r="AFF195" s="18"/>
      <c r="AFG195" s="18"/>
      <c r="AFH195" s="18"/>
      <c r="AFI195" s="18"/>
      <c r="AFJ195" s="18"/>
      <c r="AFK195" s="18"/>
      <c r="AFL195" s="18"/>
      <c r="AFM195" s="18"/>
      <c r="AFN195" s="18"/>
      <c r="AFO195" s="18"/>
      <c r="AFP195" s="18"/>
      <c r="AFQ195" s="18"/>
      <c r="AFR195" s="18"/>
      <c r="AFS195" s="18"/>
      <c r="AFT195" s="18"/>
      <c r="AFU195" s="18"/>
      <c r="AFV195" s="18"/>
      <c r="AFW195" s="18"/>
      <c r="AFX195" s="18"/>
      <c r="AFY195" s="18"/>
      <c r="AFZ195" s="18"/>
      <c r="AGA195" s="18"/>
      <c r="AGB195" s="18"/>
      <c r="AGC195" s="18"/>
      <c r="AGD195" s="18"/>
      <c r="AGE195" s="18"/>
      <c r="AGF195" s="18"/>
      <c r="AGG195" s="18"/>
      <c r="AGH195" s="18"/>
      <c r="AGI195" s="18"/>
      <c r="AGJ195" s="18"/>
      <c r="AGK195" s="18"/>
      <c r="AGL195" s="18"/>
      <c r="AGM195" s="18"/>
      <c r="AGN195" s="18"/>
      <c r="AGO195" s="18"/>
      <c r="AGP195" s="18"/>
      <c r="AGQ195" s="18"/>
      <c r="AGR195" s="18"/>
      <c r="AGS195" s="18"/>
      <c r="AGT195" s="18"/>
      <c r="AGU195" s="18"/>
      <c r="AGV195" s="18"/>
      <c r="AGW195" s="18"/>
      <c r="AGX195" s="18"/>
      <c r="AGY195" s="18"/>
      <c r="AGZ195" s="18"/>
      <c r="AHA195" s="18"/>
      <c r="AHB195" s="18"/>
      <c r="AHC195" s="18"/>
      <c r="AHD195" s="18"/>
      <c r="AHE195" s="18"/>
      <c r="AHF195" s="18"/>
      <c r="AHG195" s="18"/>
      <c r="AHH195" s="18"/>
      <c r="AHI195" s="18"/>
      <c r="AHJ195" s="18"/>
      <c r="AHK195" s="18"/>
      <c r="AHL195" s="18"/>
      <c r="AHM195" s="18"/>
      <c r="AHN195" s="18"/>
      <c r="AHO195" s="18"/>
      <c r="AHP195" s="18"/>
      <c r="AHQ195" s="18"/>
      <c r="AHR195" s="18"/>
      <c r="AHS195" s="18"/>
      <c r="AHT195" s="18"/>
      <c r="AHU195" s="18"/>
      <c r="AHV195" s="18"/>
      <c r="AHW195" s="18"/>
      <c r="AHX195" s="18"/>
      <c r="AHY195" s="18"/>
      <c r="AHZ195" s="18"/>
      <c r="AIA195" s="18"/>
      <c r="AIB195" s="18"/>
      <c r="AIC195" s="18"/>
      <c r="AID195" s="18"/>
      <c r="AIE195" s="18"/>
      <c r="AIF195" s="18"/>
      <c r="AIG195" s="18"/>
      <c r="AIH195" s="18"/>
      <c r="AII195" s="18"/>
      <c r="AIJ195" s="18"/>
      <c r="AIK195" s="18"/>
      <c r="AIL195" s="18"/>
      <c r="AIM195" s="18"/>
      <c r="AIN195" s="18"/>
      <c r="AIO195" s="18"/>
      <c r="AIP195" s="18"/>
      <c r="AIQ195" s="18"/>
      <c r="AIR195" s="18"/>
      <c r="AIS195" s="18"/>
      <c r="AIT195" s="18"/>
      <c r="AIU195" s="18"/>
      <c r="AIV195" s="18"/>
      <c r="AIW195" s="18"/>
      <c r="AIX195" s="18"/>
      <c r="AIY195" s="18"/>
      <c r="AIZ195" s="18"/>
      <c r="AJA195" s="18"/>
      <c r="AJB195" s="18"/>
      <c r="AJC195" s="18"/>
      <c r="AJD195" s="18"/>
      <c r="AJE195" s="18"/>
      <c r="AJF195" s="18"/>
      <c r="AJG195" s="18"/>
      <c r="AJH195" s="18"/>
      <c r="AJI195" s="18"/>
      <c r="AJJ195" s="18"/>
      <c r="AJK195" s="18"/>
      <c r="AJL195" s="18"/>
      <c r="AJM195" s="18"/>
      <c r="AJN195" s="18"/>
      <c r="AJO195" s="18"/>
      <c r="AJP195" s="18"/>
      <c r="AJQ195" s="18"/>
      <c r="AJR195" s="18"/>
      <c r="AJS195" s="18"/>
      <c r="AJT195" s="18"/>
      <c r="AJU195" s="18"/>
      <c r="AJV195" s="18"/>
      <c r="AJW195" s="18"/>
      <c r="AJX195" s="18"/>
      <c r="AJY195" s="18"/>
      <c r="AJZ195" s="18"/>
      <c r="AKA195" s="18"/>
      <c r="AKB195" s="18"/>
      <c r="AKC195" s="18"/>
      <c r="AKD195" s="18"/>
      <c r="AKE195" s="18"/>
      <c r="AKF195" s="18"/>
      <c r="AKG195" s="18"/>
      <c r="AKH195" s="18"/>
      <c r="AKI195" s="18"/>
      <c r="AKJ195" s="18"/>
      <c r="AKK195" s="18"/>
      <c r="AKL195" s="18"/>
      <c r="AKM195" s="18"/>
      <c r="AKN195" s="18"/>
      <c r="AKO195" s="18"/>
      <c r="AKP195" s="18"/>
      <c r="AKQ195" s="18"/>
      <c r="AKR195" s="18"/>
      <c r="AKS195" s="18"/>
      <c r="AKT195" s="18"/>
      <c r="AKU195" s="18"/>
      <c r="AKV195" s="18"/>
      <c r="AKW195" s="18"/>
      <c r="AKX195" s="18"/>
      <c r="AKY195" s="18"/>
      <c r="AKZ195" s="18"/>
      <c r="ALA195" s="18"/>
      <c r="ALB195" s="18"/>
      <c r="ALC195" s="18"/>
      <c r="ALD195" s="18"/>
      <c r="ALE195" s="18"/>
      <c r="ALF195" s="18"/>
      <c r="ALG195" s="18"/>
      <c r="ALH195" s="18"/>
      <c r="ALI195" s="18"/>
      <c r="ALJ195" s="18"/>
      <c r="ALK195" s="18"/>
      <c r="ALL195" s="18"/>
      <c r="ALM195" s="18"/>
      <c r="ALN195" s="18"/>
      <c r="ALO195" s="18"/>
      <c r="ALP195" s="18"/>
      <c r="ALQ195" s="18"/>
      <c r="ALR195" s="18"/>
      <c r="ALS195" s="18"/>
      <c r="ALT195" s="18"/>
      <c r="ALU195" s="18"/>
      <c r="ALV195" s="18"/>
      <c r="ALW195" s="18"/>
      <c r="ALX195" s="18"/>
      <c r="ALY195" s="18"/>
      <c r="ALZ195" s="18"/>
      <c r="AMA195" s="18"/>
      <c r="AMB195" s="18"/>
      <c r="AMC195" s="18"/>
      <c r="AMD195" s="18"/>
      <c r="AME195" s="18"/>
      <c r="AMF195" s="18"/>
      <c r="AMG195" s="18"/>
      <c r="AMH195" s="18"/>
      <c r="AMI195" s="18"/>
      <c r="AMJ195" s="18"/>
      <c r="AMK195" s="18"/>
      <c r="AML195" s="18"/>
      <c r="AMM195" s="33"/>
    </row>
    <row r="196" spans="1:1027" s="33" customFormat="1" x14ac:dyDescent="0.2">
      <c r="A196" s="54">
        <v>1</v>
      </c>
      <c r="B196" s="18" t="s">
        <v>763</v>
      </c>
      <c r="C196" s="18" t="s">
        <v>764</v>
      </c>
      <c r="D196" s="18">
        <v>184</v>
      </c>
      <c r="E196" s="19" t="s">
        <v>507</v>
      </c>
      <c r="F196" s="19" t="s">
        <v>507</v>
      </c>
      <c r="G196" s="20" t="s">
        <v>507</v>
      </c>
      <c r="H196" s="19" t="s">
        <v>507</v>
      </c>
      <c r="I196" s="19" t="s">
        <v>507</v>
      </c>
      <c r="J196" s="19" t="s">
        <v>507</v>
      </c>
      <c r="K196" s="21" t="s">
        <v>509</v>
      </c>
      <c r="L196" s="18"/>
      <c r="M196" s="1" t="s">
        <v>510</v>
      </c>
      <c r="N196" s="1"/>
      <c r="O196" s="18"/>
      <c r="P196" s="18"/>
      <c r="Q196" s="18"/>
      <c r="R196" s="18"/>
      <c r="S196" s="13"/>
      <c r="T196" s="1"/>
      <c r="U196" s="1"/>
      <c r="V196" s="1"/>
      <c r="W196" s="1"/>
      <c r="X196" s="1"/>
      <c r="Y196" s="1"/>
      <c r="Z196" s="1"/>
      <c r="AA196" s="30"/>
      <c r="AB196" s="30"/>
      <c r="AC196" s="1"/>
      <c r="AD196" s="1"/>
      <c r="AE196" s="1"/>
    </row>
    <row r="197" spans="1:1027" s="33" customFormat="1" x14ac:dyDescent="0.2">
      <c r="A197" s="18">
        <v>1</v>
      </c>
      <c r="B197" s="18" t="s">
        <v>765</v>
      </c>
      <c r="C197" s="18" t="s">
        <v>766</v>
      </c>
      <c r="D197" s="18">
        <v>137</v>
      </c>
      <c r="E197" s="19" t="s">
        <v>507</v>
      </c>
      <c r="F197" s="19" t="s">
        <v>507</v>
      </c>
      <c r="G197" s="20" t="s">
        <v>507</v>
      </c>
      <c r="H197" s="19" t="s">
        <v>507</v>
      </c>
      <c r="I197" s="19" t="s">
        <v>507</v>
      </c>
      <c r="J197" s="19" t="s">
        <v>507</v>
      </c>
      <c r="K197" s="21" t="s">
        <v>509</v>
      </c>
      <c r="L197" s="18"/>
      <c r="M197" s="1" t="s">
        <v>510</v>
      </c>
      <c r="N197" s="1"/>
      <c r="O197" s="18"/>
      <c r="P197" s="18"/>
      <c r="Q197" s="18"/>
      <c r="R197" s="18"/>
      <c r="S197" s="13"/>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c r="PJ197" s="18"/>
      <c r="PK197" s="18"/>
      <c r="PL197" s="18"/>
      <c r="PM197" s="18"/>
      <c r="PN197" s="18"/>
      <c r="PO197" s="18"/>
      <c r="PP197" s="18"/>
      <c r="PQ197" s="18"/>
      <c r="PR197" s="18"/>
      <c r="PS197" s="18"/>
      <c r="PT197" s="18"/>
      <c r="PU197" s="18"/>
      <c r="PV197" s="18"/>
      <c r="PW197" s="18"/>
      <c r="PX197" s="18"/>
      <c r="PY197" s="18"/>
      <c r="PZ197" s="18"/>
      <c r="QA197" s="18"/>
      <c r="QB197" s="18"/>
      <c r="QC197" s="18"/>
      <c r="QD197" s="18"/>
      <c r="QE197" s="18"/>
      <c r="QF197" s="18"/>
      <c r="QG197" s="18"/>
      <c r="QH197" s="18"/>
      <c r="QI197" s="18"/>
      <c r="QJ197" s="18"/>
      <c r="QK197" s="18"/>
      <c r="QL197" s="18"/>
      <c r="QM197" s="18"/>
      <c r="QN197" s="18"/>
      <c r="QO197" s="18"/>
      <c r="QP197" s="18"/>
      <c r="QQ197" s="18"/>
      <c r="QR197" s="18"/>
      <c r="QS197" s="18"/>
      <c r="QT197" s="18"/>
      <c r="QU197" s="18"/>
      <c r="QV197" s="18"/>
      <c r="QW197" s="18"/>
      <c r="QX197" s="18"/>
      <c r="QY197" s="18"/>
      <c r="QZ197" s="18"/>
      <c r="RA197" s="18"/>
      <c r="RB197" s="18"/>
      <c r="RC197" s="18"/>
      <c r="RD197" s="18"/>
      <c r="RE197" s="18"/>
      <c r="RF197" s="18"/>
      <c r="RG197" s="18"/>
      <c r="RH197" s="18"/>
      <c r="RI197" s="18"/>
      <c r="RJ197" s="18"/>
      <c r="RK197" s="18"/>
      <c r="RL197" s="18"/>
      <c r="RM197" s="18"/>
      <c r="RN197" s="18"/>
      <c r="RO197" s="18"/>
      <c r="RP197" s="18"/>
      <c r="RQ197" s="18"/>
      <c r="RR197" s="18"/>
      <c r="RS197" s="18"/>
      <c r="RT197" s="18"/>
      <c r="RU197" s="18"/>
      <c r="RV197" s="18"/>
      <c r="RW197" s="18"/>
      <c r="RX197" s="18"/>
      <c r="RY197" s="18"/>
      <c r="RZ197" s="18"/>
      <c r="SA197" s="18"/>
      <c r="SB197" s="18"/>
      <c r="SC197" s="18"/>
      <c r="SD197" s="18"/>
      <c r="SE197" s="18"/>
      <c r="SF197" s="18"/>
      <c r="SG197" s="18"/>
      <c r="SH197" s="18"/>
      <c r="SI197" s="18"/>
      <c r="SJ197" s="18"/>
      <c r="SK197" s="18"/>
      <c r="SL197" s="18"/>
      <c r="SM197" s="18"/>
      <c r="SN197" s="18"/>
      <c r="SO197" s="18"/>
      <c r="SP197" s="18"/>
      <c r="SQ197" s="18"/>
      <c r="SR197" s="18"/>
      <c r="SS197" s="18"/>
      <c r="ST197" s="18"/>
      <c r="SU197" s="18"/>
      <c r="SV197" s="18"/>
      <c r="SW197" s="18"/>
      <c r="SX197" s="18"/>
      <c r="SY197" s="18"/>
      <c r="SZ197" s="18"/>
      <c r="TA197" s="18"/>
      <c r="TB197" s="18"/>
      <c r="TC197" s="18"/>
      <c r="TD197" s="18"/>
      <c r="TE197" s="18"/>
      <c r="TF197" s="18"/>
      <c r="TG197" s="18"/>
      <c r="TH197" s="18"/>
      <c r="TI197" s="18"/>
      <c r="TJ197" s="18"/>
      <c r="TK197" s="18"/>
      <c r="TL197" s="18"/>
      <c r="TM197" s="18"/>
      <c r="TN197" s="18"/>
      <c r="TO197" s="18"/>
      <c r="TP197" s="18"/>
      <c r="TQ197" s="18"/>
      <c r="TR197" s="18"/>
      <c r="TS197" s="18"/>
      <c r="TT197" s="18"/>
      <c r="TU197" s="18"/>
      <c r="TV197" s="18"/>
      <c r="TW197" s="18"/>
      <c r="TX197" s="18"/>
      <c r="TY197" s="18"/>
      <c r="TZ197" s="18"/>
      <c r="UA197" s="18"/>
      <c r="UB197" s="18"/>
      <c r="UC197" s="18"/>
      <c r="UD197" s="18"/>
      <c r="UE197" s="18"/>
      <c r="UF197" s="18"/>
      <c r="UG197" s="18"/>
      <c r="UH197" s="18"/>
      <c r="UI197" s="18"/>
      <c r="UJ197" s="18"/>
      <c r="UK197" s="18"/>
      <c r="UL197" s="18"/>
      <c r="UM197" s="18"/>
      <c r="UN197" s="18"/>
      <c r="UO197" s="18"/>
      <c r="UP197" s="18"/>
      <c r="UQ197" s="18"/>
      <c r="UR197" s="18"/>
      <c r="US197" s="18"/>
      <c r="UT197" s="18"/>
      <c r="UU197" s="18"/>
      <c r="UV197" s="18"/>
      <c r="UW197" s="18"/>
      <c r="UX197" s="18"/>
      <c r="UY197" s="18"/>
      <c r="UZ197" s="18"/>
      <c r="VA197" s="18"/>
      <c r="VB197" s="18"/>
      <c r="VC197" s="18"/>
      <c r="VD197" s="18"/>
      <c r="VE197" s="18"/>
      <c r="VF197" s="18"/>
      <c r="VG197" s="18"/>
      <c r="VH197" s="18"/>
      <c r="VI197" s="18"/>
      <c r="VJ197" s="18"/>
      <c r="VK197" s="18"/>
      <c r="VL197" s="18"/>
      <c r="VM197" s="18"/>
      <c r="VN197" s="18"/>
      <c r="VO197" s="18"/>
      <c r="VP197" s="18"/>
      <c r="VQ197" s="18"/>
      <c r="VR197" s="18"/>
      <c r="VS197" s="18"/>
      <c r="VT197" s="18"/>
      <c r="VU197" s="18"/>
      <c r="VV197" s="18"/>
      <c r="VW197" s="18"/>
      <c r="VX197" s="18"/>
      <c r="VY197" s="18"/>
      <c r="VZ197" s="18"/>
      <c r="WA197" s="18"/>
      <c r="WB197" s="18"/>
      <c r="WC197" s="18"/>
      <c r="WD197" s="18"/>
      <c r="WE197" s="18"/>
      <c r="WF197" s="18"/>
      <c r="WG197" s="18"/>
      <c r="WH197" s="18"/>
      <c r="WI197" s="18"/>
      <c r="WJ197" s="18"/>
      <c r="WK197" s="18"/>
      <c r="WL197" s="18"/>
      <c r="WM197" s="18"/>
      <c r="WN197" s="18"/>
      <c r="WO197" s="18"/>
      <c r="WP197" s="18"/>
      <c r="WQ197" s="18"/>
      <c r="WR197" s="18"/>
      <c r="WS197" s="18"/>
      <c r="WT197" s="18"/>
      <c r="WU197" s="18"/>
      <c r="WV197" s="18"/>
      <c r="WW197" s="18"/>
      <c r="WX197" s="18"/>
      <c r="WY197" s="18"/>
      <c r="WZ197" s="18"/>
      <c r="XA197" s="18"/>
      <c r="XB197" s="18"/>
      <c r="XC197" s="18"/>
      <c r="XD197" s="18"/>
      <c r="XE197" s="18"/>
      <c r="XF197" s="18"/>
      <c r="XG197" s="18"/>
      <c r="XH197" s="18"/>
      <c r="XI197" s="18"/>
      <c r="XJ197" s="18"/>
      <c r="XK197" s="18"/>
      <c r="XL197" s="18"/>
      <c r="XM197" s="18"/>
      <c r="XN197" s="18"/>
      <c r="XO197" s="18"/>
      <c r="XP197" s="18"/>
      <c r="XQ197" s="18"/>
      <c r="XR197" s="18"/>
      <c r="XS197" s="18"/>
      <c r="XT197" s="18"/>
      <c r="XU197" s="18"/>
      <c r="XV197" s="18"/>
      <c r="XW197" s="18"/>
      <c r="XX197" s="18"/>
      <c r="XY197" s="18"/>
      <c r="XZ197" s="18"/>
      <c r="YA197" s="18"/>
      <c r="YB197" s="18"/>
      <c r="YC197" s="18"/>
      <c r="YD197" s="18"/>
      <c r="YE197" s="18"/>
      <c r="YF197" s="18"/>
      <c r="YG197" s="18"/>
      <c r="YH197" s="18"/>
      <c r="YI197" s="18"/>
      <c r="YJ197" s="18"/>
      <c r="YK197" s="18"/>
      <c r="YL197" s="18"/>
      <c r="YM197" s="18"/>
      <c r="YN197" s="18"/>
      <c r="YO197" s="18"/>
      <c r="YP197" s="18"/>
      <c r="YQ197" s="18"/>
      <c r="YR197" s="18"/>
      <c r="YS197" s="18"/>
      <c r="YT197" s="18"/>
      <c r="YU197" s="18"/>
      <c r="YV197" s="18"/>
      <c r="YW197" s="18"/>
      <c r="YX197" s="18"/>
      <c r="YY197" s="18"/>
      <c r="YZ197" s="18"/>
      <c r="ZA197" s="18"/>
      <c r="ZB197" s="18"/>
      <c r="ZC197" s="18"/>
      <c r="ZD197" s="18"/>
      <c r="ZE197" s="18"/>
      <c r="ZF197" s="18"/>
      <c r="ZG197" s="18"/>
      <c r="ZH197" s="18"/>
      <c r="ZI197" s="18"/>
      <c r="ZJ197" s="18"/>
      <c r="ZK197" s="18"/>
      <c r="ZL197" s="18"/>
      <c r="ZM197" s="18"/>
      <c r="ZN197" s="18"/>
      <c r="ZO197" s="18"/>
      <c r="ZP197" s="18"/>
      <c r="ZQ197" s="18"/>
      <c r="ZR197" s="18"/>
      <c r="ZS197" s="18"/>
      <c r="ZT197" s="18"/>
      <c r="ZU197" s="18"/>
      <c r="ZV197" s="18"/>
      <c r="ZW197" s="18"/>
      <c r="ZX197" s="18"/>
      <c r="ZY197" s="18"/>
      <c r="ZZ197" s="18"/>
      <c r="AAA197" s="18"/>
      <c r="AAB197" s="18"/>
      <c r="AAC197" s="18"/>
      <c r="AAD197" s="18"/>
      <c r="AAE197" s="18"/>
      <c r="AAF197" s="18"/>
      <c r="AAG197" s="18"/>
      <c r="AAH197" s="18"/>
      <c r="AAI197" s="18"/>
      <c r="AAJ197" s="18"/>
      <c r="AAK197" s="18"/>
      <c r="AAL197" s="18"/>
      <c r="AAM197" s="18"/>
      <c r="AAN197" s="18"/>
      <c r="AAO197" s="18"/>
      <c r="AAP197" s="18"/>
      <c r="AAQ197" s="18"/>
      <c r="AAR197" s="18"/>
      <c r="AAS197" s="18"/>
      <c r="AAT197" s="18"/>
      <c r="AAU197" s="18"/>
      <c r="AAV197" s="18"/>
      <c r="AAW197" s="18"/>
      <c r="AAX197" s="18"/>
      <c r="AAY197" s="18"/>
      <c r="AAZ197" s="18"/>
      <c r="ABA197" s="18"/>
      <c r="ABB197" s="18"/>
      <c r="ABC197" s="18"/>
      <c r="ABD197" s="18"/>
      <c r="ABE197" s="18"/>
      <c r="ABF197" s="18"/>
      <c r="ABG197" s="18"/>
      <c r="ABH197" s="18"/>
      <c r="ABI197" s="18"/>
      <c r="ABJ197" s="18"/>
      <c r="ABK197" s="18"/>
      <c r="ABL197" s="18"/>
      <c r="ABM197" s="18"/>
      <c r="ABN197" s="18"/>
      <c r="ABO197" s="18"/>
      <c r="ABP197" s="18"/>
      <c r="ABQ197" s="18"/>
      <c r="ABR197" s="18"/>
      <c r="ABS197" s="18"/>
      <c r="ABT197" s="18"/>
      <c r="ABU197" s="18"/>
      <c r="ABV197" s="18"/>
      <c r="ABW197" s="18"/>
      <c r="ABX197" s="18"/>
      <c r="ABY197" s="18"/>
      <c r="ABZ197" s="18"/>
      <c r="ACA197" s="18"/>
      <c r="ACB197" s="18"/>
      <c r="ACC197" s="18"/>
      <c r="ACD197" s="18"/>
      <c r="ACE197" s="18"/>
      <c r="ACF197" s="18"/>
      <c r="ACG197" s="18"/>
      <c r="ACH197" s="18"/>
      <c r="ACI197" s="18"/>
      <c r="ACJ197" s="18"/>
      <c r="ACK197" s="18"/>
      <c r="ACL197" s="18"/>
      <c r="ACM197" s="18"/>
      <c r="ACN197" s="18"/>
      <c r="ACO197" s="18"/>
      <c r="ACP197" s="18"/>
      <c r="ACQ197" s="18"/>
      <c r="ACR197" s="18"/>
      <c r="ACS197" s="18"/>
      <c r="ACT197" s="18"/>
      <c r="ACU197" s="18"/>
      <c r="ACV197" s="18"/>
      <c r="ACW197" s="18"/>
      <c r="ACX197" s="18"/>
      <c r="ACY197" s="18"/>
      <c r="ACZ197" s="18"/>
      <c r="ADA197" s="18"/>
      <c r="ADB197" s="18"/>
      <c r="ADC197" s="18"/>
      <c r="ADD197" s="18"/>
      <c r="ADE197" s="18"/>
      <c r="ADF197" s="18"/>
      <c r="ADG197" s="18"/>
      <c r="ADH197" s="18"/>
      <c r="ADI197" s="18"/>
      <c r="ADJ197" s="18"/>
      <c r="ADK197" s="18"/>
      <c r="ADL197" s="18"/>
      <c r="ADM197" s="18"/>
      <c r="ADN197" s="18"/>
      <c r="ADO197" s="18"/>
      <c r="ADP197" s="18"/>
      <c r="ADQ197" s="18"/>
      <c r="ADR197" s="18"/>
      <c r="ADS197" s="18"/>
      <c r="ADT197" s="18"/>
      <c r="ADU197" s="18"/>
      <c r="ADV197" s="18"/>
      <c r="ADW197" s="18"/>
      <c r="ADX197" s="18"/>
      <c r="ADY197" s="18"/>
      <c r="ADZ197" s="18"/>
      <c r="AEA197" s="18"/>
      <c r="AEB197" s="18"/>
      <c r="AEC197" s="18"/>
      <c r="AED197" s="18"/>
      <c r="AEE197" s="18"/>
      <c r="AEF197" s="18"/>
      <c r="AEG197" s="18"/>
      <c r="AEH197" s="18"/>
      <c r="AEI197" s="18"/>
      <c r="AEJ197" s="18"/>
      <c r="AEK197" s="18"/>
      <c r="AEL197" s="18"/>
      <c r="AEM197" s="18"/>
      <c r="AEN197" s="18"/>
      <c r="AEO197" s="18"/>
      <c r="AEP197" s="18"/>
      <c r="AEQ197" s="18"/>
      <c r="AER197" s="18"/>
      <c r="AES197" s="18"/>
      <c r="AET197" s="18"/>
      <c r="AEU197" s="18"/>
      <c r="AEV197" s="18"/>
      <c r="AEW197" s="18"/>
      <c r="AEX197" s="18"/>
      <c r="AEY197" s="18"/>
      <c r="AEZ197" s="18"/>
      <c r="AFA197" s="18"/>
      <c r="AFB197" s="18"/>
      <c r="AFC197" s="18"/>
      <c r="AFD197" s="18"/>
      <c r="AFE197" s="18"/>
      <c r="AFF197" s="18"/>
      <c r="AFG197" s="18"/>
      <c r="AFH197" s="18"/>
      <c r="AFI197" s="18"/>
      <c r="AFJ197" s="18"/>
      <c r="AFK197" s="18"/>
      <c r="AFL197" s="18"/>
      <c r="AFM197" s="18"/>
      <c r="AFN197" s="18"/>
      <c r="AFO197" s="18"/>
      <c r="AFP197" s="18"/>
      <c r="AFQ197" s="18"/>
      <c r="AFR197" s="18"/>
      <c r="AFS197" s="18"/>
      <c r="AFT197" s="18"/>
      <c r="AFU197" s="18"/>
      <c r="AFV197" s="18"/>
      <c r="AFW197" s="18"/>
      <c r="AFX197" s="18"/>
      <c r="AFY197" s="18"/>
      <c r="AFZ197" s="18"/>
      <c r="AGA197" s="18"/>
      <c r="AGB197" s="18"/>
      <c r="AGC197" s="18"/>
      <c r="AGD197" s="18"/>
      <c r="AGE197" s="18"/>
      <c r="AGF197" s="18"/>
      <c r="AGG197" s="18"/>
      <c r="AGH197" s="18"/>
      <c r="AGI197" s="18"/>
      <c r="AGJ197" s="18"/>
      <c r="AGK197" s="18"/>
      <c r="AGL197" s="18"/>
      <c r="AGM197" s="18"/>
      <c r="AGN197" s="18"/>
      <c r="AGO197" s="18"/>
      <c r="AGP197" s="18"/>
      <c r="AGQ197" s="18"/>
      <c r="AGR197" s="18"/>
      <c r="AGS197" s="18"/>
      <c r="AGT197" s="18"/>
      <c r="AGU197" s="18"/>
      <c r="AGV197" s="18"/>
      <c r="AGW197" s="18"/>
      <c r="AGX197" s="18"/>
      <c r="AGY197" s="18"/>
      <c r="AGZ197" s="18"/>
      <c r="AHA197" s="18"/>
      <c r="AHB197" s="18"/>
      <c r="AHC197" s="18"/>
      <c r="AHD197" s="18"/>
      <c r="AHE197" s="18"/>
      <c r="AHF197" s="18"/>
      <c r="AHG197" s="18"/>
      <c r="AHH197" s="18"/>
      <c r="AHI197" s="18"/>
      <c r="AHJ197" s="18"/>
      <c r="AHK197" s="18"/>
      <c r="AHL197" s="18"/>
      <c r="AHM197" s="18"/>
      <c r="AHN197" s="18"/>
      <c r="AHO197" s="18"/>
      <c r="AHP197" s="18"/>
      <c r="AHQ197" s="18"/>
      <c r="AHR197" s="18"/>
      <c r="AHS197" s="18"/>
      <c r="AHT197" s="18"/>
      <c r="AHU197" s="18"/>
      <c r="AHV197" s="18"/>
      <c r="AHW197" s="18"/>
      <c r="AHX197" s="18"/>
      <c r="AHY197" s="18"/>
      <c r="AHZ197" s="18"/>
      <c r="AIA197" s="18"/>
      <c r="AIB197" s="18"/>
      <c r="AIC197" s="18"/>
      <c r="AID197" s="18"/>
      <c r="AIE197" s="18"/>
      <c r="AIF197" s="18"/>
      <c r="AIG197" s="18"/>
      <c r="AIH197" s="18"/>
      <c r="AII197" s="18"/>
      <c r="AIJ197" s="18"/>
      <c r="AIK197" s="18"/>
      <c r="AIL197" s="18"/>
      <c r="AIM197" s="18"/>
      <c r="AIN197" s="18"/>
      <c r="AIO197" s="18"/>
      <c r="AIP197" s="18"/>
      <c r="AIQ197" s="18"/>
      <c r="AIR197" s="18"/>
      <c r="AIS197" s="18"/>
      <c r="AIT197" s="18"/>
      <c r="AIU197" s="18"/>
      <c r="AIV197" s="18"/>
      <c r="AIW197" s="18"/>
      <c r="AIX197" s="18"/>
      <c r="AIY197" s="18"/>
      <c r="AIZ197" s="18"/>
      <c r="AJA197" s="18"/>
      <c r="AJB197" s="18"/>
      <c r="AJC197" s="18"/>
      <c r="AJD197" s="18"/>
      <c r="AJE197" s="18"/>
      <c r="AJF197" s="18"/>
      <c r="AJG197" s="18"/>
      <c r="AJH197" s="18"/>
      <c r="AJI197" s="18"/>
      <c r="AJJ197" s="18"/>
      <c r="AJK197" s="18"/>
      <c r="AJL197" s="18"/>
      <c r="AJM197" s="18"/>
      <c r="AJN197" s="18"/>
      <c r="AJO197" s="18"/>
      <c r="AJP197" s="18"/>
      <c r="AJQ197" s="18"/>
      <c r="AJR197" s="18"/>
      <c r="AJS197" s="18"/>
      <c r="AJT197" s="18"/>
      <c r="AJU197" s="18"/>
      <c r="AJV197" s="18"/>
      <c r="AJW197" s="18"/>
      <c r="AJX197" s="18"/>
      <c r="AJY197" s="18"/>
      <c r="AJZ197" s="18"/>
      <c r="AKA197" s="18"/>
      <c r="AKB197" s="18"/>
      <c r="AKC197" s="18"/>
      <c r="AKD197" s="18"/>
      <c r="AKE197" s="18"/>
      <c r="AKF197" s="18"/>
      <c r="AKG197" s="18"/>
      <c r="AKH197" s="18"/>
      <c r="AKI197" s="18"/>
      <c r="AKJ197" s="18"/>
      <c r="AKK197" s="18"/>
      <c r="AKL197" s="18"/>
      <c r="AKM197" s="18"/>
      <c r="AKN197" s="18"/>
      <c r="AKO197" s="18"/>
      <c r="AKP197" s="18"/>
      <c r="AKQ197" s="18"/>
      <c r="AKR197" s="18"/>
      <c r="AKS197" s="18"/>
      <c r="AKT197" s="18"/>
      <c r="AKU197" s="18"/>
      <c r="AKV197" s="18"/>
      <c r="AKW197" s="18"/>
      <c r="AKX197" s="18"/>
      <c r="AKY197" s="18"/>
      <c r="AKZ197" s="18"/>
      <c r="ALA197" s="18"/>
      <c r="ALB197" s="18"/>
      <c r="ALC197" s="18"/>
      <c r="ALD197" s="18"/>
      <c r="ALE197" s="18"/>
      <c r="ALF197" s="18"/>
      <c r="ALG197" s="18"/>
      <c r="ALH197" s="18"/>
      <c r="ALI197" s="18"/>
      <c r="ALJ197" s="18"/>
      <c r="ALK197" s="18"/>
      <c r="ALL197" s="18"/>
      <c r="ALM197" s="18"/>
      <c r="ALN197" s="18"/>
      <c r="ALO197" s="18"/>
      <c r="ALP197" s="18"/>
      <c r="ALQ197" s="18"/>
      <c r="ALR197" s="18"/>
      <c r="ALS197" s="18"/>
      <c r="ALT197" s="18"/>
      <c r="ALU197" s="18"/>
      <c r="ALV197" s="18"/>
      <c r="ALW197" s="18"/>
      <c r="ALX197" s="18"/>
      <c r="ALY197" s="18"/>
      <c r="ALZ197" s="18"/>
      <c r="AMA197" s="18"/>
      <c r="AMB197" s="18"/>
      <c r="AMC197" s="18"/>
      <c r="AMD197" s="18"/>
      <c r="AME197" s="18"/>
      <c r="AMF197" s="18"/>
      <c r="AMG197" s="18"/>
      <c r="AMH197" s="18"/>
      <c r="AMI197" s="18"/>
      <c r="AMJ197" s="18"/>
      <c r="AMK197" s="18"/>
      <c r="AML197" s="18"/>
      <c r="AMM197" s="18"/>
    </row>
    <row r="198" spans="1:1027" s="18" customFormat="1" x14ac:dyDescent="0.2">
      <c r="A198" s="54">
        <v>1</v>
      </c>
      <c r="B198" s="18" t="s">
        <v>767</v>
      </c>
      <c r="C198" s="18" t="s">
        <v>768</v>
      </c>
      <c r="D198" s="18">
        <v>129</v>
      </c>
      <c r="E198" s="19" t="s">
        <v>507</v>
      </c>
      <c r="F198" s="19" t="s">
        <v>507</v>
      </c>
      <c r="G198" s="20" t="s">
        <v>507</v>
      </c>
      <c r="H198" s="19" t="s">
        <v>507</v>
      </c>
      <c r="I198" s="19" t="s">
        <v>507</v>
      </c>
      <c r="J198" s="19" t="s">
        <v>507</v>
      </c>
      <c r="K198" s="21" t="s">
        <v>509</v>
      </c>
      <c r="M198" s="1" t="s">
        <v>510</v>
      </c>
      <c r="N198" s="1"/>
      <c r="S198" s="13"/>
      <c r="T198" s="6"/>
      <c r="U198" s="1"/>
      <c r="V198" s="1"/>
      <c r="W198" s="1"/>
      <c r="X198" s="1"/>
      <c r="Y198" s="1"/>
      <c r="Z198" s="1"/>
      <c r="AA198" s="30"/>
      <c r="AB198" s="30"/>
      <c r="AC198" s="1"/>
      <c r="AD198" s="1"/>
      <c r="AE198" s="1"/>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c r="DH198" s="28"/>
      <c r="DI198" s="28"/>
      <c r="DJ198" s="28"/>
      <c r="DK198" s="28"/>
      <c r="DL198" s="28"/>
      <c r="DM198" s="28"/>
      <c r="DN198" s="28"/>
      <c r="DO198" s="28"/>
      <c r="DP198" s="28"/>
      <c r="DQ198" s="28"/>
      <c r="DR198" s="28"/>
      <c r="DS198" s="28"/>
      <c r="DT198" s="28"/>
      <c r="DU198" s="28"/>
      <c r="DV198" s="28"/>
      <c r="DW198" s="28"/>
      <c r="DX198" s="28"/>
      <c r="DY198" s="28"/>
      <c r="DZ198" s="28"/>
      <c r="EA198" s="28"/>
      <c r="EB198" s="28"/>
      <c r="EC198" s="28"/>
      <c r="ED198" s="28"/>
      <c r="EE198" s="28"/>
      <c r="EF198" s="28"/>
      <c r="EG198" s="28"/>
      <c r="EH198" s="28"/>
      <c r="EI198" s="28"/>
      <c r="EJ198" s="28"/>
      <c r="EK198" s="28"/>
      <c r="EL198" s="28"/>
      <c r="EM198" s="28"/>
      <c r="EN198" s="28"/>
      <c r="EO198" s="28"/>
      <c r="EP198" s="28"/>
      <c r="EQ198" s="28"/>
      <c r="ER198" s="28"/>
      <c r="ES198" s="28"/>
      <c r="ET198" s="28"/>
      <c r="EU198" s="28"/>
      <c r="EV198" s="28"/>
      <c r="EW198" s="28"/>
      <c r="EX198" s="28"/>
      <c r="EY198" s="28"/>
      <c r="EZ198" s="28"/>
      <c r="FA198" s="28"/>
      <c r="FB198" s="28"/>
      <c r="FC198" s="28"/>
      <c r="FD198" s="28"/>
      <c r="FE198" s="28"/>
      <c r="FF198" s="28"/>
      <c r="FG198" s="28"/>
      <c r="FH198" s="28"/>
      <c r="FI198" s="28"/>
      <c r="FJ198" s="28"/>
      <c r="FK198" s="28"/>
      <c r="FL198" s="28"/>
      <c r="FM198" s="28"/>
      <c r="FN198" s="28"/>
      <c r="FO198" s="28"/>
      <c r="FP198" s="28"/>
      <c r="FQ198" s="28"/>
      <c r="FR198" s="28"/>
      <c r="FS198" s="28"/>
      <c r="FT198" s="28"/>
      <c r="FU198" s="28"/>
      <c r="FV198" s="28"/>
      <c r="FW198" s="28"/>
      <c r="FX198" s="28"/>
      <c r="FY198" s="28"/>
      <c r="FZ198" s="28"/>
      <c r="GA198" s="28"/>
      <c r="GB198" s="28"/>
      <c r="GC198" s="28"/>
      <c r="GD198" s="28"/>
      <c r="GE198" s="28"/>
      <c r="GF198" s="28"/>
      <c r="GG198" s="28"/>
      <c r="GH198" s="28"/>
      <c r="GI198" s="28"/>
      <c r="GJ198" s="28"/>
      <c r="GK198" s="28"/>
      <c r="GL198" s="28"/>
      <c r="GM198" s="28"/>
      <c r="GN198" s="28"/>
      <c r="GO198" s="28"/>
      <c r="GP198" s="28"/>
      <c r="GQ198" s="28"/>
      <c r="GR198" s="28"/>
      <c r="GS198" s="28"/>
      <c r="GT198" s="28"/>
      <c r="GU198" s="28"/>
      <c r="GV198" s="28"/>
      <c r="GW198" s="28"/>
      <c r="GX198" s="28"/>
      <c r="GY198" s="28"/>
      <c r="GZ198" s="28"/>
      <c r="HA198" s="28"/>
      <c r="HB198" s="28"/>
      <c r="HC198" s="28"/>
      <c r="HD198" s="28"/>
      <c r="HE198" s="28"/>
      <c r="HF198" s="28"/>
      <c r="HG198" s="28"/>
      <c r="HH198" s="28"/>
      <c r="HI198" s="28"/>
      <c r="HJ198" s="28"/>
      <c r="HK198" s="28"/>
      <c r="HL198" s="28"/>
      <c r="HM198" s="28"/>
      <c r="HN198" s="28"/>
      <c r="HO198" s="28"/>
      <c r="HP198" s="28"/>
      <c r="HQ198" s="28"/>
      <c r="HR198" s="28"/>
      <c r="HS198" s="28"/>
      <c r="HT198" s="28"/>
      <c r="HU198" s="28"/>
      <c r="HV198" s="28"/>
      <c r="HW198" s="28"/>
      <c r="HX198" s="28"/>
      <c r="HY198" s="28"/>
      <c r="HZ198" s="28"/>
      <c r="IA198" s="28"/>
      <c r="IB198" s="28"/>
      <c r="IC198" s="28"/>
      <c r="ID198" s="28"/>
      <c r="IE198" s="28"/>
      <c r="IF198" s="28"/>
      <c r="IG198" s="28"/>
      <c r="IH198" s="28"/>
      <c r="II198" s="28"/>
      <c r="IJ198" s="28"/>
      <c r="IK198" s="28"/>
      <c r="IL198" s="28"/>
      <c r="IM198" s="28"/>
      <c r="IN198" s="28"/>
      <c r="IO198" s="28"/>
      <c r="IP198" s="28"/>
      <c r="IQ198" s="28"/>
      <c r="IR198" s="28"/>
      <c r="IS198" s="28"/>
      <c r="IT198" s="28"/>
      <c r="IU198" s="28"/>
      <c r="IV198" s="28"/>
      <c r="IW198" s="28"/>
      <c r="IX198" s="28"/>
      <c r="IY198" s="28"/>
      <c r="IZ198" s="28"/>
      <c r="JA198" s="28"/>
      <c r="JB198" s="28"/>
      <c r="JC198" s="28"/>
      <c r="JD198" s="28"/>
      <c r="JE198" s="28"/>
      <c r="JF198" s="28"/>
      <c r="JG198" s="28"/>
      <c r="JH198" s="28"/>
      <c r="JI198" s="28"/>
      <c r="JJ198" s="28"/>
      <c r="JK198" s="28"/>
      <c r="JL198" s="28"/>
      <c r="JM198" s="28"/>
      <c r="JN198" s="28"/>
      <c r="JO198" s="28"/>
      <c r="JP198" s="28"/>
      <c r="JQ198" s="28"/>
      <c r="JR198" s="28"/>
      <c r="JS198" s="28"/>
      <c r="JT198" s="28"/>
      <c r="JU198" s="28"/>
      <c r="JV198" s="28"/>
      <c r="JW198" s="28"/>
      <c r="JX198" s="28"/>
      <c r="JY198" s="28"/>
      <c r="JZ198" s="28"/>
      <c r="KA198" s="28"/>
      <c r="KB198" s="28"/>
      <c r="KC198" s="28"/>
      <c r="KD198" s="28"/>
      <c r="KE198" s="28"/>
      <c r="KF198" s="28"/>
      <c r="KG198" s="28"/>
      <c r="KH198" s="28"/>
      <c r="KI198" s="28"/>
      <c r="KJ198" s="28"/>
      <c r="KK198" s="28"/>
      <c r="KL198" s="28"/>
      <c r="KM198" s="28"/>
      <c r="KN198" s="28"/>
      <c r="KO198" s="28"/>
      <c r="KP198" s="28"/>
      <c r="KQ198" s="28"/>
      <c r="KR198" s="28"/>
      <c r="KS198" s="28"/>
      <c r="KT198" s="28"/>
      <c r="KU198" s="28"/>
      <c r="KV198" s="28"/>
      <c r="KW198" s="28"/>
      <c r="KX198" s="28"/>
      <c r="KY198" s="28"/>
      <c r="KZ198" s="28"/>
      <c r="LA198" s="28"/>
      <c r="LB198" s="28"/>
      <c r="LC198" s="28"/>
      <c r="LD198" s="28"/>
      <c r="LE198" s="28"/>
      <c r="LF198" s="28"/>
      <c r="LG198" s="28"/>
      <c r="LH198" s="28"/>
      <c r="LI198" s="28"/>
      <c r="LJ198" s="28"/>
      <c r="LK198" s="28"/>
      <c r="LL198" s="28"/>
      <c r="LM198" s="28"/>
      <c r="LN198" s="28"/>
      <c r="LO198" s="28"/>
      <c r="LP198" s="28"/>
      <c r="LQ198" s="28"/>
      <c r="LR198" s="28"/>
      <c r="LS198" s="28"/>
      <c r="LT198" s="28"/>
      <c r="LU198" s="28"/>
      <c r="LV198" s="28"/>
      <c r="LW198" s="28"/>
      <c r="LX198" s="28"/>
      <c r="LY198" s="28"/>
      <c r="LZ198" s="28"/>
      <c r="MA198" s="28"/>
      <c r="MB198" s="28"/>
      <c r="MC198" s="28"/>
      <c r="MD198" s="28"/>
      <c r="ME198" s="28"/>
      <c r="MF198" s="28"/>
      <c r="MG198" s="28"/>
      <c r="MH198" s="28"/>
      <c r="MI198" s="28"/>
      <c r="MJ198" s="28"/>
      <c r="MK198" s="28"/>
      <c r="ML198" s="28"/>
      <c r="MM198" s="28"/>
      <c r="MN198" s="28"/>
      <c r="MO198" s="28"/>
      <c r="MP198" s="28"/>
      <c r="MQ198" s="28"/>
      <c r="MR198" s="28"/>
      <c r="MS198" s="28"/>
      <c r="MT198" s="28"/>
      <c r="MU198" s="28"/>
      <c r="MV198" s="28"/>
      <c r="MW198" s="28"/>
      <c r="MX198" s="28"/>
      <c r="MY198" s="28"/>
      <c r="MZ198" s="28"/>
      <c r="NA198" s="28"/>
      <c r="NB198" s="28"/>
      <c r="NC198" s="28"/>
      <c r="ND198" s="28"/>
      <c r="NE198" s="28"/>
      <c r="NF198" s="28"/>
      <c r="NG198" s="28"/>
      <c r="NH198" s="28"/>
      <c r="NI198" s="28"/>
      <c r="NJ198" s="28"/>
      <c r="NK198" s="28"/>
      <c r="NL198" s="28"/>
      <c r="NM198" s="28"/>
      <c r="NN198" s="28"/>
      <c r="NO198" s="28"/>
      <c r="NP198" s="28"/>
      <c r="NQ198" s="28"/>
      <c r="NR198" s="28"/>
      <c r="NS198" s="28"/>
      <c r="NT198" s="28"/>
      <c r="NU198" s="28"/>
      <c r="NV198" s="28"/>
      <c r="NW198" s="28"/>
      <c r="NX198" s="28"/>
      <c r="NY198" s="28"/>
      <c r="NZ198" s="28"/>
      <c r="OA198" s="28"/>
      <c r="OB198" s="28"/>
      <c r="OC198" s="28"/>
      <c r="OD198" s="28"/>
      <c r="OE198" s="28"/>
      <c r="OF198" s="28"/>
      <c r="OG198" s="28"/>
      <c r="OH198" s="28"/>
      <c r="OI198" s="28"/>
      <c r="OJ198" s="28"/>
      <c r="OK198" s="28"/>
      <c r="OL198" s="28"/>
      <c r="OM198" s="28"/>
      <c r="ON198" s="28"/>
      <c r="OO198" s="28"/>
      <c r="OP198" s="28"/>
      <c r="OQ198" s="28"/>
      <c r="OR198" s="28"/>
      <c r="OS198" s="28"/>
      <c r="OT198" s="28"/>
      <c r="OU198" s="28"/>
      <c r="OV198" s="28"/>
      <c r="OW198" s="28"/>
      <c r="OX198" s="28"/>
      <c r="OY198" s="28"/>
      <c r="OZ198" s="28"/>
      <c r="PA198" s="28"/>
      <c r="PB198" s="28"/>
      <c r="PC198" s="28"/>
      <c r="PD198" s="28"/>
      <c r="PE198" s="28"/>
      <c r="PF198" s="28"/>
      <c r="PG198" s="28"/>
      <c r="PH198" s="28"/>
      <c r="PI198" s="28"/>
      <c r="PJ198" s="28"/>
      <c r="PK198" s="28"/>
      <c r="PL198" s="28"/>
      <c r="PM198" s="28"/>
      <c r="PN198" s="28"/>
      <c r="PO198" s="28"/>
      <c r="PP198" s="28"/>
      <c r="PQ198" s="28"/>
      <c r="PR198" s="28"/>
      <c r="PS198" s="28"/>
      <c r="PT198" s="28"/>
      <c r="PU198" s="28"/>
      <c r="PV198" s="28"/>
      <c r="PW198" s="28"/>
      <c r="PX198" s="28"/>
      <c r="PY198" s="28"/>
      <c r="PZ198" s="28"/>
      <c r="QA198" s="28"/>
      <c r="QB198" s="28"/>
      <c r="QC198" s="28"/>
      <c r="QD198" s="28"/>
      <c r="QE198" s="28"/>
      <c r="QF198" s="28"/>
      <c r="QG198" s="28"/>
      <c r="QH198" s="28"/>
      <c r="QI198" s="28"/>
      <c r="QJ198" s="28"/>
      <c r="QK198" s="28"/>
      <c r="QL198" s="28"/>
      <c r="QM198" s="28"/>
      <c r="QN198" s="28"/>
      <c r="QO198" s="28"/>
      <c r="QP198" s="28"/>
      <c r="QQ198" s="28"/>
      <c r="QR198" s="28"/>
      <c r="QS198" s="28"/>
      <c r="QT198" s="28"/>
      <c r="QU198" s="28"/>
      <c r="QV198" s="28"/>
      <c r="QW198" s="28"/>
      <c r="QX198" s="28"/>
      <c r="QY198" s="28"/>
      <c r="QZ198" s="28"/>
      <c r="RA198" s="28"/>
      <c r="RB198" s="28"/>
      <c r="RC198" s="28"/>
      <c r="RD198" s="28"/>
      <c r="RE198" s="28"/>
      <c r="RF198" s="28"/>
      <c r="RG198" s="28"/>
      <c r="RH198" s="28"/>
      <c r="RI198" s="28"/>
      <c r="RJ198" s="28"/>
      <c r="RK198" s="28"/>
      <c r="RL198" s="28"/>
      <c r="RM198" s="28"/>
      <c r="RN198" s="28"/>
      <c r="RO198" s="28"/>
      <c r="RP198" s="28"/>
      <c r="RQ198" s="28"/>
      <c r="RR198" s="28"/>
      <c r="RS198" s="28"/>
      <c r="RT198" s="28"/>
      <c r="RU198" s="28"/>
      <c r="RV198" s="28"/>
      <c r="RW198" s="28"/>
      <c r="RX198" s="28"/>
      <c r="RY198" s="28"/>
      <c r="RZ198" s="28"/>
      <c r="SA198" s="28"/>
      <c r="SB198" s="28"/>
      <c r="SC198" s="28"/>
      <c r="SD198" s="28"/>
      <c r="SE198" s="28"/>
      <c r="SF198" s="28"/>
      <c r="SG198" s="28"/>
      <c r="SH198" s="28"/>
      <c r="SI198" s="28"/>
      <c r="SJ198" s="28"/>
      <c r="SK198" s="28"/>
      <c r="SL198" s="28"/>
      <c r="SM198" s="28"/>
      <c r="SN198" s="28"/>
      <c r="SO198" s="28"/>
      <c r="SP198" s="28"/>
      <c r="SQ198" s="28"/>
      <c r="SR198" s="28"/>
      <c r="SS198" s="28"/>
      <c r="ST198" s="28"/>
      <c r="SU198" s="28"/>
      <c r="SV198" s="28"/>
      <c r="SW198" s="28"/>
      <c r="SX198" s="28"/>
      <c r="SY198" s="28"/>
      <c r="SZ198" s="28"/>
      <c r="TA198" s="28"/>
      <c r="TB198" s="28"/>
      <c r="TC198" s="28"/>
      <c r="TD198" s="28"/>
      <c r="TE198" s="28"/>
      <c r="TF198" s="28"/>
      <c r="TG198" s="28"/>
      <c r="TH198" s="28"/>
      <c r="TI198" s="28"/>
      <c r="TJ198" s="28"/>
      <c r="TK198" s="28"/>
      <c r="TL198" s="28"/>
      <c r="TM198" s="28"/>
      <c r="TN198" s="28"/>
      <c r="TO198" s="28"/>
      <c r="TP198" s="28"/>
      <c r="TQ198" s="28"/>
      <c r="TR198" s="28"/>
      <c r="TS198" s="28"/>
      <c r="TT198" s="28"/>
      <c r="TU198" s="28"/>
      <c r="TV198" s="28"/>
      <c r="TW198" s="28"/>
      <c r="TX198" s="28"/>
      <c r="TY198" s="28"/>
      <c r="TZ198" s="28"/>
      <c r="UA198" s="28"/>
      <c r="UB198" s="28"/>
      <c r="UC198" s="28"/>
      <c r="UD198" s="28"/>
      <c r="UE198" s="28"/>
      <c r="UF198" s="28"/>
      <c r="UG198" s="28"/>
      <c r="UH198" s="28"/>
      <c r="UI198" s="28"/>
      <c r="UJ198" s="28"/>
      <c r="UK198" s="28"/>
      <c r="UL198" s="28"/>
      <c r="UM198" s="28"/>
      <c r="UN198" s="28"/>
      <c r="UO198" s="28"/>
      <c r="UP198" s="28"/>
      <c r="UQ198" s="28"/>
      <c r="UR198" s="28"/>
      <c r="US198" s="28"/>
      <c r="UT198" s="28"/>
      <c r="UU198" s="28"/>
      <c r="UV198" s="28"/>
      <c r="UW198" s="28"/>
      <c r="UX198" s="28"/>
      <c r="UY198" s="28"/>
      <c r="UZ198" s="28"/>
      <c r="VA198" s="28"/>
      <c r="VB198" s="28"/>
      <c r="VC198" s="28"/>
      <c r="VD198" s="28"/>
      <c r="VE198" s="28"/>
      <c r="VF198" s="28"/>
      <c r="VG198" s="28"/>
      <c r="VH198" s="28"/>
      <c r="VI198" s="28"/>
      <c r="VJ198" s="28"/>
      <c r="VK198" s="28"/>
      <c r="VL198" s="28"/>
      <c r="VM198" s="28"/>
      <c r="VN198" s="28"/>
      <c r="VO198" s="28"/>
      <c r="VP198" s="28"/>
      <c r="VQ198" s="28"/>
      <c r="VR198" s="28"/>
      <c r="VS198" s="28"/>
      <c r="VT198" s="28"/>
      <c r="VU198" s="28"/>
      <c r="VV198" s="28"/>
      <c r="VW198" s="28"/>
      <c r="VX198" s="28"/>
      <c r="VY198" s="28"/>
      <c r="VZ198" s="28"/>
      <c r="WA198" s="28"/>
      <c r="WB198" s="28"/>
      <c r="WC198" s="28"/>
      <c r="WD198" s="28"/>
      <c r="WE198" s="28"/>
      <c r="WF198" s="28"/>
      <c r="WG198" s="28"/>
      <c r="WH198" s="28"/>
      <c r="WI198" s="28"/>
      <c r="WJ198" s="28"/>
      <c r="WK198" s="28"/>
      <c r="WL198" s="28"/>
      <c r="WM198" s="28"/>
      <c r="WN198" s="28"/>
      <c r="WO198" s="28"/>
      <c r="WP198" s="28"/>
      <c r="WQ198" s="28"/>
      <c r="WR198" s="28"/>
      <c r="WS198" s="28"/>
      <c r="WT198" s="28"/>
      <c r="WU198" s="28"/>
      <c r="WV198" s="28"/>
      <c r="WW198" s="28"/>
      <c r="WX198" s="28"/>
      <c r="WY198" s="28"/>
      <c r="WZ198" s="28"/>
      <c r="XA198" s="28"/>
      <c r="XB198" s="28"/>
      <c r="XC198" s="28"/>
      <c r="XD198" s="28"/>
      <c r="XE198" s="28"/>
      <c r="XF198" s="28"/>
      <c r="XG198" s="28"/>
      <c r="XH198" s="28"/>
      <c r="XI198" s="28"/>
      <c r="XJ198" s="28"/>
      <c r="XK198" s="28"/>
      <c r="XL198" s="28"/>
      <c r="XM198" s="28"/>
      <c r="XN198" s="28"/>
      <c r="XO198" s="28"/>
      <c r="XP198" s="28"/>
      <c r="XQ198" s="28"/>
      <c r="XR198" s="28"/>
      <c r="XS198" s="28"/>
      <c r="XT198" s="28"/>
      <c r="XU198" s="28"/>
      <c r="XV198" s="28"/>
      <c r="XW198" s="28"/>
      <c r="XX198" s="28"/>
      <c r="XY198" s="28"/>
      <c r="XZ198" s="28"/>
      <c r="YA198" s="28"/>
      <c r="YB198" s="28"/>
      <c r="YC198" s="28"/>
      <c r="YD198" s="28"/>
      <c r="YE198" s="28"/>
      <c r="YF198" s="28"/>
      <c r="YG198" s="28"/>
      <c r="YH198" s="28"/>
      <c r="YI198" s="28"/>
      <c r="YJ198" s="28"/>
      <c r="YK198" s="28"/>
      <c r="YL198" s="28"/>
      <c r="YM198" s="28"/>
      <c r="YN198" s="28"/>
      <c r="YO198" s="28"/>
      <c r="YP198" s="28"/>
      <c r="YQ198" s="28"/>
      <c r="YR198" s="28"/>
      <c r="YS198" s="28"/>
      <c r="YT198" s="28"/>
      <c r="YU198" s="28"/>
      <c r="YV198" s="28"/>
      <c r="YW198" s="28"/>
      <c r="YX198" s="28"/>
      <c r="YY198" s="28"/>
      <c r="YZ198" s="28"/>
      <c r="ZA198" s="28"/>
      <c r="ZB198" s="28"/>
      <c r="ZC198" s="28"/>
      <c r="ZD198" s="28"/>
      <c r="ZE198" s="28"/>
      <c r="ZF198" s="28"/>
      <c r="ZG198" s="28"/>
      <c r="ZH198" s="28"/>
      <c r="ZI198" s="28"/>
      <c r="ZJ198" s="28"/>
      <c r="ZK198" s="28"/>
      <c r="ZL198" s="28"/>
      <c r="ZM198" s="28"/>
      <c r="ZN198" s="28"/>
      <c r="ZO198" s="28"/>
      <c r="ZP198" s="28"/>
      <c r="ZQ198" s="28"/>
      <c r="ZR198" s="28"/>
      <c r="ZS198" s="28"/>
      <c r="ZT198" s="28"/>
      <c r="ZU198" s="28"/>
      <c r="ZV198" s="28"/>
      <c r="ZW198" s="28"/>
      <c r="ZX198" s="28"/>
      <c r="ZY198" s="28"/>
      <c r="ZZ198" s="28"/>
      <c r="AAA198" s="28"/>
      <c r="AAB198" s="28"/>
      <c r="AAC198" s="28"/>
      <c r="AAD198" s="28"/>
      <c r="AAE198" s="28"/>
      <c r="AAF198" s="28"/>
      <c r="AAG198" s="28"/>
      <c r="AAH198" s="28"/>
      <c r="AAI198" s="28"/>
      <c r="AAJ198" s="28"/>
      <c r="AAK198" s="28"/>
      <c r="AAL198" s="28"/>
      <c r="AAM198" s="28"/>
      <c r="AAN198" s="28"/>
      <c r="AAO198" s="28"/>
      <c r="AAP198" s="28"/>
      <c r="AAQ198" s="28"/>
      <c r="AAR198" s="28"/>
      <c r="AAS198" s="28"/>
      <c r="AAT198" s="28"/>
      <c r="AAU198" s="28"/>
      <c r="AAV198" s="28"/>
      <c r="AAW198" s="28"/>
      <c r="AAX198" s="28"/>
      <c r="AAY198" s="28"/>
      <c r="AAZ198" s="28"/>
      <c r="ABA198" s="28"/>
      <c r="ABB198" s="28"/>
      <c r="ABC198" s="28"/>
      <c r="ABD198" s="28"/>
      <c r="ABE198" s="28"/>
      <c r="ABF198" s="28"/>
      <c r="ABG198" s="28"/>
      <c r="ABH198" s="28"/>
      <c r="ABI198" s="28"/>
      <c r="ABJ198" s="28"/>
      <c r="ABK198" s="28"/>
      <c r="ABL198" s="28"/>
      <c r="ABM198" s="28"/>
      <c r="ABN198" s="28"/>
      <c r="ABO198" s="28"/>
      <c r="ABP198" s="28"/>
      <c r="ABQ198" s="28"/>
      <c r="ABR198" s="28"/>
      <c r="ABS198" s="28"/>
      <c r="ABT198" s="28"/>
      <c r="ABU198" s="28"/>
      <c r="ABV198" s="28"/>
      <c r="ABW198" s="28"/>
      <c r="ABX198" s="28"/>
      <c r="ABY198" s="28"/>
      <c r="ABZ198" s="28"/>
      <c r="ACA198" s="28"/>
      <c r="ACB198" s="28"/>
      <c r="ACC198" s="28"/>
      <c r="ACD198" s="28"/>
      <c r="ACE198" s="28"/>
      <c r="ACF198" s="28"/>
      <c r="ACG198" s="28"/>
      <c r="ACH198" s="28"/>
      <c r="ACI198" s="28"/>
      <c r="ACJ198" s="28"/>
      <c r="ACK198" s="28"/>
      <c r="ACL198" s="28"/>
      <c r="ACM198" s="28"/>
      <c r="ACN198" s="28"/>
      <c r="ACO198" s="28"/>
      <c r="ACP198" s="28"/>
      <c r="ACQ198" s="28"/>
      <c r="ACR198" s="28"/>
      <c r="ACS198" s="28"/>
      <c r="ACT198" s="28"/>
      <c r="ACU198" s="28"/>
      <c r="ACV198" s="28"/>
      <c r="ACW198" s="28"/>
      <c r="ACX198" s="28"/>
      <c r="ACY198" s="28"/>
      <c r="ACZ198" s="28"/>
      <c r="ADA198" s="28"/>
      <c r="ADB198" s="28"/>
      <c r="ADC198" s="28"/>
      <c r="ADD198" s="28"/>
      <c r="ADE198" s="28"/>
      <c r="ADF198" s="28"/>
      <c r="ADG198" s="28"/>
      <c r="ADH198" s="28"/>
      <c r="ADI198" s="28"/>
      <c r="ADJ198" s="28"/>
      <c r="ADK198" s="28"/>
      <c r="ADL198" s="28"/>
      <c r="ADM198" s="28"/>
      <c r="ADN198" s="28"/>
      <c r="ADO198" s="28"/>
      <c r="ADP198" s="28"/>
      <c r="ADQ198" s="28"/>
      <c r="ADR198" s="28"/>
      <c r="ADS198" s="28"/>
      <c r="ADT198" s="28"/>
      <c r="ADU198" s="28"/>
      <c r="ADV198" s="28"/>
      <c r="ADW198" s="28"/>
      <c r="ADX198" s="28"/>
      <c r="ADY198" s="28"/>
      <c r="ADZ198" s="28"/>
      <c r="AEA198" s="28"/>
      <c r="AEB198" s="28"/>
      <c r="AEC198" s="28"/>
      <c r="AED198" s="28"/>
      <c r="AEE198" s="28"/>
      <c r="AEF198" s="28"/>
      <c r="AEG198" s="28"/>
      <c r="AEH198" s="28"/>
      <c r="AEI198" s="28"/>
      <c r="AEJ198" s="28"/>
      <c r="AEK198" s="28"/>
      <c r="AEL198" s="28"/>
      <c r="AEM198" s="28"/>
      <c r="AEN198" s="28"/>
      <c r="AEO198" s="28"/>
      <c r="AEP198" s="28"/>
      <c r="AEQ198" s="28"/>
      <c r="AER198" s="28"/>
      <c r="AES198" s="28"/>
      <c r="AET198" s="28"/>
      <c r="AEU198" s="28"/>
      <c r="AEV198" s="28"/>
      <c r="AEW198" s="28"/>
      <c r="AEX198" s="28"/>
      <c r="AEY198" s="28"/>
      <c r="AEZ198" s="28"/>
      <c r="AFA198" s="28"/>
      <c r="AFB198" s="28"/>
      <c r="AFC198" s="28"/>
      <c r="AFD198" s="28"/>
      <c r="AFE198" s="28"/>
      <c r="AFF198" s="28"/>
      <c r="AFG198" s="28"/>
      <c r="AFH198" s="28"/>
      <c r="AFI198" s="28"/>
      <c r="AFJ198" s="28"/>
      <c r="AFK198" s="28"/>
      <c r="AFL198" s="28"/>
      <c r="AFM198" s="28"/>
      <c r="AFN198" s="28"/>
      <c r="AFO198" s="28"/>
      <c r="AFP198" s="28"/>
      <c r="AFQ198" s="28"/>
      <c r="AFR198" s="28"/>
      <c r="AFS198" s="28"/>
      <c r="AFT198" s="28"/>
      <c r="AFU198" s="28"/>
      <c r="AFV198" s="28"/>
      <c r="AFW198" s="28"/>
      <c r="AFX198" s="28"/>
      <c r="AFY198" s="28"/>
      <c r="AFZ198" s="28"/>
      <c r="AGA198" s="28"/>
      <c r="AGB198" s="28"/>
      <c r="AGC198" s="28"/>
      <c r="AGD198" s="28"/>
      <c r="AGE198" s="28"/>
      <c r="AGF198" s="28"/>
      <c r="AGG198" s="28"/>
      <c r="AGH198" s="28"/>
      <c r="AGI198" s="28"/>
      <c r="AGJ198" s="28"/>
      <c r="AGK198" s="28"/>
      <c r="AGL198" s="28"/>
      <c r="AGM198" s="28"/>
      <c r="AGN198" s="28"/>
      <c r="AGO198" s="28"/>
      <c r="AGP198" s="28"/>
      <c r="AGQ198" s="28"/>
      <c r="AGR198" s="28"/>
      <c r="AGS198" s="28"/>
      <c r="AGT198" s="28"/>
      <c r="AGU198" s="28"/>
      <c r="AGV198" s="28"/>
      <c r="AGW198" s="28"/>
      <c r="AGX198" s="28"/>
      <c r="AGY198" s="28"/>
      <c r="AGZ198" s="28"/>
      <c r="AHA198" s="28"/>
      <c r="AHB198" s="28"/>
      <c r="AHC198" s="28"/>
      <c r="AHD198" s="28"/>
      <c r="AHE198" s="28"/>
      <c r="AHF198" s="28"/>
      <c r="AHG198" s="28"/>
      <c r="AHH198" s="28"/>
      <c r="AHI198" s="28"/>
      <c r="AHJ198" s="28"/>
      <c r="AHK198" s="28"/>
      <c r="AHL198" s="28"/>
      <c r="AHM198" s="28"/>
      <c r="AHN198" s="28"/>
      <c r="AHO198" s="28"/>
      <c r="AHP198" s="28"/>
      <c r="AHQ198" s="28"/>
      <c r="AHR198" s="28"/>
      <c r="AHS198" s="28"/>
      <c r="AHT198" s="28"/>
      <c r="AHU198" s="28"/>
      <c r="AHV198" s="28"/>
      <c r="AHW198" s="28"/>
      <c r="AHX198" s="28"/>
      <c r="AHY198" s="28"/>
      <c r="AHZ198" s="28"/>
      <c r="AIA198" s="28"/>
      <c r="AIB198" s="28"/>
      <c r="AIC198" s="28"/>
      <c r="AID198" s="28"/>
      <c r="AIE198" s="28"/>
      <c r="AIF198" s="28"/>
      <c r="AIG198" s="28"/>
      <c r="AIH198" s="28"/>
      <c r="AII198" s="28"/>
      <c r="AIJ198" s="28"/>
      <c r="AIK198" s="28"/>
      <c r="AIL198" s="28"/>
      <c r="AIM198" s="28"/>
      <c r="AIN198" s="28"/>
      <c r="AIO198" s="28"/>
      <c r="AIP198" s="28"/>
      <c r="AIQ198" s="28"/>
      <c r="AIR198" s="28"/>
      <c r="AIS198" s="28"/>
      <c r="AIT198" s="28"/>
      <c r="AIU198" s="28"/>
      <c r="AIV198" s="28"/>
      <c r="AIW198" s="28"/>
      <c r="AIX198" s="28"/>
      <c r="AIY198" s="28"/>
      <c r="AIZ198" s="28"/>
      <c r="AJA198" s="28"/>
      <c r="AJB198" s="28"/>
      <c r="AJC198" s="28"/>
      <c r="AJD198" s="28"/>
      <c r="AJE198" s="28"/>
      <c r="AJF198" s="28"/>
      <c r="AJG198" s="28"/>
      <c r="AJH198" s="28"/>
      <c r="AJI198" s="28"/>
      <c r="AJJ198" s="28"/>
      <c r="AJK198" s="28"/>
      <c r="AJL198" s="28"/>
      <c r="AJM198" s="28"/>
      <c r="AJN198" s="28"/>
      <c r="AJO198" s="28"/>
      <c r="AJP198" s="28"/>
      <c r="AJQ198" s="28"/>
      <c r="AJR198" s="28"/>
      <c r="AJS198" s="28"/>
      <c r="AJT198" s="28"/>
      <c r="AJU198" s="28"/>
      <c r="AJV198" s="28"/>
      <c r="AJW198" s="28"/>
      <c r="AJX198" s="28"/>
      <c r="AJY198" s="28"/>
      <c r="AJZ198" s="28"/>
      <c r="AKA198" s="28"/>
      <c r="AKB198" s="28"/>
      <c r="AKC198" s="28"/>
      <c r="AKD198" s="28"/>
      <c r="AKE198" s="28"/>
      <c r="AKF198" s="28"/>
      <c r="AKG198" s="28"/>
      <c r="AKH198" s="28"/>
      <c r="AKI198" s="28"/>
      <c r="AKJ198" s="28"/>
      <c r="AKK198" s="28"/>
      <c r="AKL198" s="28"/>
      <c r="AKM198" s="28"/>
      <c r="AKN198" s="28"/>
      <c r="AKO198" s="28"/>
      <c r="AKP198" s="28"/>
      <c r="AKQ198" s="28"/>
      <c r="AKR198" s="28"/>
      <c r="AKS198" s="28"/>
      <c r="AKT198" s="28"/>
      <c r="AKU198" s="28"/>
      <c r="AKV198" s="28"/>
      <c r="AKW198" s="28"/>
      <c r="AKX198" s="28"/>
      <c r="AKY198" s="28"/>
      <c r="AKZ198" s="28"/>
      <c r="ALA198" s="28"/>
      <c r="ALB198" s="28"/>
      <c r="ALC198" s="28"/>
      <c r="ALD198" s="28"/>
      <c r="ALE198" s="28"/>
      <c r="ALF198" s="28"/>
      <c r="ALG198" s="28"/>
      <c r="ALH198" s="28"/>
      <c r="ALI198" s="28"/>
      <c r="ALJ198" s="28"/>
      <c r="ALK198" s="28"/>
      <c r="ALL198" s="28"/>
      <c r="ALM198" s="28"/>
      <c r="ALN198" s="28"/>
      <c r="ALO198" s="28"/>
      <c r="ALP198" s="28"/>
      <c r="ALQ198" s="28"/>
      <c r="ALR198" s="28"/>
      <c r="ALS198" s="28"/>
      <c r="ALT198" s="28"/>
      <c r="ALU198" s="28"/>
      <c r="ALV198" s="28"/>
      <c r="ALW198" s="28"/>
      <c r="ALX198" s="28"/>
      <c r="ALY198" s="28"/>
      <c r="ALZ198" s="28"/>
      <c r="AMA198" s="28"/>
      <c r="AMB198" s="28"/>
      <c r="AMC198" s="28"/>
      <c r="AMD198" s="28"/>
      <c r="AME198" s="28"/>
      <c r="AMF198" s="28"/>
      <c r="AMG198" s="28"/>
      <c r="AMH198" s="28"/>
      <c r="AMI198" s="28"/>
      <c r="AMJ198" s="28"/>
      <c r="AMK198" s="28"/>
      <c r="AML198" s="28"/>
      <c r="AMM198" s="33"/>
    </row>
    <row r="199" spans="1:1027" s="33" customFormat="1" x14ac:dyDescent="0.2">
      <c r="A199" s="18" t="s">
        <v>604</v>
      </c>
      <c r="B199" s="18" t="s">
        <v>769</v>
      </c>
      <c r="C199" s="18"/>
      <c r="D199" s="18">
        <v>122</v>
      </c>
      <c r="E199" s="19" t="s">
        <v>506</v>
      </c>
      <c r="F199" s="19" t="s">
        <v>507</v>
      </c>
      <c r="G199" s="20" t="s">
        <v>507</v>
      </c>
      <c r="H199" s="19" t="s">
        <v>507</v>
      </c>
      <c r="I199" s="19" t="s">
        <v>507</v>
      </c>
      <c r="J199" s="19" t="s">
        <v>507</v>
      </c>
      <c r="K199" s="21" t="s">
        <v>509</v>
      </c>
      <c r="L199" s="18"/>
      <c r="M199" s="1" t="s">
        <v>609</v>
      </c>
      <c r="N199" s="1"/>
      <c r="O199" s="18"/>
      <c r="P199" s="18"/>
      <c r="Q199" s="18"/>
      <c r="R199" s="18"/>
      <c r="S199" s="13"/>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c r="DV199" s="18"/>
      <c r="DW199" s="18"/>
      <c r="DX199" s="18"/>
      <c r="DY199" s="18"/>
      <c r="DZ199" s="18"/>
      <c r="EA199" s="18"/>
      <c r="EB199" s="18"/>
      <c r="EC199" s="18"/>
      <c r="ED199" s="18"/>
      <c r="EE199" s="18"/>
      <c r="EF199" s="18"/>
      <c r="EG199" s="18"/>
      <c r="EH199" s="18"/>
      <c r="EI199" s="18"/>
      <c r="EJ199" s="18"/>
      <c r="EK199" s="18"/>
      <c r="EL199" s="18"/>
      <c r="EM199" s="18"/>
      <c r="EN199" s="18"/>
      <c r="EO199" s="18"/>
      <c r="EP199" s="18"/>
      <c r="EQ199" s="18"/>
      <c r="ER199" s="18"/>
      <c r="ES199" s="18"/>
      <c r="ET199" s="18"/>
      <c r="EU199" s="18"/>
      <c r="EV199" s="18"/>
      <c r="EW199" s="18"/>
      <c r="EX199" s="18"/>
      <c r="EY199" s="18"/>
      <c r="EZ199" s="18"/>
      <c r="FA199" s="18"/>
      <c r="FB199" s="18"/>
      <c r="FC199" s="18"/>
      <c r="FD199" s="18"/>
      <c r="FE199" s="18"/>
      <c r="FF199" s="18"/>
      <c r="FG199" s="18"/>
      <c r="FH199" s="18"/>
      <c r="FI199" s="18"/>
      <c r="FJ199" s="18"/>
      <c r="FK199" s="18"/>
      <c r="FL199" s="18"/>
      <c r="FM199" s="18"/>
      <c r="FN199" s="18"/>
      <c r="FO199" s="18"/>
      <c r="FP199" s="18"/>
      <c r="FQ199" s="18"/>
      <c r="FR199" s="18"/>
      <c r="FS199" s="18"/>
      <c r="FT199" s="18"/>
      <c r="FU199" s="18"/>
      <c r="FV199" s="18"/>
      <c r="FW199" s="18"/>
      <c r="FX199" s="18"/>
      <c r="FY199" s="18"/>
      <c r="FZ199" s="18"/>
      <c r="GA199" s="18"/>
      <c r="GB199" s="18"/>
      <c r="GC199" s="18"/>
      <c r="GD199" s="18"/>
      <c r="GE199" s="18"/>
      <c r="GF199" s="18"/>
      <c r="GG199" s="18"/>
      <c r="GH199" s="18"/>
      <c r="GI199" s="18"/>
      <c r="GJ199" s="18"/>
      <c r="GK199" s="18"/>
      <c r="GL199" s="18"/>
      <c r="GM199" s="18"/>
      <c r="GN199" s="18"/>
      <c r="GO199" s="18"/>
      <c r="GP199" s="18"/>
      <c r="GQ199" s="18"/>
      <c r="GR199" s="18"/>
      <c r="GS199" s="18"/>
      <c r="GT199" s="18"/>
      <c r="GU199" s="18"/>
      <c r="GV199" s="18"/>
      <c r="GW199" s="18"/>
      <c r="GX199" s="18"/>
      <c r="GY199" s="18"/>
      <c r="GZ199" s="18"/>
      <c r="HA199" s="18"/>
      <c r="HB199" s="18"/>
      <c r="HC199" s="18"/>
      <c r="HD199" s="18"/>
      <c r="HE199" s="18"/>
      <c r="HF199" s="18"/>
      <c r="HG199" s="18"/>
      <c r="HH199" s="18"/>
      <c r="HI199" s="18"/>
      <c r="HJ199" s="18"/>
      <c r="HK199" s="18"/>
      <c r="HL199" s="18"/>
      <c r="HM199" s="18"/>
      <c r="HN199" s="18"/>
      <c r="HO199" s="18"/>
      <c r="HP199" s="18"/>
      <c r="HQ199" s="18"/>
      <c r="HR199" s="18"/>
      <c r="HS199" s="18"/>
      <c r="HT199" s="18"/>
      <c r="HU199" s="18"/>
      <c r="HV199" s="18"/>
      <c r="HW199" s="18"/>
      <c r="HX199" s="18"/>
      <c r="HY199" s="18"/>
      <c r="HZ199" s="18"/>
      <c r="IA199" s="18"/>
      <c r="IB199" s="18"/>
      <c r="IC199" s="18"/>
      <c r="ID199" s="18"/>
      <c r="IE199" s="18"/>
      <c r="IF199" s="18"/>
      <c r="IG199" s="18"/>
      <c r="IH199" s="18"/>
      <c r="II199" s="18"/>
      <c r="IJ199" s="18"/>
      <c r="IK199" s="18"/>
      <c r="IL199" s="18"/>
      <c r="IM199" s="18"/>
      <c r="IN199" s="18"/>
      <c r="IO199" s="18"/>
      <c r="IP199" s="18"/>
      <c r="IQ199" s="18"/>
      <c r="IR199" s="18"/>
      <c r="IS199" s="18"/>
      <c r="IT199" s="18"/>
      <c r="IU199" s="18"/>
      <c r="IV199" s="18"/>
      <c r="IW199" s="18"/>
      <c r="IX199" s="18"/>
      <c r="IY199" s="18"/>
      <c r="IZ199" s="18"/>
      <c r="JA199" s="18"/>
      <c r="JB199" s="18"/>
      <c r="JC199" s="18"/>
      <c r="JD199" s="18"/>
      <c r="JE199" s="18"/>
      <c r="JF199" s="18"/>
      <c r="JG199" s="18"/>
      <c r="JH199" s="18"/>
      <c r="JI199" s="18"/>
      <c r="JJ199" s="18"/>
      <c r="JK199" s="18"/>
      <c r="JL199" s="18"/>
      <c r="JM199" s="18"/>
      <c r="JN199" s="18"/>
      <c r="JO199" s="18"/>
      <c r="JP199" s="18"/>
      <c r="JQ199" s="18"/>
      <c r="JR199" s="18"/>
      <c r="JS199" s="18"/>
      <c r="JT199" s="18"/>
      <c r="JU199" s="18"/>
      <c r="JV199" s="18"/>
      <c r="JW199" s="18"/>
      <c r="JX199" s="18"/>
      <c r="JY199" s="18"/>
      <c r="JZ199" s="18"/>
      <c r="KA199" s="18"/>
      <c r="KB199" s="18"/>
      <c r="KC199" s="18"/>
      <c r="KD199" s="18"/>
      <c r="KE199" s="18"/>
      <c r="KF199" s="18"/>
      <c r="KG199" s="18"/>
      <c r="KH199" s="18"/>
      <c r="KI199" s="18"/>
      <c r="KJ199" s="18"/>
      <c r="KK199" s="18"/>
      <c r="KL199" s="18"/>
      <c r="KM199" s="18"/>
      <c r="KN199" s="18"/>
      <c r="KO199" s="18"/>
      <c r="KP199" s="18"/>
      <c r="KQ199" s="18"/>
      <c r="KR199" s="18"/>
      <c r="KS199" s="18"/>
      <c r="KT199" s="18"/>
      <c r="KU199" s="18"/>
      <c r="KV199" s="18"/>
      <c r="KW199" s="18"/>
      <c r="KX199" s="18"/>
      <c r="KY199" s="18"/>
      <c r="KZ199" s="18"/>
      <c r="LA199" s="18"/>
      <c r="LB199" s="18"/>
      <c r="LC199" s="18"/>
      <c r="LD199" s="18"/>
      <c r="LE199" s="18"/>
      <c r="LF199" s="18"/>
      <c r="LG199" s="18"/>
      <c r="LH199" s="18"/>
      <c r="LI199" s="18"/>
      <c r="LJ199" s="18"/>
      <c r="LK199" s="18"/>
      <c r="LL199" s="18"/>
      <c r="LM199" s="18"/>
      <c r="LN199" s="18"/>
      <c r="LO199" s="18"/>
      <c r="LP199" s="18"/>
      <c r="LQ199" s="18"/>
      <c r="LR199" s="18"/>
      <c r="LS199" s="18"/>
      <c r="LT199" s="18"/>
      <c r="LU199" s="18"/>
      <c r="LV199" s="18"/>
      <c r="LW199" s="18"/>
      <c r="LX199" s="18"/>
      <c r="LY199" s="18"/>
      <c r="LZ199" s="18"/>
      <c r="MA199" s="18"/>
      <c r="MB199" s="18"/>
      <c r="MC199" s="18"/>
      <c r="MD199" s="18"/>
      <c r="ME199" s="18"/>
      <c r="MF199" s="18"/>
      <c r="MG199" s="18"/>
      <c r="MH199" s="18"/>
      <c r="MI199" s="18"/>
      <c r="MJ199" s="18"/>
      <c r="MK199" s="18"/>
      <c r="ML199" s="18"/>
      <c r="MM199" s="18"/>
      <c r="MN199" s="18"/>
      <c r="MO199" s="18"/>
      <c r="MP199" s="18"/>
      <c r="MQ199" s="18"/>
      <c r="MR199" s="18"/>
      <c r="MS199" s="18"/>
      <c r="MT199" s="18"/>
      <c r="MU199" s="18"/>
      <c r="MV199" s="18"/>
      <c r="MW199" s="18"/>
      <c r="MX199" s="18"/>
      <c r="MY199" s="18"/>
      <c r="MZ199" s="18"/>
      <c r="NA199" s="18"/>
      <c r="NB199" s="18"/>
      <c r="NC199" s="18"/>
      <c r="ND199" s="18"/>
      <c r="NE199" s="18"/>
      <c r="NF199" s="18"/>
      <c r="NG199" s="18"/>
      <c r="NH199" s="18"/>
      <c r="NI199" s="18"/>
      <c r="NJ199" s="18"/>
      <c r="NK199" s="18"/>
      <c r="NL199" s="18"/>
      <c r="NM199" s="18"/>
      <c r="NN199" s="18"/>
      <c r="NO199" s="18"/>
      <c r="NP199" s="18"/>
      <c r="NQ199" s="18"/>
      <c r="NR199" s="18"/>
      <c r="NS199" s="18"/>
      <c r="NT199" s="18"/>
      <c r="NU199" s="18"/>
      <c r="NV199" s="18"/>
      <c r="NW199" s="18"/>
      <c r="NX199" s="18"/>
      <c r="NY199" s="18"/>
      <c r="NZ199" s="18"/>
      <c r="OA199" s="18"/>
      <c r="OB199" s="18"/>
      <c r="OC199" s="18"/>
      <c r="OD199" s="18"/>
      <c r="OE199" s="18"/>
      <c r="OF199" s="18"/>
      <c r="OG199" s="18"/>
      <c r="OH199" s="18"/>
      <c r="OI199" s="18"/>
      <c r="OJ199" s="18"/>
      <c r="OK199" s="18"/>
      <c r="OL199" s="18"/>
      <c r="OM199" s="18"/>
      <c r="ON199" s="18"/>
      <c r="OO199" s="18"/>
      <c r="OP199" s="18"/>
      <c r="OQ199" s="18"/>
      <c r="OR199" s="18"/>
      <c r="OS199" s="18"/>
      <c r="OT199" s="18"/>
      <c r="OU199" s="18"/>
      <c r="OV199" s="18"/>
      <c r="OW199" s="18"/>
      <c r="OX199" s="18"/>
      <c r="OY199" s="18"/>
      <c r="OZ199" s="18"/>
      <c r="PA199" s="18"/>
      <c r="PB199" s="18"/>
      <c r="PC199" s="18"/>
      <c r="PD199" s="18"/>
      <c r="PE199" s="18"/>
      <c r="PF199" s="18"/>
      <c r="PG199" s="18"/>
      <c r="PH199" s="18"/>
      <c r="PI199" s="18"/>
      <c r="PJ199" s="18"/>
      <c r="PK199" s="18"/>
      <c r="PL199" s="18"/>
      <c r="PM199" s="18"/>
      <c r="PN199" s="18"/>
      <c r="PO199" s="18"/>
      <c r="PP199" s="18"/>
      <c r="PQ199" s="18"/>
      <c r="PR199" s="18"/>
      <c r="PS199" s="18"/>
      <c r="PT199" s="18"/>
      <c r="PU199" s="18"/>
      <c r="PV199" s="18"/>
      <c r="PW199" s="18"/>
      <c r="PX199" s="18"/>
      <c r="PY199" s="18"/>
      <c r="PZ199" s="18"/>
      <c r="QA199" s="18"/>
      <c r="QB199" s="18"/>
      <c r="QC199" s="18"/>
      <c r="QD199" s="18"/>
      <c r="QE199" s="18"/>
      <c r="QF199" s="18"/>
      <c r="QG199" s="18"/>
      <c r="QH199" s="18"/>
      <c r="QI199" s="18"/>
      <c r="QJ199" s="18"/>
      <c r="QK199" s="18"/>
      <c r="QL199" s="18"/>
      <c r="QM199" s="18"/>
      <c r="QN199" s="18"/>
      <c r="QO199" s="18"/>
      <c r="QP199" s="18"/>
      <c r="QQ199" s="18"/>
      <c r="QR199" s="18"/>
      <c r="QS199" s="18"/>
      <c r="QT199" s="18"/>
      <c r="QU199" s="18"/>
      <c r="QV199" s="18"/>
      <c r="QW199" s="18"/>
      <c r="QX199" s="18"/>
      <c r="QY199" s="18"/>
      <c r="QZ199" s="18"/>
      <c r="RA199" s="18"/>
      <c r="RB199" s="18"/>
      <c r="RC199" s="18"/>
      <c r="RD199" s="18"/>
      <c r="RE199" s="18"/>
      <c r="RF199" s="18"/>
      <c r="RG199" s="18"/>
      <c r="RH199" s="18"/>
      <c r="RI199" s="18"/>
      <c r="RJ199" s="18"/>
      <c r="RK199" s="18"/>
      <c r="RL199" s="18"/>
      <c r="RM199" s="18"/>
      <c r="RN199" s="18"/>
      <c r="RO199" s="18"/>
      <c r="RP199" s="18"/>
      <c r="RQ199" s="18"/>
      <c r="RR199" s="18"/>
      <c r="RS199" s="18"/>
      <c r="RT199" s="18"/>
      <c r="RU199" s="18"/>
      <c r="RV199" s="18"/>
      <c r="RW199" s="18"/>
      <c r="RX199" s="18"/>
      <c r="RY199" s="18"/>
      <c r="RZ199" s="18"/>
      <c r="SA199" s="18"/>
      <c r="SB199" s="18"/>
      <c r="SC199" s="18"/>
      <c r="SD199" s="18"/>
      <c r="SE199" s="18"/>
      <c r="SF199" s="18"/>
      <c r="SG199" s="18"/>
      <c r="SH199" s="18"/>
      <c r="SI199" s="18"/>
      <c r="SJ199" s="18"/>
      <c r="SK199" s="18"/>
      <c r="SL199" s="18"/>
      <c r="SM199" s="18"/>
      <c r="SN199" s="18"/>
      <c r="SO199" s="18"/>
      <c r="SP199" s="18"/>
      <c r="SQ199" s="18"/>
      <c r="SR199" s="18"/>
      <c r="SS199" s="18"/>
      <c r="ST199" s="18"/>
      <c r="SU199" s="18"/>
      <c r="SV199" s="18"/>
      <c r="SW199" s="18"/>
      <c r="SX199" s="18"/>
      <c r="SY199" s="18"/>
      <c r="SZ199" s="18"/>
      <c r="TA199" s="18"/>
      <c r="TB199" s="18"/>
      <c r="TC199" s="18"/>
      <c r="TD199" s="18"/>
      <c r="TE199" s="18"/>
      <c r="TF199" s="18"/>
      <c r="TG199" s="18"/>
      <c r="TH199" s="18"/>
      <c r="TI199" s="18"/>
      <c r="TJ199" s="18"/>
      <c r="TK199" s="18"/>
      <c r="TL199" s="18"/>
      <c r="TM199" s="18"/>
      <c r="TN199" s="18"/>
      <c r="TO199" s="18"/>
      <c r="TP199" s="18"/>
      <c r="TQ199" s="18"/>
      <c r="TR199" s="18"/>
      <c r="TS199" s="18"/>
      <c r="TT199" s="18"/>
      <c r="TU199" s="18"/>
      <c r="TV199" s="18"/>
      <c r="TW199" s="18"/>
      <c r="TX199" s="18"/>
      <c r="TY199" s="18"/>
      <c r="TZ199" s="18"/>
      <c r="UA199" s="18"/>
      <c r="UB199" s="18"/>
      <c r="UC199" s="18"/>
      <c r="UD199" s="18"/>
      <c r="UE199" s="18"/>
      <c r="UF199" s="18"/>
      <c r="UG199" s="18"/>
      <c r="UH199" s="18"/>
      <c r="UI199" s="18"/>
      <c r="UJ199" s="18"/>
      <c r="UK199" s="18"/>
      <c r="UL199" s="18"/>
      <c r="UM199" s="18"/>
      <c r="UN199" s="18"/>
      <c r="UO199" s="18"/>
      <c r="UP199" s="18"/>
      <c r="UQ199" s="18"/>
      <c r="UR199" s="18"/>
      <c r="US199" s="18"/>
      <c r="UT199" s="18"/>
      <c r="UU199" s="18"/>
      <c r="UV199" s="18"/>
      <c r="UW199" s="18"/>
      <c r="UX199" s="18"/>
      <c r="UY199" s="18"/>
      <c r="UZ199" s="18"/>
      <c r="VA199" s="18"/>
      <c r="VB199" s="18"/>
      <c r="VC199" s="18"/>
      <c r="VD199" s="18"/>
      <c r="VE199" s="18"/>
      <c r="VF199" s="18"/>
      <c r="VG199" s="18"/>
      <c r="VH199" s="18"/>
      <c r="VI199" s="18"/>
      <c r="VJ199" s="18"/>
      <c r="VK199" s="18"/>
      <c r="VL199" s="18"/>
      <c r="VM199" s="18"/>
      <c r="VN199" s="18"/>
      <c r="VO199" s="18"/>
      <c r="VP199" s="18"/>
      <c r="VQ199" s="18"/>
      <c r="VR199" s="18"/>
      <c r="VS199" s="18"/>
      <c r="VT199" s="18"/>
      <c r="VU199" s="18"/>
      <c r="VV199" s="18"/>
      <c r="VW199" s="18"/>
      <c r="VX199" s="18"/>
      <c r="VY199" s="18"/>
      <c r="VZ199" s="18"/>
      <c r="WA199" s="18"/>
      <c r="WB199" s="18"/>
      <c r="WC199" s="18"/>
      <c r="WD199" s="18"/>
      <c r="WE199" s="18"/>
      <c r="WF199" s="18"/>
      <c r="WG199" s="18"/>
      <c r="WH199" s="18"/>
      <c r="WI199" s="18"/>
      <c r="WJ199" s="18"/>
      <c r="WK199" s="18"/>
      <c r="WL199" s="18"/>
      <c r="WM199" s="18"/>
      <c r="WN199" s="18"/>
      <c r="WO199" s="18"/>
      <c r="WP199" s="18"/>
      <c r="WQ199" s="18"/>
      <c r="WR199" s="18"/>
      <c r="WS199" s="18"/>
      <c r="WT199" s="18"/>
      <c r="WU199" s="18"/>
      <c r="WV199" s="18"/>
      <c r="WW199" s="18"/>
      <c r="WX199" s="18"/>
      <c r="WY199" s="18"/>
      <c r="WZ199" s="18"/>
      <c r="XA199" s="18"/>
      <c r="XB199" s="18"/>
      <c r="XC199" s="18"/>
      <c r="XD199" s="18"/>
      <c r="XE199" s="18"/>
      <c r="XF199" s="18"/>
      <c r="XG199" s="18"/>
      <c r="XH199" s="18"/>
      <c r="XI199" s="18"/>
      <c r="XJ199" s="18"/>
      <c r="XK199" s="18"/>
      <c r="XL199" s="18"/>
      <c r="XM199" s="18"/>
      <c r="XN199" s="18"/>
      <c r="XO199" s="18"/>
      <c r="XP199" s="18"/>
      <c r="XQ199" s="18"/>
      <c r="XR199" s="18"/>
      <c r="XS199" s="18"/>
      <c r="XT199" s="18"/>
      <c r="XU199" s="18"/>
      <c r="XV199" s="18"/>
      <c r="XW199" s="18"/>
      <c r="XX199" s="18"/>
      <c r="XY199" s="18"/>
      <c r="XZ199" s="18"/>
      <c r="YA199" s="18"/>
      <c r="YB199" s="18"/>
      <c r="YC199" s="18"/>
      <c r="YD199" s="18"/>
      <c r="YE199" s="18"/>
      <c r="YF199" s="18"/>
      <c r="YG199" s="18"/>
      <c r="YH199" s="18"/>
      <c r="YI199" s="18"/>
      <c r="YJ199" s="18"/>
      <c r="YK199" s="18"/>
      <c r="YL199" s="18"/>
      <c r="YM199" s="18"/>
      <c r="YN199" s="18"/>
      <c r="YO199" s="18"/>
      <c r="YP199" s="18"/>
      <c r="YQ199" s="18"/>
      <c r="YR199" s="18"/>
      <c r="YS199" s="18"/>
      <c r="YT199" s="18"/>
      <c r="YU199" s="18"/>
      <c r="YV199" s="18"/>
      <c r="YW199" s="18"/>
      <c r="YX199" s="18"/>
      <c r="YY199" s="18"/>
      <c r="YZ199" s="18"/>
      <c r="ZA199" s="18"/>
      <c r="ZB199" s="18"/>
      <c r="ZC199" s="18"/>
      <c r="ZD199" s="18"/>
      <c r="ZE199" s="18"/>
      <c r="ZF199" s="18"/>
      <c r="ZG199" s="18"/>
      <c r="ZH199" s="18"/>
      <c r="ZI199" s="18"/>
      <c r="ZJ199" s="18"/>
      <c r="ZK199" s="18"/>
      <c r="ZL199" s="18"/>
      <c r="ZM199" s="18"/>
      <c r="ZN199" s="18"/>
      <c r="ZO199" s="18"/>
      <c r="ZP199" s="18"/>
      <c r="ZQ199" s="18"/>
      <c r="ZR199" s="18"/>
      <c r="ZS199" s="18"/>
      <c r="ZT199" s="18"/>
      <c r="ZU199" s="18"/>
      <c r="ZV199" s="18"/>
      <c r="ZW199" s="18"/>
      <c r="ZX199" s="18"/>
      <c r="ZY199" s="18"/>
      <c r="ZZ199" s="18"/>
      <c r="AAA199" s="18"/>
      <c r="AAB199" s="18"/>
      <c r="AAC199" s="18"/>
      <c r="AAD199" s="18"/>
      <c r="AAE199" s="18"/>
      <c r="AAF199" s="18"/>
      <c r="AAG199" s="18"/>
      <c r="AAH199" s="18"/>
      <c r="AAI199" s="18"/>
      <c r="AAJ199" s="18"/>
      <c r="AAK199" s="18"/>
      <c r="AAL199" s="18"/>
      <c r="AAM199" s="18"/>
      <c r="AAN199" s="18"/>
      <c r="AAO199" s="18"/>
      <c r="AAP199" s="18"/>
      <c r="AAQ199" s="18"/>
      <c r="AAR199" s="18"/>
      <c r="AAS199" s="18"/>
      <c r="AAT199" s="18"/>
      <c r="AAU199" s="18"/>
      <c r="AAV199" s="18"/>
      <c r="AAW199" s="18"/>
      <c r="AAX199" s="18"/>
      <c r="AAY199" s="18"/>
      <c r="AAZ199" s="18"/>
      <c r="ABA199" s="18"/>
      <c r="ABB199" s="18"/>
      <c r="ABC199" s="18"/>
      <c r="ABD199" s="18"/>
      <c r="ABE199" s="18"/>
      <c r="ABF199" s="18"/>
      <c r="ABG199" s="18"/>
      <c r="ABH199" s="18"/>
      <c r="ABI199" s="18"/>
      <c r="ABJ199" s="18"/>
      <c r="ABK199" s="18"/>
      <c r="ABL199" s="18"/>
      <c r="ABM199" s="18"/>
      <c r="ABN199" s="18"/>
      <c r="ABO199" s="18"/>
      <c r="ABP199" s="18"/>
      <c r="ABQ199" s="18"/>
      <c r="ABR199" s="18"/>
      <c r="ABS199" s="18"/>
      <c r="ABT199" s="18"/>
      <c r="ABU199" s="18"/>
      <c r="ABV199" s="18"/>
      <c r="ABW199" s="18"/>
      <c r="ABX199" s="18"/>
      <c r="ABY199" s="18"/>
      <c r="ABZ199" s="18"/>
      <c r="ACA199" s="18"/>
      <c r="ACB199" s="18"/>
      <c r="ACC199" s="18"/>
      <c r="ACD199" s="18"/>
      <c r="ACE199" s="18"/>
      <c r="ACF199" s="18"/>
      <c r="ACG199" s="18"/>
      <c r="ACH199" s="18"/>
      <c r="ACI199" s="18"/>
      <c r="ACJ199" s="18"/>
      <c r="ACK199" s="18"/>
      <c r="ACL199" s="18"/>
      <c r="ACM199" s="18"/>
      <c r="ACN199" s="18"/>
      <c r="ACO199" s="18"/>
      <c r="ACP199" s="18"/>
      <c r="ACQ199" s="18"/>
      <c r="ACR199" s="18"/>
      <c r="ACS199" s="18"/>
      <c r="ACT199" s="18"/>
      <c r="ACU199" s="18"/>
      <c r="ACV199" s="18"/>
      <c r="ACW199" s="18"/>
      <c r="ACX199" s="18"/>
      <c r="ACY199" s="18"/>
      <c r="ACZ199" s="18"/>
      <c r="ADA199" s="18"/>
      <c r="ADB199" s="18"/>
      <c r="ADC199" s="18"/>
      <c r="ADD199" s="18"/>
      <c r="ADE199" s="18"/>
      <c r="ADF199" s="18"/>
      <c r="ADG199" s="18"/>
      <c r="ADH199" s="18"/>
      <c r="ADI199" s="18"/>
      <c r="ADJ199" s="18"/>
      <c r="ADK199" s="18"/>
      <c r="ADL199" s="18"/>
      <c r="ADM199" s="18"/>
      <c r="ADN199" s="18"/>
      <c r="ADO199" s="18"/>
      <c r="ADP199" s="18"/>
      <c r="ADQ199" s="18"/>
      <c r="ADR199" s="18"/>
      <c r="ADS199" s="18"/>
      <c r="ADT199" s="18"/>
      <c r="ADU199" s="18"/>
      <c r="ADV199" s="18"/>
      <c r="ADW199" s="18"/>
      <c r="ADX199" s="18"/>
      <c r="ADY199" s="18"/>
      <c r="ADZ199" s="18"/>
      <c r="AEA199" s="18"/>
      <c r="AEB199" s="18"/>
      <c r="AEC199" s="18"/>
      <c r="AED199" s="18"/>
      <c r="AEE199" s="18"/>
      <c r="AEF199" s="18"/>
      <c r="AEG199" s="18"/>
      <c r="AEH199" s="18"/>
      <c r="AEI199" s="18"/>
      <c r="AEJ199" s="18"/>
      <c r="AEK199" s="18"/>
      <c r="AEL199" s="18"/>
      <c r="AEM199" s="18"/>
      <c r="AEN199" s="18"/>
      <c r="AEO199" s="18"/>
      <c r="AEP199" s="18"/>
      <c r="AEQ199" s="18"/>
      <c r="AER199" s="18"/>
      <c r="AES199" s="18"/>
      <c r="AET199" s="18"/>
      <c r="AEU199" s="18"/>
      <c r="AEV199" s="18"/>
      <c r="AEW199" s="18"/>
      <c r="AEX199" s="18"/>
      <c r="AEY199" s="18"/>
      <c r="AEZ199" s="18"/>
      <c r="AFA199" s="18"/>
      <c r="AFB199" s="18"/>
      <c r="AFC199" s="18"/>
      <c r="AFD199" s="18"/>
      <c r="AFE199" s="18"/>
      <c r="AFF199" s="18"/>
      <c r="AFG199" s="18"/>
      <c r="AFH199" s="18"/>
      <c r="AFI199" s="18"/>
      <c r="AFJ199" s="18"/>
      <c r="AFK199" s="18"/>
      <c r="AFL199" s="18"/>
      <c r="AFM199" s="18"/>
      <c r="AFN199" s="18"/>
      <c r="AFO199" s="18"/>
      <c r="AFP199" s="18"/>
      <c r="AFQ199" s="18"/>
      <c r="AFR199" s="18"/>
      <c r="AFS199" s="18"/>
      <c r="AFT199" s="18"/>
      <c r="AFU199" s="18"/>
      <c r="AFV199" s="18"/>
      <c r="AFW199" s="18"/>
      <c r="AFX199" s="18"/>
      <c r="AFY199" s="18"/>
      <c r="AFZ199" s="18"/>
      <c r="AGA199" s="18"/>
      <c r="AGB199" s="18"/>
      <c r="AGC199" s="18"/>
      <c r="AGD199" s="18"/>
      <c r="AGE199" s="18"/>
      <c r="AGF199" s="18"/>
      <c r="AGG199" s="18"/>
      <c r="AGH199" s="18"/>
      <c r="AGI199" s="18"/>
      <c r="AGJ199" s="18"/>
      <c r="AGK199" s="18"/>
      <c r="AGL199" s="18"/>
      <c r="AGM199" s="18"/>
      <c r="AGN199" s="18"/>
      <c r="AGO199" s="18"/>
      <c r="AGP199" s="18"/>
      <c r="AGQ199" s="18"/>
      <c r="AGR199" s="18"/>
      <c r="AGS199" s="18"/>
      <c r="AGT199" s="18"/>
      <c r="AGU199" s="18"/>
      <c r="AGV199" s="18"/>
      <c r="AGW199" s="18"/>
      <c r="AGX199" s="18"/>
      <c r="AGY199" s="18"/>
      <c r="AGZ199" s="18"/>
      <c r="AHA199" s="18"/>
      <c r="AHB199" s="18"/>
      <c r="AHC199" s="18"/>
      <c r="AHD199" s="18"/>
      <c r="AHE199" s="18"/>
      <c r="AHF199" s="18"/>
      <c r="AHG199" s="18"/>
      <c r="AHH199" s="18"/>
      <c r="AHI199" s="18"/>
      <c r="AHJ199" s="18"/>
      <c r="AHK199" s="18"/>
      <c r="AHL199" s="18"/>
      <c r="AHM199" s="18"/>
      <c r="AHN199" s="18"/>
      <c r="AHO199" s="18"/>
      <c r="AHP199" s="18"/>
      <c r="AHQ199" s="18"/>
      <c r="AHR199" s="18"/>
      <c r="AHS199" s="18"/>
      <c r="AHT199" s="18"/>
      <c r="AHU199" s="18"/>
      <c r="AHV199" s="18"/>
      <c r="AHW199" s="18"/>
      <c r="AHX199" s="18"/>
      <c r="AHY199" s="18"/>
      <c r="AHZ199" s="18"/>
      <c r="AIA199" s="18"/>
      <c r="AIB199" s="18"/>
      <c r="AIC199" s="18"/>
      <c r="AID199" s="18"/>
      <c r="AIE199" s="18"/>
      <c r="AIF199" s="18"/>
      <c r="AIG199" s="18"/>
      <c r="AIH199" s="18"/>
      <c r="AII199" s="18"/>
      <c r="AIJ199" s="18"/>
      <c r="AIK199" s="18"/>
      <c r="AIL199" s="18"/>
      <c r="AIM199" s="18"/>
      <c r="AIN199" s="18"/>
      <c r="AIO199" s="18"/>
      <c r="AIP199" s="18"/>
      <c r="AIQ199" s="18"/>
      <c r="AIR199" s="18"/>
      <c r="AIS199" s="18"/>
      <c r="AIT199" s="18"/>
      <c r="AIU199" s="18"/>
      <c r="AIV199" s="18"/>
      <c r="AIW199" s="18"/>
      <c r="AIX199" s="18"/>
      <c r="AIY199" s="18"/>
      <c r="AIZ199" s="18"/>
      <c r="AJA199" s="18"/>
      <c r="AJB199" s="18"/>
      <c r="AJC199" s="18"/>
      <c r="AJD199" s="18"/>
      <c r="AJE199" s="18"/>
      <c r="AJF199" s="18"/>
      <c r="AJG199" s="18"/>
      <c r="AJH199" s="18"/>
      <c r="AJI199" s="18"/>
      <c r="AJJ199" s="18"/>
      <c r="AJK199" s="18"/>
      <c r="AJL199" s="18"/>
      <c r="AJM199" s="18"/>
      <c r="AJN199" s="18"/>
      <c r="AJO199" s="18"/>
      <c r="AJP199" s="18"/>
      <c r="AJQ199" s="18"/>
      <c r="AJR199" s="18"/>
      <c r="AJS199" s="18"/>
      <c r="AJT199" s="18"/>
      <c r="AJU199" s="18"/>
      <c r="AJV199" s="18"/>
      <c r="AJW199" s="18"/>
      <c r="AJX199" s="18"/>
      <c r="AJY199" s="18"/>
      <c r="AJZ199" s="18"/>
      <c r="AKA199" s="18"/>
      <c r="AKB199" s="18"/>
      <c r="AKC199" s="18"/>
      <c r="AKD199" s="18"/>
      <c r="AKE199" s="18"/>
      <c r="AKF199" s="18"/>
      <c r="AKG199" s="18"/>
      <c r="AKH199" s="18"/>
      <c r="AKI199" s="18"/>
      <c r="AKJ199" s="18"/>
      <c r="AKK199" s="18"/>
      <c r="AKL199" s="18"/>
      <c r="AKM199" s="18"/>
      <c r="AKN199" s="18"/>
      <c r="AKO199" s="18"/>
      <c r="AKP199" s="18"/>
      <c r="AKQ199" s="18"/>
      <c r="AKR199" s="18"/>
      <c r="AKS199" s="18"/>
      <c r="AKT199" s="18"/>
      <c r="AKU199" s="18"/>
      <c r="AKV199" s="18"/>
      <c r="AKW199" s="18"/>
      <c r="AKX199" s="18"/>
      <c r="AKY199" s="18"/>
      <c r="AKZ199" s="18"/>
      <c r="ALA199" s="18"/>
      <c r="ALB199" s="18"/>
      <c r="ALC199" s="18"/>
      <c r="ALD199" s="18"/>
      <c r="ALE199" s="18"/>
      <c r="ALF199" s="18"/>
      <c r="ALG199" s="18"/>
      <c r="ALH199" s="18"/>
      <c r="ALI199" s="18"/>
      <c r="ALJ199" s="18"/>
      <c r="ALK199" s="18"/>
      <c r="ALL199" s="18"/>
      <c r="ALM199" s="18"/>
      <c r="ALN199" s="18"/>
      <c r="ALO199" s="18"/>
      <c r="ALP199" s="18"/>
      <c r="ALQ199" s="18"/>
      <c r="ALR199" s="18"/>
      <c r="ALS199" s="18"/>
      <c r="ALT199" s="18"/>
      <c r="ALU199" s="18"/>
      <c r="ALV199" s="18"/>
      <c r="ALW199" s="18"/>
      <c r="ALX199" s="18"/>
      <c r="ALY199" s="18"/>
      <c r="ALZ199" s="18"/>
      <c r="AMA199" s="18"/>
      <c r="AMB199" s="18"/>
      <c r="AMC199" s="18"/>
      <c r="AMD199" s="18"/>
      <c r="AME199" s="18"/>
      <c r="AMF199" s="18"/>
      <c r="AMG199" s="18"/>
      <c r="AMH199" s="18"/>
      <c r="AMI199" s="18"/>
      <c r="AMJ199" s="18"/>
      <c r="AMK199" s="18"/>
      <c r="AML199" s="18"/>
      <c r="AMM199" s="18"/>
    </row>
    <row r="200" spans="1:1027" s="18" customFormat="1" x14ac:dyDescent="0.2">
      <c r="A200" s="18">
        <v>4</v>
      </c>
      <c r="B200" s="18" t="s">
        <v>770</v>
      </c>
      <c r="C200" s="18" t="s">
        <v>771</v>
      </c>
      <c r="D200" s="28">
        <v>37</v>
      </c>
      <c r="E200" s="42" t="s">
        <v>507</v>
      </c>
      <c r="F200" s="42" t="s">
        <v>507</v>
      </c>
      <c r="G200" s="43" t="s">
        <v>508</v>
      </c>
      <c r="H200" s="42" t="s">
        <v>507</v>
      </c>
      <c r="I200" s="42" t="s">
        <v>507</v>
      </c>
      <c r="J200" s="42" t="s">
        <v>507</v>
      </c>
      <c r="K200" s="21" t="s">
        <v>509</v>
      </c>
      <c r="M200" s="1" t="s">
        <v>609</v>
      </c>
      <c r="N200" s="1"/>
      <c r="S200" s="13"/>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1"/>
      <c r="DZ200" s="31"/>
      <c r="EA200" s="31"/>
      <c r="EB200" s="31"/>
      <c r="EC200" s="31"/>
      <c r="ED200" s="31"/>
      <c r="EE200" s="31"/>
      <c r="EF200" s="31"/>
      <c r="EG200" s="31"/>
      <c r="EH200" s="31"/>
      <c r="EI200" s="31"/>
      <c r="EJ200" s="31"/>
      <c r="EK200" s="31"/>
      <c r="EL200" s="31"/>
      <c r="EM200" s="31"/>
      <c r="EN200" s="31"/>
      <c r="EO200" s="31"/>
      <c r="EP200" s="31"/>
      <c r="EQ200" s="31"/>
      <c r="ER200" s="31"/>
      <c r="ES200" s="31"/>
      <c r="ET200" s="31"/>
      <c r="EU200" s="31"/>
      <c r="EV200" s="31"/>
      <c r="EW200" s="31"/>
      <c r="EX200" s="31"/>
      <c r="EY200" s="31"/>
      <c r="EZ200" s="31"/>
      <c r="FA200" s="31"/>
      <c r="FB200" s="31"/>
      <c r="FC200" s="31"/>
      <c r="FD200" s="31"/>
      <c r="FE200" s="31"/>
      <c r="FF200" s="31"/>
      <c r="FG200" s="31"/>
      <c r="FH200" s="31"/>
      <c r="FI200" s="31"/>
      <c r="FJ200" s="31"/>
      <c r="FK200" s="31"/>
      <c r="FL200" s="31"/>
      <c r="FM200" s="31"/>
      <c r="FN200" s="31"/>
      <c r="FO200" s="31"/>
      <c r="FP200" s="31"/>
      <c r="FQ200" s="31"/>
      <c r="FR200" s="31"/>
      <c r="FS200" s="31"/>
      <c r="FT200" s="31"/>
      <c r="FU200" s="31"/>
      <c r="FV200" s="31"/>
      <c r="FW200" s="31"/>
      <c r="FX200" s="31"/>
      <c r="FY200" s="31"/>
      <c r="FZ200" s="31"/>
      <c r="GA200" s="31"/>
      <c r="GB200" s="31"/>
      <c r="GC200" s="31"/>
      <c r="GD200" s="31"/>
      <c r="GE200" s="31"/>
      <c r="GF200" s="31"/>
      <c r="GG200" s="31"/>
      <c r="GH200" s="31"/>
      <c r="GI200" s="31"/>
      <c r="GJ200" s="31"/>
      <c r="GK200" s="31"/>
      <c r="GL200" s="31"/>
      <c r="GM200" s="31"/>
      <c r="GN200" s="31"/>
      <c r="GO200" s="31"/>
      <c r="GP200" s="31"/>
      <c r="GQ200" s="31"/>
      <c r="GR200" s="31"/>
      <c r="GS200" s="31"/>
      <c r="GT200" s="31"/>
      <c r="GU200" s="31"/>
      <c r="GV200" s="31"/>
      <c r="GW200" s="31"/>
      <c r="GX200" s="31"/>
      <c r="GY200" s="31"/>
      <c r="GZ200" s="31"/>
      <c r="HA200" s="31"/>
      <c r="HB200" s="31"/>
      <c r="HC200" s="31"/>
      <c r="HD200" s="31"/>
      <c r="HE200" s="31"/>
      <c r="HF200" s="31"/>
      <c r="HG200" s="31"/>
      <c r="HH200" s="31"/>
      <c r="HI200" s="31"/>
      <c r="HJ200" s="31"/>
      <c r="HK200" s="31"/>
      <c r="HL200" s="31"/>
      <c r="HM200" s="31"/>
      <c r="HN200" s="31"/>
      <c r="HO200" s="31"/>
      <c r="HP200" s="31"/>
      <c r="HQ200" s="31"/>
      <c r="HR200" s="31"/>
      <c r="HS200" s="31"/>
      <c r="HT200" s="31"/>
      <c r="HU200" s="31"/>
      <c r="HV200" s="31"/>
      <c r="HW200" s="31"/>
      <c r="HX200" s="31"/>
      <c r="HY200" s="31"/>
      <c r="HZ200" s="31"/>
      <c r="IA200" s="31"/>
      <c r="IB200" s="31"/>
      <c r="IC200" s="31"/>
      <c r="ID200" s="31"/>
      <c r="IE200" s="31"/>
      <c r="IF200" s="31"/>
      <c r="IG200" s="31"/>
      <c r="IH200" s="31"/>
      <c r="II200" s="31"/>
      <c r="IJ200" s="31"/>
      <c r="IK200" s="31"/>
      <c r="IL200" s="31"/>
      <c r="IM200" s="31"/>
      <c r="IN200" s="31"/>
      <c r="IO200" s="31"/>
      <c r="IP200" s="31"/>
      <c r="IQ200" s="31"/>
      <c r="IR200" s="31"/>
      <c r="IS200" s="31"/>
      <c r="IT200" s="31"/>
      <c r="IU200" s="31"/>
      <c r="IV200" s="31"/>
      <c r="IW200" s="31"/>
      <c r="IX200" s="31"/>
      <c r="IY200" s="31"/>
      <c r="IZ200" s="31"/>
      <c r="JA200" s="31"/>
      <c r="JB200" s="31"/>
      <c r="JC200" s="31"/>
      <c r="JD200" s="31"/>
      <c r="JE200" s="31"/>
      <c r="JF200" s="31"/>
      <c r="JG200" s="31"/>
      <c r="JH200" s="31"/>
      <c r="JI200" s="31"/>
      <c r="JJ200" s="31"/>
      <c r="JK200" s="31"/>
      <c r="JL200" s="31"/>
      <c r="JM200" s="31"/>
      <c r="JN200" s="31"/>
      <c r="JO200" s="31"/>
      <c r="JP200" s="31"/>
      <c r="JQ200" s="31"/>
      <c r="JR200" s="31"/>
      <c r="JS200" s="31"/>
      <c r="JT200" s="31"/>
      <c r="JU200" s="31"/>
      <c r="JV200" s="31"/>
      <c r="JW200" s="31"/>
      <c r="JX200" s="31"/>
      <c r="JY200" s="31"/>
      <c r="JZ200" s="31"/>
      <c r="KA200" s="31"/>
      <c r="KB200" s="31"/>
      <c r="KC200" s="31"/>
      <c r="KD200" s="31"/>
      <c r="KE200" s="31"/>
      <c r="KF200" s="31"/>
      <c r="KG200" s="31"/>
      <c r="KH200" s="31"/>
      <c r="KI200" s="31"/>
      <c r="KJ200" s="31"/>
      <c r="KK200" s="31"/>
      <c r="KL200" s="31"/>
      <c r="KM200" s="31"/>
      <c r="KN200" s="31"/>
      <c r="KO200" s="31"/>
      <c r="KP200" s="31"/>
      <c r="KQ200" s="31"/>
      <c r="KR200" s="31"/>
      <c r="KS200" s="31"/>
      <c r="KT200" s="31"/>
      <c r="KU200" s="31"/>
      <c r="KV200" s="31"/>
      <c r="KW200" s="31"/>
      <c r="KX200" s="31"/>
      <c r="KY200" s="31"/>
      <c r="KZ200" s="31"/>
      <c r="LA200" s="31"/>
      <c r="LB200" s="31"/>
      <c r="LC200" s="31"/>
      <c r="LD200" s="31"/>
      <c r="LE200" s="31"/>
      <c r="LF200" s="31"/>
      <c r="LG200" s="31"/>
      <c r="LH200" s="31"/>
      <c r="LI200" s="31"/>
      <c r="LJ200" s="31"/>
      <c r="LK200" s="31"/>
      <c r="LL200" s="31"/>
      <c r="LM200" s="31"/>
      <c r="LN200" s="31"/>
      <c r="LO200" s="31"/>
      <c r="LP200" s="31"/>
      <c r="LQ200" s="31"/>
      <c r="LR200" s="31"/>
      <c r="LS200" s="31"/>
      <c r="LT200" s="31"/>
      <c r="LU200" s="31"/>
      <c r="LV200" s="31"/>
      <c r="LW200" s="31"/>
      <c r="LX200" s="31"/>
      <c r="LY200" s="31"/>
      <c r="LZ200" s="31"/>
      <c r="MA200" s="31"/>
      <c r="MB200" s="31"/>
      <c r="MC200" s="31"/>
      <c r="MD200" s="31"/>
      <c r="ME200" s="31"/>
      <c r="MF200" s="31"/>
      <c r="MG200" s="31"/>
      <c r="MH200" s="31"/>
      <c r="MI200" s="31"/>
      <c r="MJ200" s="31"/>
      <c r="MK200" s="31"/>
      <c r="ML200" s="31"/>
      <c r="MM200" s="31"/>
      <c r="MN200" s="31"/>
      <c r="MO200" s="31"/>
      <c r="MP200" s="31"/>
      <c r="MQ200" s="31"/>
      <c r="MR200" s="31"/>
      <c r="MS200" s="31"/>
      <c r="MT200" s="31"/>
      <c r="MU200" s="31"/>
      <c r="MV200" s="31"/>
      <c r="MW200" s="31"/>
      <c r="MX200" s="31"/>
      <c r="MY200" s="31"/>
      <c r="MZ200" s="31"/>
      <c r="NA200" s="31"/>
      <c r="NB200" s="31"/>
      <c r="NC200" s="31"/>
      <c r="ND200" s="31"/>
      <c r="NE200" s="31"/>
      <c r="NF200" s="31"/>
      <c r="NG200" s="31"/>
      <c r="NH200" s="31"/>
      <c r="NI200" s="31"/>
      <c r="NJ200" s="31"/>
      <c r="NK200" s="31"/>
      <c r="NL200" s="31"/>
      <c r="NM200" s="31"/>
      <c r="NN200" s="31"/>
      <c r="NO200" s="31"/>
      <c r="NP200" s="31"/>
      <c r="NQ200" s="31"/>
      <c r="NR200" s="31"/>
      <c r="NS200" s="31"/>
      <c r="NT200" s="31"/>
      <c r="NU200" s="31"/>
      <c r="NV200" s="31"/>
      <c r="NW200" s="31"/>
      <c r="NX200" s="31"/>
      <c r="NY200" s="31"/>
      <c r="NZ200" s="31"/>
      <c r="OA200" s="31"/>
      <c r="OB200" s="31"/>
      <c r="OC200" s="31"/>
      <c r="OD200" s="31"/>
      <c r="OE200" s="31"/>
      <c r="OF200" s="31"/>
      <c r="OG200" s="31"/>
      <c r="OH200" s="31"/>
      <c r="OI200" s="31"/>
      <c r="OJ200" s="31"/>
      <c r="OK200" s="31"/>
      <c r="OL200" s="31"/>
      <c r="OM200" s="31"/>
      <c r="ON200" s="31"/>
      <c r="OO200" s="31"/>
      <c r="OP200" s="31"/>
      <c r="OQ200" s="31"/>
      <c r="OR200" s="31"/>
      <c r="OS200" s="31"/>
      <c r="OT200" s="31"/>
      <c r="OU200" s="31"/>
      <c r="OV200" s="31"/>
      <c r="OW200" s="31"/>
      <c r="OX200" s="31"/>
      <c r="OY200" s="31"/>
      <c r="OZ200" s="31"/>
      <c r="PA200" s="31"/>
      <c r="PB200" s="31"/>
      <c r="PC200" s="31"/>
      <c r="PD200" s="31"/>
      <c r="PE200" s="31"/>
      <c r="PF200" s="31"/>
      <c r="PG200" s="31"/>
      <c r="PH200" s="31"/>
      <c r="PI200" s="31"/>
      <c r="PJ200" s="31"/>
      <c r="PK200" s="31"/>
      <c r="PL200" s="31"/>
      <c r="PM200" s="31"/>
      <c r="PN200" s="31"/>
      <c r="PO200" s="31"/>
      <c r="PP200" s="31"/>
      <c r="PQ200" s="31"/>
      <c r="PR200" s="31"/>
      <c r="PS200" s="31"/>
      <c r="PT200" s="31"/>
      <c r="PU200" s="31"/>
      <c r="PV200" s="31"/>
      <c r="PW200" s="31"/>
      <c r="PX200" s="31"/>
      <c r="PY200" s="31"/>
      <c r="PZ200" s="31"/>
      <c r="QA200" s="31"/>
      <c r="QB200" s="31"/>
      <c r="QC200" s="31"/>
      <c r="QD200" s="31"/>
      <c r="QE200" s="31"/>
      <c r="QF200" s="31"/>
      <c r="QG200" s="31"/>
      <c r="QH200" s="31"/>
      <c r="QI200" s="31"/>
      <c r="QJ200" s="31"/>
      <c r="QK200" s="31"/>
      <c r="QL200" s="31"/>
      <c r="QM200" s="31"/>
      <c r="QN200" s="31"/>
      <c r="QO200" s="31"/>
      <c r="QP200" s="31"/>
      <c r="QQ200" s="31"/>
      <c r="QR200" s="31"/>
      <c r="QS200" s="31"/>
      <c r="QT200" s="31"/>
      <c r="QU200" s="31"/>
      <c r="QV200" s="31"/>
      <c r="QW200" s="31"/>
      <c r="QX200" s="31"/>
      <c r="QY200" s="31"/>
      <c r="QZ200" s="31"/>
      <c r="RA200" s="31"/>
      <c r="RB200" s="31"/>
      <c r="RC200" s="31"/>
      <c r="RD200" s="31"/>
      <c r="RE200" s="31"/>
      <c r="RF200" s="31"/>
      <c r="RG200" s="31"/>
      <c r="RH200" s="31"/>
      <c r="RI200" s="31"/>
      <c r="RJ200" s="31"/>
      <c r="RK200" s="31"/>
      <c r="RL200" s="31"/>
      <c r="RM200" s="31"/>
      <c r="RN200" s="31"/>
      <c r="RO200" s="31"/>
      <c r="RP200" s="31"/>
      <c r="RQ200" s="31"/>
      <c r="RR200" s="31"/>
      <c r="RS200" s="31"/>
      <c r="RT200" s="31"/>
      <c r="RU200" s="31"/>
      <c r="RV200" s="31"/>
      <c r="RW200" s="31"/>
      <c r="RX200" s="31"/>
      <c r="RY200" s="31"/>
      <c r="RZ200" s="31"/>
      <c r="SA200" s="31"/>
      <c r="SB200" s="31"/>
      <c r="SC200" s="31"/>
      <c r="SD200" s="31"/>
      <c r="SE200" s="31"/>
      <c r="SF200" s="31"/>
      <c r="SG200" s="31"/>
      <c r="SH200" s="31"/>
      <c r="SI200" s="31"/>
      <c r="SJ200" s="31"/>
      <c r="SK200" s="31"/>
      <c r="SL200" s="31"/>
      <c r="SM200" s="31"/>
      <c r="SN200" s="31"/>
      <c r="SO200" s="31"/>
      <c r="SP200" s="31"/>
      <c r="SQ200" s="31"/>
      <c r="SR200" s="31"/>
      <c r="SS200" s="31"/>
      <c r="ST200" s="31"/>
      <c r="SU200" s="31"/>
      <c r="SV200" s="31"/>
      <c r="SW200" s="31"/>
      <c r="SX200" s="31"/>
      <c r="SY200" s="31"/>
      <c r="SZ200" s="31"/>
      <c r="TA200" s="31"/>
      <c r="TB200" s="31"/>
      <c r="TC200" s="31"/>
      <c r="TD200" s="31"/>
      <c r="TE200" s="31"/>
      <c r="TF200" s="31"/>
      <c r="TG200" s="31"/>
      <c r="TH200" s="31"/>
      <c r="TI200" s="31"/>
      <c r="TJ200" s="31"/>
      <c r="TK200" s="31"/>
      <c r="TL200" s="31"/>
      <c r="TM200" s="31"/>
      <c r="TN200" s="31"/>
      <c r="TO200" s="31"/>
      <c r="TP200" s="31"/>
      <c r="TQ200" s="31"/>
      <c r="TR200" s="31"/>
      <c r="TS200" s="31"/>
      <c r="TT200" s="31"/>
      <c r="TU200" s="31"/>
      <c r="TV200" s="31"/>
      <c r="TW200" s="31"/>
      <c r="TX200" s="31"/>
      <c r="TY200" s="31"/>
      <c r="TZ200" s="31"/>
      <c r="UA200" s="31"/>
      <c r="UB200" s="31"/>
      <c r="UC200" s="31"/>
      <c r="UD200" s="31"/>
      <c r="UE200" s="31"/>
      <c r="UF200" s="31"/>
      <c r="UG200" s="31"/>
      <c r="UH200" s="31"/>
      <c r="UI200" s="31"/>
      <c r="UJ200" s="31"/>
      <c r="UK200" s="31"/>
      <c r="UL200" s="31"/>
      <c r="UM200" s="31"/>
      <c r="UN200" s="31"/>
      <c r="UO200" s="31"/>
      <c r="UP200" s="31"/>
      <c r="UQ200" s="31"/>
      <c r="UR200" s="31"/>
      <c r="US200" s="31"/>
      <c r="UT200" s="31"/>
      <c r="UU200" s="31"/>
      <c r="UV200" s="31"/>
      <c r="UW200" s="31"/>
      <c r="UX200" s="31"/>
      <c r="UY200" s="31"/>
      <c r="UZ200" s="31"/>
      <c r="VA200" s="31"/>
      <c r="VB200" s="31"/>
      <c r="VC200" s="31"/>
      <c r="VD200" s="31"/>
      <c r="VE200" s="31"/>
      <c r="VF200" s="31"/>
      <c r="VG200" s="31"/>
      <c r="VH200" s="31"/>
      <c r="VI200" s="31"/>
      <c r="VJ200" s="31"/>
      <c r="VK200" s="31"/>
      <c r="VL200" s="31"/>
      <c r="VM200" s="31"/>
      <c r="VN200" s="31"/>
      <c r="VO200" s="31"/>
      <c r="VP200" s="31"/>
      <c r="VQ200" s="31"/>
      <c r="VR200" s="31"/>
      <c r="VS200" s="31"/>
      <c r="VT200" s="31"/>
      <c r="VU200" s="31"/>
      <c r="VV200" s="31"/>
      <c r="VW200" s="31"/>
      <c r="VX200" s="31"/>
      <c r="VY200" s="31"/>
      <c r="VZ200" s="31"/>
      <c r="WA200" s="31"/>
      <c r="WB200" s="31"/>
      <c r="WC200" s="31"/>
      <c r="WD200" s="31"/>
      <c r="WE200" s="31"/>
      <c r="WF200" s="31"/>
      <c r="WG200" s="31"/>
      <c r="WH200" s="31"/>
      <c r="WI200" s="31"/>
      <c r="WJ200" s="31"/>
      <c r="WK200" s="31"/>
      <c r="WL200" s="31"/>
      <c r="WM200" s="31"/>
      <c r="WN200" s="31"/>
      <c r="WO200" s="31"/>
      <c r="WP200" s="31"/>
      <c r="WQ200" s="31"/>
      <c r="WR200" s="31"/>
      <c r="WS200" s="31"/>
      <c r="WT200" s="31"/>
      <c r="WU200" s="31"/>
      <c r="WV200" s="31"/>
      <c r="WW200" s="31"/>
      <c r="WX200" s="31"/>
      <c r="WY200" s="31"/>
      <c r="WZ200" s="31"/>
      <c r="XA200" s="31"/>
      <c r="XB200" s="31"/>
      <c r="XC200" s="31"/>
      <c r="XD200" s="31"/>
      <c r="XE200" s="31"/>
      <c r="XF200" s="31"/>
      <c r="XG200" s="31"/>
      <c r="XH200" s="31"/>
      <c r="XI200" s="31"/>
      <c r="XJ200" s="31"/>
      <c r="XK200" s="31"/>
      <c r="XL200" s="31"/>
      <c r="XM200" s="31"/>
      <c r="XN200" s="31"/>
      <c r="XO200" s="31"/>
      <c r="XP200" s="31"/>
      <c r="XQ200" s="31"/>
      <c r="XR200" s="31"/>
      <c r="XS200" s="31"/>
      <c r="XT200" s="31"/>
      <c r="XU200" s="31"/>
      <c r="XV200" s="31"/>
      <c r="XW200" s="31"/>
      <c r="XX200" s="31"/>
      <c r="XY200" s="31"/>
      <c r="XZ200" s="31"/>
      <c r="YA200" s="31"/>
      <c r="YB200" s="31"/>
      <c r="YC200" s="31"/>
      <c r="YD200" s="31"/>
      <c r="YE200" s="31"/>
      <c r="YF200" s="31"/>
      <c r="YG200" s="31"/>
      <c r="YH200" s="31"/>
      <c r="YI200" s="31"/>
      <c r="YJ200" s="31"/>
      <c r="YK200" s="31"/>
      <c r="YL200" s="31"/>
      <c r="YM200" s="31"/>
      <c r="YN200" s="31"/>
      <c r="YO200" s="31"/>
      <c r="YP200" s="31"/>
      <c r="YQ200" s="31"/>
      <c r="YR200" s="31"/>
      <c r="YS200" s="31"/>
      <c r="YT200" s="31"/>
      <c r="YU200" s="31"/>
      <c r="YV200" s="31"/>
      <c r="YW200" s="31"/>
      <c r="YX200" s="31"/>
      <c r="YY200" s="31"/>
      <c r="YZ200" s="31"/>
      <c r="ZA200" s="31"/>
      <c r="ZB200" s="31"/>
      <c r="ZC200" s="31"/>
      <c r="ZD200" s="31"/>
      <c r="ZE200" s="31"/>
      <c r="ZF200" s="31"/>
      <c r="ZG200" s="31"/>
      <c r="ZH200" s="31"/>
      <c r="ZI200" s="31"/>
      <c r="ZJ200" s="31"/>
      <c r="ZK200" s="31"/>
      <c r="ZL200" s="31"/>
      <c r="ZM200" s="31"/>
      <c r="ZN200" s="31"/>
      <c r="ZO200" s="31"/>
      <c r="ZP200" s="31"/>
      <c r="ZQ200" s="31"/>
      <c r="ZR200" s="31"/>
      <c r="ZS200" s="31"/>
      <c r="ZT200" s="31"/>
      <c r="ZU200" s="31"/>
      <c r="ZV200" s="31"/>
      <c r="ZW200" s="31"/>
      <c r="ZX200" s="31"/>
      <c r="ZY200" s="31"/>
      <c r="ZZ200" s="31"/>
      <c r="AAA200" s="31"/>
      <c r="AAB200" s="31"/>
      <c r="AAC200" s="31"/>
      <c r="AAD200" s="31"/>
      <c r="AAE200" s="31"/>
      <c r="AAF200" s="31"/>
      <c r="AAG200" s="31"/>
      <c r="AAH200" s="31"/>
      <c r="AAI200" s="31"/>
      <c r="AAJ200" s="31"/>
      <c r="AAK200" s="31"/>
      <c r="AAL200" s="31"/>
      <c r="AAM200" s="31"/>
      <c r="AAN200" s="31"/>
      <c r="AAO200" s="31"/>
      <c r="AAP200" s="31"/>
      <c r="AAQ200" s="31"/>
      <c r="AAR200" s="31"/>
      <c r="AAS200" s="31"/>
      <c r="AAT200" s="31"/>
      <c r="AAU200" s="31"/>
      <c r="AAV200" s="31"/>
      <c r="AAW200" s="31"/>
      <c r="AAX200" s="31"/>
      <c r="AAY200" s="31"/>
      <c r="AAZ200" s="31"/>
      <c r="ABA200" s="31"/>
      <c r="ABB200" s="31"/>
      <c r="ABC200" s="31"/>
      <c r="ABD200" s="31"/>
      <c r="ABE200" s="31"/>
      <c r="ABF200" s="31"/>
      <c r="ABG200" s="31"/>
      <c r="ABH200" s="31"/>
      <c r="ABI200" s="31"/>
      <c r="ABJ200" s="31"/>
      <c r="ABK200" s="31"/>
      <c r="ABL200" s="31"/>
      <c r="ABM200" s="31"/>
      <c r="ABN200" s="31"/>
      <c r="ABO200" s="31"/>
      <c r="ABP200" s="31"/>
      <c r="ABQ200" s="31"/>
      <c r="ABR200" s="31"/>
      <c r="ABS200" s="31"/>
      <c r="ABT200" s="31"/>
      <c r="ABU200" s="31"/>
      <c r="ABV200" s="31"/>
      <c r="ABW200" s="31"/>
      <c r="ABX200" s="31"/>
      <c r="ABY200" s="31"/>
      <c r="ABZ200" s="31"/>
      <c r="ACA200" s="31"/>
      <c r="ACB200" s="31"/>
      <c r="ACC200" s="31"/>
      <c r="ACD200" s="31"/>
      <c r="ACE200" s="31"/>
      <c r="ACF200" s="31"/>
      <c r="ACG200" s="31"/>
      <c r="ACH200" s="31"/>
      <c r="ACI200" s="31"/>
      <c r="ACJ200" s="31"/>
      <c r="ACK200" s="31"/>
      <c r="ACL200" s="31"/>
      <c r="ACM200" s="31"/>
      <c r="ACN200" s="31"/>
      <c r="ACO200" s="31"/>
      <c r="ACP200" s="31"/>
      <c r="ACQ200" s="31"/>
      <c r="ACR200" s="31"/>
      <c r="ACS200" s="31"/>
      <c r="ACT200" s="31"/>
      <c r="ACU200" s="31"/>
      <c r="ACV200" s="31"/>
      <c r="ACW200" s="31"/>
      <c r="ACX200" s="31"/>
      <c r="ACY200" s="31"/>
      <c r="ACZ200" s="31"/>
      <c r="ADA200" s="31"/>
      <c r="ADB200" s="31"/>
      <c r="ADC200" s="31"/>
      <c r="ADD200" s="31"/>
      <c r="ADE200" s="31"/>
      <c r="ADF200" s="31"/>
      <c r="ADG200" s="31"/>
      <c r="ADH200" s="31"/>
      <c r="ADI200" s="31"/>
      <c r="ADJ200" s="31"/>
      <c r="ADK200" s="31"/>
      <c r="ADL200" s="31"/>
      <c r="ADM200" s="31"/>
      <c r="ADN200" s="31"/>
      <c r="ADO200" s="31"/>
      <c r="ADP200" s="31"/>
      <c r="ADQ200" s="31"/>
      <c r="ADR200" s="31"/>
      <c r="ADS200" s="31"/>
      <c r="ADT200" s="31"/>
      <c r="ADU200" s="31"/>
      <c r="ADV200" s="31"/>
      <c r="ADW200" s="31"/>
      <c r="ADX200" s="31"/>
      <c r="ADY200" s="31"/>
      <c r="ADZ200" s="31"/>
      <c r="AEA200" s="31"/>
      <c r="AEB200" s="31"/>
      <c r="AEC200" s="31"/>
      <c r="AED200" s="31"/>
      <c r="AEE200" s="31"/>
      <c r="AEF200" s="31"/>
      <c r="AEG200" s="31"/>
      <c r="AEH200" s="31"/>
      <c r="AEI200" s="31"/>
      <c r="AEJ200" s="31"/>
      <c r="AEK200" s="31"/>
      <c r="AEL200" s="31"/>
      <c r="AEM200" s="31"/>
      <c r="AEN200" s="31"/>
      <c r="AEO200" s="31"/>
      <c r="AEP200" s="31"/>
      <c r="AEQ200" s="31"/>
      <c r="AER200" s="31"/>
      <c r="AES200" s="31"/>
      <c r="AET200" s="31"/>
      <c r="AEU200" s="31"/>
      <c r="AEV200" s="31"/>
      <c r="AEW200" s="31"/>
      <c r="AEX200" s="31"/>
      <c r="AEY200" s="31"/>
      <c r="AEZ200" s="31"/>
      <c r="AFA200" s="31"/>
      <c r="AFB200" s="31"/>
      <c r="AFC200" s="31"/>
      <c r="AFD200" s="31"/>
      <c r="AFE200" s="31"/>
      <c r="AFF200" s="31"/>
      <c r="AFG200" s="31"/>
      <c r="AFH200" s="31"/>
      <c r="AFI200" s="31"/>
      <c r="AFJ200" s="31"/>
      <c r="AFK200" s="31"/>
      <c r="AFL200" s="31"/>
      <c r="AFM200" s="31"/>
      <c r="AFN200" s="31"/>
      <c r="AFO200" s="31"/>
      <c r="AFP200" s="31"/>
      <c r="AFQ200" s="31"/>
      <c r="AFR200" s="31"/>
      <c r="AFS200" s="31"/>
      <c r="AFT200" s="31"/>
      <c r="AFU200" s="31"/>
      <c r="AFV200" s="31"/>
      <c r="AFW200" s="31"/>
      <c r="AFX200" s="31"/>
      <c r="AFY200" s="31"/>
      <c r="AFZ200" s="31"/>
      <c r="AGA200" s="31"/>
      <c r="AGB200" s="31"/>
      <c r="AGC200" s="31"/>
      <c r="AGD200" s="31"/>
      <c r="AGE200" s="31"/>
      <c r="AGF200" s="31"/>
      <c r="AGG200" s="31"/>
      <c r="AGH200" s="31"/>
      <c r="AGI200" s="31"/>
      <c r="AGJ200" s="31"/>
      <c r="AGK200" s="31"/>
      <c r="AGL200" s="31"/>
      <c r="AGM200" s="31"/>
      <c r="AGN200" s="31"/>
      <c r="AGO200" s="31"/>
      <c r="AGP200" s="31"/>
      <c r="AGQ200" s="31"/>
      <c r="AGR200" s="31"/>
      <c r="AGS200" s="31"/>
      <c r="AGT200" s="31"/>
      <c r="AGU200" s="31"/>
      <c r="AGV200" s="31"/>
      <c r="AGW200" s="31"/>
      <c r="AGX200" s="31"/>
      <c r="AGY200" s="31"/>
      <c r="AGZ200" s="31"/>
      <c r="AHA200" s="31"/>
      <c r="AHB200" s="31"/>
      <c r="AHC200" s="31"/>
      <c r="AHD200" s="31"/>
      <c r="AHE200" s="31"/>
      <c r="AHF200" s="31"/>
      <c r="AHG200" s="31"/>
      <c r="AHH200" s="31"/>
      <c r="AHI200" s="31"/>
      <c r="AHJ200" s="31"/>
      <c r="AHK200" s="31"/>
      <c r="AHL200" s="31"/>
      <c r="AHM200" s="31"/>
      <c r="AHN200" s="31"/>
      <c r="AHO200" s="31"/>
      <c r="AHP200" s="31"/>
      <c r="AHQ200" s="31"/>
      <c r="AHR200" s="31"/>
      <c r="AHS200" s="31"/>
      <c r="AHT200" s="31"/>
      <c r="AHU200" s="31"/>
      <c r="AHV200" s="31"/>
      <c r="AHW200" s="31"/>
      <c r="AHX200" s="31"/>
      <c r="AHY200" s="31"/>
      <c r="AHZ200" s="31"/>
      <c r="AIA200" s="31"/>
      <c r="AIB200" s="31"/>
      <c r="AIC200" s="31"/>
      <c r="AID200" s="31"/>
      <c r="AIE200" s="31"/>
      <c r="AIF200" s="31"/>
      <c r="AIG200" s="31"/>
      <c r="AIH200" s="31"/>
      <c r="AII200" s="31"/>
      <c r="AIJ200" s="31"/>
      <c r="AIK200" s="31"/>
      <c r="AIL200" s="31"/>
      <c r="AIM200" s="31"/>
      <c r="AIN200" s="31"/>
      <c r="AIO200" s="31"/>
      <c r="AIP200" s="31"/>
      <c r="AIQ200" s="31"/>
      <c r="AIR200" s="31"/>
      <c r="AIS200" s="31"/>
      <c r="AIT200" s="31"/>
      <c r="AIU200" s="31"/>
      <c r="AIV200" s="31"/>
      <c r="AIW200" s="31"/>
      <c r="AIX200" s="31"/>
      <c r="AIY200" s="31"/>
      <c r="AIZ200" s="31"/>
      <c r="AJA200" s="31"/>
      <c r="AJB200" s="31"/>
      <c r="AJC200" s="31"/>
      <c r="AJD200" s="31"/>
      <c r="AJE200" s="31"/>
      <c r="AJF200" s="31"/>
      <c r="AJG200" s="31"/>
      <c r="AJH200" s="31"/>
      <c r="AJI200" s="31"/>
      <c r="AJJ200" s="31"/>
      <c r="AJK200" s="31"/>
      <c r="AJL200" s="31"/>
      <c r="AJM200" s="31"/>
      <c r="AJN200" s="31"/>
      <c r="AJO200" s="31"/>
      <c r="AJP200" s="31"/>
      <c r="AJQ200" s="31"/>
      <c r="AJR200" s="31"/>
      <c r="AJS200" s="31"/>
      <c r="AJT200" s="31"/>
      <c r="AJU200" s="31"/>
      <c r="AJV200" s="31"/>
      <c r="AJW200" s="31"/>
      <c r="AJX200" s="31"/>
      <c r="AJY200" s="31"/>
      <c r="AJZ200" s="31"/>
      <c r="AKA200" s="31"/>
      <c r="AKB200" s="31"/>
      <c r="AKC200" s="31"/>
      <c r="AKD200" s="31"/>
      <c r="AKE200" s="31"/>
      <c r="AKF200" s="31"/>
      <c r="AKG200" s="31"/>
      <c r="AKH200" s="31"/>
      <c r="AKI200" s="31"/>
      <c r="AKJ200" s="31"/>
      <c r="AKK200" s="31"/>
      <c r="AKL200" s="31"/>
      <c r="AKM200" s="31"/>
      <c r="AKN200" s="31"/>
      <c r="AKO200" s="31"/>
      <c r="AKP200" s="31"/>
      <c r="AKQ200" s="31"/>
      <c r="AKR200" s="31"/>
      <c r="AKS200" s="31"/>
      <c r="AKT200" s="31"/>
      <c r="AKU200" s="31"/>
      <c r="AKV200" s="31"/>
      <c r="AKW200" s="31"/>
      <c r="AKX200" s="31"/>
      <c r="AKY200" s="31"/>
      <c r="AKZ200" s="31"/>
      <c r="ALA200" s="31"/>
      <c r="ALB200" s="31"/>
      <c r="ALC200" s="31"/>
      <c r="ALD200" s="31"/>
      <c r="ALE200" s="31"/>
      <c r="ALF200" s="31"/>
      <c r="ALG200" s="31"/>
      <c r="ALH200" s="31"/>
      <c r="ALI200" s="31"/>
      <c r="ALJ200" s="31"/>
      <c r="ALK200" s="31"/>
      <c r="ALL200" s="31"/>
      <c r="ALM200" s="31"/>
      <c r="ALN200" s="31"/>
      <c r="ALO200" s="31"/>
      <c r="ALP200" s="31"/>
      <c r="ALQ200" s="31"/>
      <c r="ALR200" s="31"/>
      <c r="ALS200" s="31"/>
      <c r="ALT200" s="31"/>
      <c r="ALU200" s="31"/>
      <c r="ALV200" s="31"/>
      <c r="ALW200" s="31"/>
      <c r="ALX200" s="31"/>
      <c r="ALY200" s="31"/>
      <c r="ALZ200" s="31"/>
      <c r="AMA200" s="31"/>
      <c r="AMB200" s="31"/>
      <c r="AMC200" s="31"/>
      <c r="AMD200" s="31"/>
      <c r="AME200" s="31"/>
      <c r="AMF200" s="31"/>
      <c r="AMG200" s="31"/>
      <c r="AMH200" s="31"/>
      <c r="AMI200" s="31"/>
      <c r="AMJ200" s="31"/>
      <c r="AMK200" s="31"/>
      <c r="AML200" s="31"/>
      <c r="AMM200" s="28"/>
    </row>
    <row r="201" spans="1:1027" s="28" customFormat="1" x14ac:dyDescent="0.2">
      <c r="A201" s="1">
        <v>4</v>
      </c>
      <c r="B201" s="1" t="s">
        <v>772</v>
      </c>
      <c r="C201" s="1" t="s">
        <v>773</v>
      </c>
      <c r="D201" s="1">
        <v>50</v>
      </c>
      <c r="E201" s="24" t="s">
        <v>507</v>
      </c>
      <c r="F201" s="24" t="s">
        <v>508</v>
      </c>
      <c r="G201" s="25" t="s">
        <v>508</v>
      </c>
      <c r="H201" s="24" t="s">
        <v>507</v>
      </c>
      <c r="I201" s="24"/>
      <c r="J201" s="24" t="s">
        <v>507</v>
      </c>
      <c r="K201" s="12"/>
      <c r="L201" s="26"/>
      <c r="M201" s="1"/>
      <c r="N201" s="1"/>
      <c r="O201" s="1"/>
      <c r="P201" s="1"/>
      <c r="Q201" s="1"/>
      <c r="R201" s="1"/>
      <c r="S201" s="13" t="s">
        <v>726</v>
      </c>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c r="DY201" s="18"/>
      <c r="DZ201" s="18"/>
      <c r="EA201" s="18"/>
      <c r="EB201" s="18"/>
      <c r="EC201" s="18"/>
      <c r="ED201" s="18"/>
      <c r="EE201" s="18"/>
      <c r="EF201" s="18"/>
      <c r="EG201" s="18"/>
      <c r="EH201" s="18"/>
      <c r="EI201" s="18"/>
      <c r="EJ201" s="18"/>
      <c r="EK201" s="18"/>
      <c r="EL201" s="18"/>
      <c r="EM201" s="18"/>
      <c r="EN201" s="18"/>
      <c r="EO201" s="18"/>
      <c r="EP201" s="18"/>
      <c r="EQ201" s="18"/>
      <c r="ER201" s="18"/>
      <c r="ES201" s="18"/>
      <c r="ET201" s="18"/>
      <c r="EU201" s="18"/>
      <c r="EV201" s="18"/>
      <c r="EW201" s="18"/>
      <c r="EX201" s="18"/>
      <c r="EY201" s="18"/>
      <c r="EZ201" s="18"/>
      <c r="FA201" s="18"/>
      <c r="FB201" s="18"/>
      <c r="FC201" s="18"/>
      <c r="FD201" s="18"/>
      <c r="FE201" s="18"/>
      <c r="FF201" s="18"/>
      <c r="FG201" s="18"/>
      <c r="FH201" s="18"/>
      <c r="FI201" s="18"/>
      <c r="FJ201" s="18"/>
      <c r="FK201" s="18"/>
      <c r="FL201" s="18"/>
      <c r="FM201" s="18"/>
      <c r="FN201" s="18"/>
      <c r="FO201" s="18"/>
      <c r="FP201" s="18"/>
      <c r="FQ201" s="18"/>
      <c r="FR201" s="18"/>
      <c r="FS201" s="18"/>
      <c r="FT201" s="18"/>
      <c r="FU201" s="18"/>
      <c r="FV201" s="18"/>
      <c r="FW201" s="18"/>
      <c r="FX201" s="18"/>
      <c r="FY201" s="18"/>
      <c r="FZ201" s="18"/>
      <c r="GA201" s="18"/>
      <c r="GB201" s="18"/>
      <c r="GC201" s="18"/>
      <c r="GD201" s="18"/>
      <c r="GE201" s="18"/>
      <c r="GF201" s="18"/>
      <c r="GG201" s="18"/>
      <c r="GH201" s="18"/>
      <c r="GI201" s="18"/>
      <c r="GJ201" s="18"/>
      <c r="GK201" s="18"/>
      <c r="GL201" s="18"/>
      <c r="GM201" s="18"/>
      <c r="GN201" s="18"/>
      <c r="GO201" s="18"/>
      <c r="GP201" s="18"/>
      <c r="GQ201" s="18"/>
      <c r="GR201" s="18"/>
      <c r="GS201" s="18"/>
      <c r="GT201" s="18"/>
      <c r="GU201" s="18"/>
      <c r="GV201" s="18"/>
      <c r="GW201" s="18"/>
      <c r="GX201" s="18"/>
      <c r="GY201" s="18"/>
      <c r="GZ201" s="18"/>
      <c r="HA201" s="18"/>
      <c r="HB201" s="18"/>
      <c r="HC201" s="18"/>
      <c r="HD201" s="18"/>
      <c r="HE201" s="18"/>
      <c r="HF201" s="18"/>
      <c r="HG201" s="18"/>
      <c r="HH201" s="18"/>
      <c r="HI201" s="18"/>
      <c r="HJ201" s="18"/>
      <c r="HK201" s="18"/>
      <c r="HL201" s="18"/>
      <c r="HM201" s="18"/>
      <c r="HN201" s="18"/>
      <c r="HO201" s="18"/>
      <c r="HP201" s="18"/>
      <c r="HQ201" s="18"/>
      <c r="HR201" s="18"/>
      <c r="HS201" s="18"/>
      <c r="HT201" s="18"/>
      <c r="HU201" s="18"/>
      <c r="HV201" s="18"/>
      <c r="HW201" s="18"/>
      <c r="HX201" s="18"/>
      <c r="HY201" s="18"/>
      <c r="HZ201" s="18"/>
      <c r="IA201" s="18"/>
      <c r="IB201" s="18"/>
      <c r="IC201" s="18"/>
      <c r="ID201" s="18"/>
      <c r="IE201" s="18"/>
      <c r="IF201" s="18"/>
      <c r="IG201" s="18"/>
      <c r="IH201" s="18"/>
      <c r="II201" s="18"/>
      <c r="IJ201" s="18"/>
      <c r="IK201" s="18"/>
      <c r="IL201" s="18"/>
      <c r="IM201" s="18"/>
      <c r="IN201" s="18"/>
      <c r="IO201" s="18"/>
      <c r="IP201" s="18"/>
      <c r="IQ201" s="18"/>
      <c r="IR201" s="18"/>
      <c r="IS201" s="18"/>
      <c r="IT201" s="18"/>
      <c r="IU201" s="18"/>
      <c r="IV201" s="18"/>
      <c r="IW201" s="18"/>
      <c r="IX201" s="18"/>
      <c r="IY201" s="18"/>
      <c r="IZ201" s="18"/>
      <c r="JA201" s="18"/>
      <c r="JB201" s="18"/>
      <c r="JC201" s="18"/>
      <c r="JD201" s="18"/>
      <c r="JE201" s="18"/>
      <c r="JF201" s="18"/>
      <c r="JG201" s="18"/>
      <c r="JH201" s="18"/>
      <c r="JI201" s="18"/>
      <c r="JJ201" s="18"/>
      <c r="JK201" s="18"/>
      <c r="JL201" s="18"/>
      <c r="JM201" s="18"/>
      <c r="JN201" s="18"/>
      <c r="JO201" s="18"/>
      <c r="JP201" s="18"/>
      <c r="JQ201" s="18"/>
      <c r="JR201" s="18"/>
      <c r="JS201" s="18"/>
      <c r="JT201" s="18"/>
      <c r="JU201" s="18"/>
      <c r="JV201" s="18"/>
      <c r="JW201" s="18"/>
      <c r="JX201" s="18"/>
      <c r="JY201" s="18"/>
      <c r="JZ201" s="18"/>
      <c r="KA201" s="18"/>
      <c r="KB201" s="18"/>
      <c r="KC201" s="18"/>
      <c r="KD201" s="18"/>
      <c r="KE201" s="18"/>
      <c r="KF201" s="18"/>
      <c r="KG201" s="18"/>
      <c r="KH201" s="18"/>
      <c r="KI201" s="18"/>
      <c r="KJ201" s="18"/>
      <c r="KK201" s="18"/>
      <c r="KL201" s="18"/>
      <c r="KM201" s="18"/>
      <c r="KN201" s="18"/>
      <c r="KO201" s="18"/>
      <c r="KP201" s="18"/>
      <c r="KQ201" s="18"/>
      <c r="KR201" s="18"/>
      <c r="KS201" s="18"/>
      <c r="KT201" s="18"/>
      <c r="KU201" s="18"/>
      <c r="KV201" s="18"/>
      <c r="KW201" s="18"/>
      <c r="KX201" s="18"/>
      <c r="KY201" s="18"/>
      <c r="KZ201" s="18"/>
      <c r="LA201" s="18"/>
      <c r="LB201" s="18"/>
      <c r="LC201" s="18"/>
      <c r="LD201" s="18"/>
      <c r="LE201" s="18"/>
      <c r="LF201" s="18"/>
      <c r="LG201" s="18"/>
      <c r="LH201" s="18"/>
      <c r="LI201" s="18"/>
      <c r="LJ201" s="18"/>
      <c r="LK201" s="18"/>
      <c r="LL201" s="18"/>
      <c r="LM201" s="18"/>
      <c r="LN201" s="18"/>
      <c r="LO201" s="18"/>
      <c r="LP201" s="18"/>
      <c r="LQ201" s="18"/>
      <c r="LR201" s="18"/>
      <c r="LS201" s="18"/>
      <c r="LT201" s="18"/>
      <c r="LU201" s="18"/>
      <c r="LV201" s="18"/>
      <c r="LW201" s="18"/>
      <c r="LX201" s="18"/>
      <c r="LY201" s="18"/>
      <c r="LZ201" s="18"/>
      <c r="MA201" s="18"/>
      <c r="MB201" s="18"/>
      <c r="MC201" s="18"/>
      <c r="MD201" s="18"/>
      <c r="ME201" s="18"/>
      <c r="MF201" s="18"/>
      <c r="MG201" s="18"/>
      <c r="MH201" s="18"/>
      <c r="MI201" s="18"/>
      <c r="MJ201" s="18"/>
      <c r="MK201" s="18"/>
      <c r="ML201" s="18"/>
      <c r="MM201" s="18"/>
      <c r="MN201" s="18"/>
      <c r="MO201" s="18"/>
      <c r="MP201" s="18"/>
      <c r="MQ201" s="18"/>
      <c r="MR201" s="18"/>
      <c r="MS201" s="18"/>
      <c r="MT201" s="18"/>
      <c r="MU201" s="18"/>
      <c r="MV201" s="18"/>
      <c r="MW201" s="18"/>
      <c r="MX201" s="18"/>
      <c r="MY201" s="18"/>
      <c r="MZ201" s="18"/>
      <c r="NA201" s="18"/>
      <c r="NB201" s="18"/>
      <c r="NC201" s="18"/>
      <c r="ND201" s="18"/>
      <c r="NE201" s="18"/>
      <c r="NF201" s="18"/>
      <c r="NG201" s="18"/>
      <c r="NH201" s="18"/>
      <c r="NI201" s="18"/>
      <c r="NJ201" s="18"/>
      <c r="NK201" s="18"/>
      <c r="NL201" s="18"/>
      <c r="NM201" s="18"/>
      <c r="NN201" s="18"/>
      <c r="NO201" s="18"/>
      <c r="NP201" s="18"/>
      <c r="NQ201" s="18"/>
      <c r="NR201" s="18"/>
      <c r="NS201" s="18"/>
      <c r="NT201" s="18"/>
      <c r="NU201" s="18"/>
      <c r="NV201" s="18"/>
      <c r="NW201" s="18"/>
      <c r="NX201" s="18"/>
      <c r="NY201" s="18"/>
      <c r="NZ201" s="18"/>
      <c r="OA201" s="18"/>
      <c r="OB201" s="18"/>
      <c r="OC201" s="18"/>
      <c r="OD201" s="18"/>
      <c r="OE201" s="18"/>
      <c r="OF201" s="18"/>
      <c r="OG201" s="18"/>
      <c r="OH201" s="18"/>
      <c r="OI201" s="18"/>
      <c r="OJ201" s="18"/>
      <c r="OK201" s="18"/>
      <c r="OL201" s="18"/>
      <c r="OM201" s="18"/>
      <c r="ON201" s="18"/>
      <c r="OO201" s="18"/>
      <c r="OP201" s="18"/>
      <c r="OQ201" s="18"/>
      <c r="OR201" s="18"/>
      <c r="OS201" s="18"/>
      <c r="OT201" s="18"/>
      <c r="OU201" s="18"/>
      <c r="OV201" s="18"/>
      <c r="OW201" s="18"/>
      <c r="OX201" s="18"/>
      <c r="OY201" s="18"/>
      <c r="OZ201" s="18"/>
      <c r="PA201" s="18"/>
      <c r="PB201" s="18"/>
      <c r="PC201" s="18"/>
      <c r="PD201" s="18"/>
      <c r="PE201" s="18"/>
      <c r="PF201" s="18"/>
      <c r="PG201" s="18"/>
      <c r="PH201" s="18"/>
      <c r="PI201" s="18"/>
      <c r="PJ201" s="18"/>
      <c r="PK201" s="18"/>
      <c r="PL201" s="18"/>
      <c r="PM201" s="18"/>
      <c r="PN201" s="18"/>
      <c r="PO201" s="18"/>
      <c r="PP201" s="18"/>
      <c r="PQ201" s="18"/>
      <c r="PR201" s="18"/>
      <c r="PS201" s="18"/>
      <c r="PT201" s="18"/>
      <c r="PU201" s="18"/>
      <c r="PV201" s="18"/>
      <c r="PW201" s="18"/>
      <c r="PX201" s="18"/>
      <c r="PY201" s="18"/>
      <c r="PZ201" s="18"/>
      <c r="QA201" s="18"/>
      <c r="QB201" s="18"/>
      <c r="QC201" s="18"/>
      <c r="QD201" s="18"/>
      <c r="QE201" s="18"/>
      <c r="QF201" s="18"/>
      <c r="QG201" s="18"/>
      <c r="QH201" s="18"/>
      <c r="QI201" s="18"/>
      <c r="QJ201" s="18"/>
      <c r="QK201" s="18"/>
      <c r="QL201" s="18"/>
      <c r="QM201" s="18"/>
      <c r="QN201" s="18"/>
      <c r="QO201" s="18"/>
      <c r="QP201" s="18"/>
      <c r="QQ201" s="18"/>
      <c r="QR201" s="18"/>
      <c r="QS201" s="18"/>
      <c r="QT201" s="18"/>
      <c r="QU201" s="18"/>
      <c r="QV201" s="18"/>
      <c r="QW201" s="18"/>
      <c r="QX201" s="18"/>
      <c r="QY201" s="18"/>
      <c r="QZ201" s="18"/>
      <c r="RA201" s="18"/>
      <c r="RB201" s="18"/>
      <c r="RC201" s="18"/>
      <c r="RD201" s="18"/>
      <c r="RE201" s="18"/>
      <c r="RF201" s="18"/>
      <c r="RG201" s="18"/>
      <c r="RH201" s="18"/>
      <c r="RI201" s="18"/>
      <c r="RJ201" s="18"/>
      <c r="RK201" s="18"/>
      <c r="RL201" s="18"/>
      <c r="RM201" s="18"/>
      <c r="RN201" s="18"/>
      <c r="RO201" s="18"/>
      <c r="RP201" s="18"/>
      <c r="RQ201" s="18"/>
      <c r="RR201" s="18"/>
      <c r="RS201" s="18"/>
      <c r="RT201" s="18"/>
      <c r="RU201" s="18"/>
      <c r="RV201" s="18"/>
      <c r="RW201" s="18"/>
      <c r="RX201" s="18"/>
      <c r="RY201" s="18"/>
      <c r="RZ201" s="18"/>
      <c r="SA201" s="18"/>
      <c r="SB201" s="18"/>
      <c r="SC201" s="18"/>
      <c r="SD201" s="18"/>
      <c r="SE201" s="18"/>
      <c r="SF201" s="18"/>
      <c r="SG201" s="18"/>
      <c r="SH201" s="18"/>
      <c r="SI201" s="18"/>
      <c r="SJ201" s="18"/>
      <c r="SK201" s="18"/>
      <c r="SL201" s="18"/>
      <c r="SM201" s="18"/>
      <c r="SN201" s="18"/>
      <c r="SO201" s="18"/>
      <c r="SP201" s="18"/>
      <c r="SQ201" s="18"/>
      <c r="SR201" s="18"/>
      <c r="SS201" s="18"/>
      <c r="ST201" s="18"/>
      <c r="SU201" s="18"/>
      <c r="SV201" s="18"/>
      <c r="SW201" s="18"/>
      <c r="SX201" s="18"/>
      <c r="SY201" s="18"/>
      <c r="SZ201" s="18"/>
      <c r="TA201" s="18"/>
      <c r="TB201" s="18"/>
      <c r="TC201" s="18"/>
      <c r="TD201" s="18"/>
      <c r="TE201" s="18"/>
      <c r="TF201" s="18"/>
      <c r="TG201" s="18"/>
      <c r="TH201" s="18"/>
      <c r="TI201" s="18"/>
      <c r="TJ201" s="18"/>
      <c r="TK201" s="18"/>
      <c r="TL201" s="18"/>
      <c r="TM201" s="18"/>
      <c r="TN201" s="18"/>
      <c r="TO201" s="18"/>
      <c r="TP201" s="18"/>
      <c r="TQ201" s="18"/>
      <c r="TR201" s="18"/>
      <c r="TS201" s="18"/>
      <c r="TT201" s="18"/>
      <c r="TU201" s="18"/>
      <c r="TV201" s="18"/>
      <c r="TW201" s="18"/>
      <c r="TX201" s="18"/>
      <c r="TY201" s="18"/>
      <c r="TZ201" s="18"/>
      <c r="UA201" s="18"/>
      <c r="UB201" s="18"/>
      <c r="UC201" s="18"/>
      <c r="UD201" s="18"/>
      <c r="UE201" s="18"/>
      <c r="UF201" s="18"/>
      <c r="UG201" s="18"/>
      <c r="UH201" s="18"/>
      <c r="UI201" s="18"/>
      <c r="UJ201" s="18"/>
      <c r="UK201" s="18"/>
      <c r="UL201" s="18"/>
      <c r="UM201" s="18"/>
      <c r="UN201" s="18"/>
      <c r="UO201" s="18"/>
      <c r="UP201" s="18"/>
      <c r="UQ201" s="18"/>
      <c r="UR201" s="18"/>
      <c r="US201" s="18"/>
      <c r="UT201" s="18"/>
      <c r="UU201" s="18"/>
      <c r="UV201" s="18"/>
      <c r="UW201" s="18"/>
      <c r="UX201" s="18"/>
      <c r="UY201" s="18"/>
      <c r="UZ201" s="18"/>
      <c r="VA201" s="18"/>
      <c r="VB201" s="18"/>
      <c r="VC201" s="18"/>
      <c r="VD201" s="18"/>
      <c r="VE201" s="18"/>
      <c r="VF201" s="18"/>
      <c r="VG201" s="18"/>
      <c r="VH201" s="18"/>
      <c r="VI201" s="18"/>
      <c r="VJ201" s="18"/>
      <c r="VK201" s="18"/>
      <c r="VL201" s="18"/>
      <c r="VM201" s="18"/>
      <c r="VN201" s="18"/>
      <c r="VO201" s="18"/>
      <c r="VP201" s="18"/>
      <c r="VQ201" s="18"/>
      <c r="VR201" s="18"/>
      <c r="VS201" s="18"/>
      <c r="VT201" s="18"/>
      <c r="VU201" s="18"/>
      <c r="VV201" s="18"/>
      <c r="VW201" s="18"/>
      <c r="VX201" s="18"/>
      <c r="VY201" s="18"/>
      <c r="VZ201" s="18"/>
      <c r="WA201" s="18"/>
      <c r="WB201" s="18"/>
      <c r="WC201" s="18"/>
      <c r="WD201" s="18"/>
      <c r="WE201" s="18"/>
      <c r="WF201" s="18"/>
      <c r="WG201" s="18"/>
      <c r="WH201" s="18"/>
      <c r="WI201" s="18"/>
      <c r="WJ201" s="18"/>
      <c r="WK201" s="18"/>
      <c r="WL201" s="18"/>
      <c r="WM201" s="18"/>
      <c r="WN201" s="18"/>
      <c r="WO201" s="18"/>
      <c r="WP201" s="18"/>
      <c r="WQ201" s="18"/>
      <c r="WR201" s="18"/>
      <c r="WS201" s="18"/>
      <c r="WT201" s="18"/>
      <c r="WU201" s="18"/>
      <c r="WV201" s="18"/>
      <c r="WW201" s="18"/>
      <c r="WX201" s="18"/>
      <c r="WY201" s="18"/>
      <c r="WZ201" s="18"/>
      <c r="XA201" s="18"/>
      <c r="XB201" s="18"/>
      <c r="XC201" s="18"/>
      <c r="XD201" s="18"/>
      <c r="XE201" s="18"/>
      <c r="XF201" s="18"/>
      <c r="XG201" s="18"/>
      <c r="XH201" s="18"/>
      <c r="XI201" s="18"/>
      <c r="XJ201" s="18"/>
      <c r="XK201" s="18"/>
      <c r="XL201" s="18"/>
      <c r="XM201" s="18"/>
      <c r="XN201" s="18"/>
      <c r="XO201" s="18"/>
      <c r="XP201" s="18"/>
      <c r="XQ201" s="18"/>
      <c r="XR201" s="18"/>
      <c r="XS201" s="18"/>
      <c r="XT201" s="18"/>
      <c r="XU201" s="18"/>
      <c r="XV201" s="18"/>
      <c r="XW201" s="18"/>
      <c r="XX201" s="18"/>
      <c r="XY201" s="18"/>
      <c r="XZ201" s="18"/>
      <c r="YA201" s="18"/>
      <c r="YB201" s="18"/>
      <c r="YC201" s="18"/>
      <c r="YD201" s="18"/>
      <c r="YE201" s="18"/>
      <c r="YF201" s="18"/>
      <c r="YG201" s="18"/>
      <c r="YH201" s="18"/>
      <c r="YI201" s="18"/>
      <c r="YJ201" s="18"/>
      <c r="YK201" s="18"/>
      <c r="YL201" s="18"/>
      <c r="YM201" s="18"/>
      <c r="YN201" s="18"/>
      <c r="YO201" s="18"/>
      <c r="YP201" s="18"/>
      <c r="YQ201" s="18"/>
      <c r="YR201" s="18"/>
      <c r="YS201" s="18"/>
      <c r="YT201" s="18"/>
      <c r="YU201" s="18"/>
      <c r="YV201" s="18"/>
      <c r="YW201" s="18"/>
      <c r="YX201" s="18"/>
      <c r="YY201" s="18"/>
      <c r="YZ201" s="18"/>
      <c r="ZA201" s="18"/>
      <c r="ZB201" s="18"/>
      <c r="ZC201" s="18"/>
      <c r="ZD201" s="18"/>
      <c r="ZE201" s="18"/>
      <c r="ZF201" s="18"/>
      <c r="ZG201" s="18"/>
      <c r="ZH201" s="18"/>
      <c r="ZI201" s="18"/>
      <c r="ZJ201" s="18"/>
      <c r="ZK201" s="18"/>
      <c r="ZL201" s="18"/>
      <c r="ZM201" s="18"/>
      <c r="ZN201" s="18"/>
      <c r="ZO201" s="18"/>
      <c r="ZP201" s="18"/>
      <c r="ZQ201" s="18"/>
      <c r="ZR201" s="18"/>
      <c r="ZS201" s="18"/>
      <c r="ZT201" s="18"/>
      <c r="ZU201" s="18"/>
      <c r="ZV201" s="18"/>
      <c r="ZW201" s="18"/>
      <c r="ZX201" s="18"/>
      <c r="ZY201" s="18"/>
      <c r="ZZ201" s="18"/>
      <c r="AAA201" s="18"/>
      <c r="AAB201" s="18"/>
      <c r="AAC201" s="18"/>
      <c r="AAD201" s="18"/>
      <c r="AAE201" s="18"/>
      <c r="AAF201" s="18"/>
      <c r="AAG201" s="18"/>
      <c r="AAH201" s="18"/>
      <c r="AAI201" s="18"/>
      <c r="AAJ201" s="18"/>
      <c r="AAK201" s="18"/>
      <c r="AAL201" s="18"/>
      <c r="AAM201" s="18"/>
      <c r="AAN201" s="18"/>
      <c r="AAO201" s="18"/>
      <c r="AAP201" s="18"/>
      <c r="AAQ201" s="18"/>
      <c r="AAR201" s="18"/>
      <c r="AAS201" s="18"/>
      <c r="AAT201" s="18"/>
      <c r="AAU201" s="18"/>
      <c r="AAV201" s="18"/>
      <c r="AAW201" s="18"/>
      <c r="AAX201" s="18"/>
      <c r="AAY201" s="18"/>
      <c r="AAZ201" s="18"/>
      <c r="ABA201" s="18"/>
      <c r="ABB201" s="18"/>
      <c r="ABC201" s="18"/>
      <c r="ABD201" s="18"/>
      <c r="ABE201" s="18"/>
      <c r="ABF201" s="18"/>
      <c r="ABG201" s="18"/>
      <c r="ABH201" s="18"/>
      <c r="ABI201" s="18"/>
      <c r="ABJ201" s="18"/>
      <c r="ABK201" s="18"/>
      <c r="ABL201" s="18"/>
      <c r="ABM201" s="18"/>
      <c r="ABN201" s="18"/>
      <c r="ABO201" s="18"/>
      <c r="ABP201" s="18"/>
      <c r="ABQ201" s="18"/>
      <c r="ABR201" s="18"/>
      <c r="ABS201" s="18"/>
      <c r="ABT201" s="18"/>
      <c r="ABU201" s="18"/>
      <c r="ABV201" s="18"/>
      <c r="ABW201" s="18"/>
      <c r="ABX201" s="18"/>
      <c r="ABY201" s="18"/>
      <c r="ABZ201" s="18"/>
      <c r="ACA201" s="18"/>
      <c r="ACB201" s="18"/>
      <c r="ACC201" s="18"/>
      <c r="ACD201" s="18"/>
      <c r="ACE201" s="18"/>
      <c r="ACF201" s="18"/>
      <c r="ACG201" s="18"/>
      <c r="ACH201" s="18"/>
      <c r="ACI201" s="18"/>
      <c r="ACJ201" s="18"/>
      <c r="ACK201" s="18"/>
      <c r="ACL201" s="18"/>
      <c r="ACM201" s="18"/>
      <c r="ACN201" s="18"/>
      <c r="ACO201" s="18"/>
      <c r="ACP201" s="18"/>
      <c r="ACQ201" s="18"/>
      <c r="ACR201" s="18"/>
      <c r="ACS201" s="18"/>
      <c r="ACT201" s="18"/>
      <c r="ACU201" s="18"/>
      <c r="ACV201" s="18"/>
      <c r="ACW201" s="18"/>
      <c r="ACX201" s="18"/>
      <c r="ACY201" s="18"/>
      <c r="ACZ201" s="18"/>
      <c r="ADA201" s="18"/>
      <c r="ADB201" s="18"/>
      <c r="ADC201" s="18"/>
      <c r="ADD201" s="18"/>
      <c r="ADE201" s="18"/>
      <c r="ADF201" s="18"/>
      <c r="ADG201" s="18"/>
      <c r="ADH201" s="18"/>
      <c r="ADI201" s="18"/>
      <c r="ADJ201" s="18"/>
      <c r="ADK201" s="18"/>
      <c r="ADL201" s="18"/>
      <c r="ADM201" s="18"/>
      <c r="ADN201" s="18"/>
      <c r="ADO201" s="18"/>
      <c r="ADP201" s="18"/>
      <c r="ADQ201" s="18"/>
      <c r="ADR201" s="18"/>
      <c r="ADS201" s="18"/>
      <c r="ADT201" s="18"/>
      <c r="ADU201" s="18"/>
      <c r="ADV201" s="18"/>
      <c r="ADW201" s="18"/>
      <c r="ADX201" s="18"/>
      <c r="ADY201" s="18"/>
      <c r="ADZ201" s="18"/>
      <c r="AEA201" s="18"/>
      <c r="AEB201" s="18"/>
      <c r="AEC201" s="18"/>
      <c r="AED201" s="18"/>
      <c r="AEE201" s="18"/>
      <c r="AEF201" s="18"/>
      <c r="AEG201" s="18"/>
      <c r="AEH201" s="18"/>
      <c r="AEI201" s="18"/>
      <c r="AEJ201" s="18"/>
      <c r="AEK201" s="18"/>
      <c r="AEL201" s="18"/>
      <c r="AEM201" s="18"/>
      <c r="AEN201" s="18"/>
      <c r="AEO201" s="18"/>
      <c r="AEP201" s="18"/>
      <c r="AEQ201" s="18"/>
      <c r="AER201" s="18"/>
      <c r="AES201" s="18"/>
      <c r="AET201" s="18"/>
      <c r="AEU201" s="18"/>
      <c r="AEV201" s="18"/>
      <c r="AEW201" s="18"/>
      <c r="AEX201" s="18"/>
      <c r="AEY201" s="18"/>
      <c r="AEZ201" s="18"/>
      <c r="AFA201" s="18"/>
      <c r="AFB201" s="18"/>
      <c r="AFC201" s="18"/>
      <c r="AFD201" s="18"/>
      <c r="AFE201" s="18"/>
      <c r="AFF201" s="18"/>
      <c r="AFG201" s="18"/>
      <c r="AFH201" s="18"/>
      <c r="AFI201" s="18"/>
      <c r="AFJ201" s="18"/>
      <c r="AFK201" s="18"/>
      <c r="AFL201" s="18"/>
      <c r="AFM201" s="18"/>
      <c r="AFN201" s="18"/>
      <c r="AFO201" s="18"/>
      <c r="AFP201" s="18"/>
      <c r="AFQ201" s="18"/>
      <c r="AFR201" s="18"/>
      <c r="AFS201" s="18"/>
      <c r="AFT201" s="18"/>
      <c r="AFU201" s="18"/>
      <c r="AFV201" s="18"/>
      <c r="AFW201" s="18"/>
      <c r="AFX201" s="18"/>
      <c r="AFY201" s="18"/>
      <c r="AFZ201" s="18"/>
      <c r="AGA201" s="18"/>
      <c r="AGB201" s="18"/>
      <c r="AGC201" s="18"/>
      <c r="AGD201" s="18"/>
      <c r="AGE201" s="18"/>
      <c r="AGF201" s="18"/>
      <c r="AGG201" s="18"/>
      <c r="AGH201" s="18"/>
      <c r="AGI201" s="18"/>
      <c r="AGJ201" s="18"/>
      <c r="AGK201" s="18"/>
      <c r="AGL201" s="18"/>
      <c r="AGM201" s="18"/>
      <c r="AGN201" s="18"/>
      <c r="AGO201" s="18"/>
      <c r="AGP201" s="18"/>
      <c r="AGQ201" s="18"/>
      <c r="AGR201" s="18"/>
      <c r="AGS201" s="18"/>
      <c r="AGT201" s="18"/>
      <c r="AGU201" s="18"/>
      <c r="AGV201" s="18"/>
      <c r="AGW201" s="18"/>
      <c r="AGX201" s="18"/>
      <c r="AGY201" s="18"/>
      <c r="AGZ201" s="18"/>
      <c r="AHA201" s="18"/>
      <c r="AHB201" s="18"/>
      <c r="AHC201" s="18"/>
      <c r="AHD201" s="18"/>
      <c r="AHE201" s="18"/>
      <c r="AHF201" s="18"/>
      <c r="AHG201" s="18"/>
      <c r="AHH201" s="18"/>
      <c r="AHI201" s="18"/>
      <c r="AHJ201" s="18"/>
      <c r="AHK201" s="18"/>
      <c r="AHL201" s="18"/>
      <c r="AHM201" s="18"/>
      <c r="AHN201" s="18"/>
      <c r="AHO201" s="18"/>
      <c r="AHP201" s="18"/>
      <c r="AHQ201" s="18"/>
      <c r="AHR201" s="18"/>
      <c r="AHS201" s="18"/>
      <c r="AHT201" s="18"/>
      <c r="AHU201" s="18"/>
      <c r="AHV201" s="18"/>
      <c r="AHW201" s="18"/>
      <c r="AHX201" s="18"/>
      <c r="AHY201" s="18"/>
      <c r="AHZ201" s="18"/>
      <c r="AIA201" s="18"/>
      <c r="AIB201" s="18"/>
      <c r="AIC201" s="18"/>
      <c r="AID201" s="18"/>
      <c r="AIE201" s="18"/>
      <c r="AIF201" s="18"/>
      <c r="AIG201" s="18"/>
      <c r="AIH201" s="18"/>
      <c r="AII201" s="18"/>
      <c r="AIJ201" s="18"/>
      <c r="AIK201" s="18"/>
      <c r="AIL201" s="18"/>
      <c r="AIM201" s="18"/>
      <c r="AIN201" s="18"/>
      <c r="AIO201" s="18"/>
      <c r="AIP201" s="18"/>
      <c r="AIQ201" s="18"/>
      <c r="AIR201" s="18"/>
      <c r="AIS201" s="18"/>
      <c r="AIT201" s="18"/>
      <c r="AIU201" s="18"/>
      <c r="AIV201" s="18"/>
      <c r="AIW201" s="18"/>
      <c r="AIX201" s="18"/>
      <c r="AIY201" s="18"/>
      <c r="AIZ201" s="18"/>
      <c r="AJA201" s="18"/>
      <c r="AJB201" s="18"/>
      <c r="AJC201" s="18"/>
      <c r="AJD201" s="18"/>
      <c r="AJE201" s="18"/>
      <c r="AJF201" s="18"/>
      <c r="AJG201" s="18"/>
      <c r="AJH201" s="18"/>
      <c r="AJI201" s="18"/>
      <c r="AJJ201" s="18"/>
      <c r="AJK201" s="18"/>
      <c r="AJL201" s="18"/>
      <c r="AJM201" s="18"/>
      <c r="AJN201" s="18"/>
      <c r="AJO201" s="18"/>
      <c r="AJP201" s="18"/>
      <c r="AJQ201" s="18"/>
      <c r="AJR201" s="18"/>
      <c r="AJS201" s="18"/>
      <c r="AJT201" s="18"/>
      <c r="AJU201" s="18"/>
      <c r="AJV201" s="18"/>
      <c r="AJW201" s="18"/>
      <c r="AJX201" s="18"/>
      <c r="AJY201" s="18"/>
      <c r="AJZ201" s="18"/>
      <c r="AKA201" s="18"/>
      <c r="AKB201" s="18"/>
      <c r="AKC201" s="18"/>
      <c r="AKD201" s="18"/>
      <c r="AKE201" s="18"/>
      <c r="AKF201" s="18"/>
      <c r="AKG201" s="18"/>
      <c r="AKH201" s="18"/>
      <c r="AKI201" s="18"/>
      <c r="AKJ201" s="18"/>
      <c r="AKK201" s="18"/>
      <c r="AKL201" s="18"/>
      <c r="AKM201" s="18"/>
      <c r="AKN201" s="18"/>
      <c r="AKO201" s="18"/>
      <c r="AKP201" s="18"/>
      <c r="AKQ201" s="18"/>
      <c r="AKR201" s="18"/>
      <c r="AKS201" s="18"/>
      <c r="AKT201" s="18"/>
      <c r="AKU201" s="18"/>
      <c r="AKV201" s="18"/>
      <c r="AKW201" s="18"/>
      <c r="AKX201" s="18"/>
      <c r="AKY201" s="18"/>
      <c r="AKZ201" s="18"/>
      <c r="ALA201" s="18"/>
      <c r="ALB201" s="18"/>
      <c r="ALC201" s="18"/>
      <c r="ALD201" s="18"/>
      <c r="ALE201" s="18"/>
      <c r="ALF201" s="18"/>
      <c r="ALG201" s="18"/>
      <c r="ALH201" s="18"/>
      <c r="ALI201" s="18"/>
      <c r="ALJ201" s="18"/>
      <c r="ALK201" s="18"/>
      <c r="ALL201" s="18"/>
      <c r="ALM201" s="18"/>
      <c r="ALN201" s="18"/>
      <c r="ALO201" s="18"/>
      <c r="ALP201" s="18"/>
      <c r="ALQ201" s="18"/>
      <c r="ALR201" s="18"/>
      <c r="ALS201" s="18"/>
      <c r="ALT201" s="18"/>
      <c r="ALU201" s="18"/>
      <c r="ALV201" s="18"/>
      <c r="ALW201" s="18"/>
      <c r="ALX201" s="18"/>
      <c r="ALY201" s="18"/>
      <c r="ALZ201" s="18"/>
      <c r="AMA201" s="18"/>
      <c r="AMB201" s="18"/>
      <c r="AMC201" s="18"/>
      <c r="AMD201" s="18"/>
      <c r="AME201" s="18"/>
      <c r="AMF201" s="18"/>
      <c r="AMG201" s="18"/>
      <c r="AMH201" s="18"/>
      <c r="AMI201" s="18"/>
      <c r="AMJ201" s="18"/>
      <c r="AMK201" s="18"/>
      <c r="AML201" s="18"/>
      <c r="AMM201" s="18"/>
    </row>
    <row r="202" spans="1:1027" s="18" customFormat="1" x14ac:dyDescent="0.2">
      <c r="A202" s="1" t="s">
        <v>504</v>
      </c>
      <c r="B202" s="1" t="s">
        <v>774</v>
      </c>
      <c r="C202" s="1"/>
      <c r="D202" s="1">
        <v>12</v>
      </c>
      <c r="E202" s="10" t="s">
        <v>506</v>
      </c>
      <c r="F202" s="10" t="s">
        <v>508</v>
      </c>
      <c r="G202" s="11" t="s">
        <v>508</v>
      </c>
      <c r="H202" s="10" t="s">
        <v>507</v>
      </c>
      <c r="I202" s="10"/>
      <c r="J202" s="10" t="s">
        <v>507</v>
      </c>
      <c r="K202" s="12"/>
      <c r="L202" s="18" t="s">
        <v>509</v>
      </c>
      <c r="M202" s="1"/>
      <c r="N202" s="1" t="s">
        <v>542</v>
      </c>
      <c r="O202" s="1"/>
      <c r="P202" s="1"/>
      <c r="Q202" s="1"/>
      <c r="R202" s="1"/>
      <c r="S202" s="13"/>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AMM202" s="31"/>
    </row>
    <row r="203" spans="1:1027" s="31" customFormat="1" x14ac:dyDescent="0.2">
      <c r="A203" s="18" t="s">
        <v>504</v>
      </c>
      <c r="B203" s="18" t="s">
        <v>775</v>
      </c>
      <c r="C203" s="18"/>
      <c r="D203" s="18">
        <v>13</v>
      </c>
      <c r="E203" s="19" t="s">
        <v>506</v>
      </c>
      <c r="F203" s="19" t="s">
        <v>507</v>
      </c>
      <c r="G203" s="20" t="s">
        <v>540</v>
      </c>
      <c r="H203" s="19" t="s">
        <v>507</v>
      </c>
      <c r="I203" s="19" t="s">
        <v>507</v>
      </c>
      <c r="J203" s="19" t="s">
        <v>507</v>
      </c>
      <c r="K203" s="21" t="s">
        <v>509</v>
      </c>
      <c r="L203" s="18"/>
      <c r="M203" s="1" t="s">
        <v>510</v>
      </c>
      <c r="N203" s="1"/>
      <c r="O203" s="18"/>
      <c r="P203" s="18"/>
      <c r="Q203" s="18"/>
      <c r="R203" s="18"/>
      <c r="S203" s="13"/>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c r="ADD203" s="1"/>
      <c r="ADE203" s="1"/>
      <c r="ADF203" s="1"/>
      <c r="ADG203" s="1"/>
      <c r="ADH203" s="1"/>
      <c r="ADI203" s="1"/>
      <c r="ADJ203" s="1"/>
      <c r="ADK203" s="1"/>
      <c r="ADL203" s="1"/>
      <c r="ADM203" s="1"/>
      <c r="ADN203" s="1"/>
      <c r="ADO203" s="1"/>
      <c r="ADP203" s="1"/>
      <c r="ADQ203" s="1"/>
      <c r="ADR203" s="1"/>
      <c r="ADS203" s="1"/>
      <c r="ADT203" s="1"/>
      <c r="ADU203" s="1"/>
      <c r="ADV203" s="1"/>
      <c r="ADW203" s="1"/>
      <c r="ADX203" s="1"/>
      <c r="ADY203" s="1"/>
      <c r="ADZ203" s="1"/>
      <c r="AEA203" s="1"/>
      <c r="AEB203" s="1"/>
      <c r="AEC203" s="1"/>
      <c r="AED203" s="1"/>
      <c r="AEE203" s="1"/>
      <c r="AEF203" s="1"/>
      <c r="AEG203" s="1"/>
      <c r="AEH203" s="1"/>
      <c r="AEI203" s="1"/>
      <c r="AEJ203" s="1"/>
      <c r="AEK203" s="1"/>
      <c r="AEL203" s="1"/>
      <c r="AEM203" s="1"/>
      <c r="AEN203" s="1"/>
      <c r="AEO203" s="1"/>
      <c r="AEP203" s="1"/>
      <c r="AEQ203" s="1"/>
      <c r="AER203" s="1"/>
      <c r="AES203" s="1"/>
      <c r="AET203" s="1"/>
      <c r="AEU203" s="1"/>
      <c r="AEV203" s="1"/>
      <c r="AEW203" s="1"/>
      <c r="AEX203" s="1"/>
      <c r="AEY203" s="1"/>
      <c r="AEZ203" s="1"/>
      <c r="AFA203" s="1"/>
      <c r="AFB203" s="1"/>
      <c r="AFC203" s="1"/>
      <c r="AFD203" s="1"/>
      <c r="AFE203" s="1"/>
      <c r="AFF203" s="1"/>
      <c r="AFG203" s="1"/>
      <c r="AFH203" s="1"/>
      <c r="AFI203" s="1"/>
      <c r="AFJ203" s="1"/>
      <c r="AFK203" s="1"/>
      <c r="AFL203" s="1"/>
      <c r="AFM203" s="1"/>
      <c r="AFN203" s="1"/>
      <c r="AFO203" s="1"/>
      <c r="AFP203" s="1"/>
      <c r="AFQ203" s="1"/>
      <c r="AFR203" s="1"/>
      <c r="AFS203" s="1"/>
      <c r="AFT203" s="1"/>
      <c r="AFU203" s="1"/>
      <c r="AFV203" s="1"/>
      <c r="AFW203" s="1"/>
      <c r="AFX203" s="1"/>
      <c r="AFY203" s="1"/>
      <c r="AFZ203" s="1"/>
      <c r="AGA203" s="1"/>
      <c r="AGB203" s="1"/>
      <c r="AGC203" s="1"/>
      <c r="AGD203" s="1"/>
      <c r="AGE203" s="1"/>
      <c r="AGF203" s="1"/>
      <c r="AGG203" s="1"/>
      <c r="AGH203" s="1"/>
      <c r="AGI203" s="1"/>
      <c r="AGJ203" s="1"/>
      <c r="AGK203" s="1"/>
      <c r="AGL203" s="1"/>
      <c r="AGM203" s="1"/>
      <c r="AGN203" s="1"/>
      <c r="AGO203" s="1"/>
      <c r="AGP203" s="1"/>
      <c r="AGQ203" s="1"/>
      <c r="AGR203" s="1"/>
      <c r="AGS203" s="1"/>
      <c r="AGT203" s="1"/>
      <c r="AGU203" s="1"/>
      <c r="AGV203" s="1"/>
      <c r="AGW203" s="1"/>
      <c r="AGX203" s="1"/>
      <c r="AGY203" s="1"/>
      <c r="AGZ203" s="1"/>
      <c r="AHA203" s="1"/>
      <c r="AHB203" s="1"/>
      <c r="AHC203" s="1"/>
      <c r="AHD203" s="1"/>
      <c r="AHE203" s="1"/>
      <c r="AHF203" s="1"/>
      <c r="AHG203" s="1"/>
      <c r="AHH203" s="1"/>
      <c r="AHI203" s="1"/>
      <c r="AHJ203" s="1"/>
      <c r="AHK203" s="1"/>
      <c r="AHL203" s="1"/>
      <c r="AHM203" s="1"/>
      <c r="AHN203" s="1"/>
      <c r="AHO203" s="1"/>
      <c r="AHP203" s="1"/>
      <c r="AHQ203" s="1"/>
      <c r="AHR203" s="1"/>
      <c r="AHS203" s="1"/>
      <c r="AHT203" s="1"/>
      <c r="AHU203" s="1"/>
      <c r="AHV203" s="1"/>
      <c r="AHW203" s="1"/>
      <c r="AHX203" s="1"/>
      <c r="AHY203" s="1"/>
      <c r="AHZ203" s="1"/>
      <c r="AIA203" s="1"/>
      <c r="AIB203" s="1"/>
      <c r="AIC203" s="1"/>
      <c r="AID203" s="1"/>
      <c r="AIE203" s="1"/>
      <c r="AIF203" s="1"/>
      <c r="AIG203" s="1"/>
      <c r="AIH203" s="1"/>
      <c r="AII203" s="1"/>
      <c r="AIJ203" s="1"/>
      <c r="AIK203" s="1"/>
      <c r="AIL203" s="1"/>
      <c r="AIM203" s="1"/>
      <c r="AIN203" s="1"/>
      <c r="AIO203" s="1"/>
      <c r="AIP203" s="1"/>
      <c r="AIQ203" s="1"/>
      <c r="AIR203" s="1"/>
      <c r="AIS203" s="1"/>
      <c r="AIT203" s="1"/>
      <c r="AIU203" s="1"/>
      <c r="AIV203" s="1"/>
      <c r="AIW203" s="1"/>
      <c r="AIX203" s="1"/>
      <c r="AIY203" s="1"/>
      <c r="AIZ203" s="1"/>
      <c r="AJA203" s="1"/>
      <c r="AJB203" s="1"/>
      <c r="AJC203" s="1"/>
      <c r="AJD203" s="1"/>
      <c r="AJE203" s="1"/>
      <c r="AJF203" s="1"/>
      <c r="AJG203" s="1"/>
      <c r="AJH203" s="1"/>
      <c r="AJI203" s="1"/>
      <c r="AJJ203" s="1"/>
      <c r="AJK203" s="1"/>
      <c r="AJL203" s="1"/>
      <c r="AJM203" s="1"/>
      <c r="AJN203" s="1"/>
      <c r="AJO203" s="1"/>
      <c r="AJP203" s="1"/>
      <c r="AJQ203" s="1"/>
      <c r="AJR203" s="1"/>
      <c r="AJS203" s="1"/>
      <c r="AJT203" s="1"/>
      <c r="AJU203" s="1"/>
      <c r="AJV203" s="1"/>
      <c r="AJW203" s="1"/>
      <c r="AJX203" s="1"/>
      <c r="AJY203" s="1"/>
      <c r="AJZ203" s="1"/>
      <c r="AKA203" s="1"/>
      <c r="AKB203" s="1"/>
      <c r="AKC203" s="1"/>
      <c r="AKD203" s="1"/>
      <c r="AKE203" s="1"/>
      <c r="AKF203" s="1"/>
      <c r="AKG203" s="1"/>
      <c r="AKH203" s="1"/>
      <c r="AKI203" s="1"/>
      <c r="AKJ203" s="1"/>
      <c r="AKK203" s="1"/>
      <c r="AKL203" s="1"/>
      <c r="AKM203" s="1"/>
      <c r="AKN203" s="1"/>
      <c r="AKO203" s="1"/>
      <c r="AKP203" s="1"/>
      <c r="AKQ203" s="1"/>
      <c r="AKR203" s="1"/>
      <c r="AKS203" s="1"/>
      <c r="AKT203" s="1"/>
      <c r="AKU203" s="1"/>
      <c r="AKV203" s="1"/>
      <c r="AKW203" s="1"/>
      <c r="AKX203" s="1"/>
      <c r="AKY203" s="1"/>
      <c r="AKZ203" s="1"/>
      <c r="ALA203" s="1"/>
      <c r="ALB203" s="1"/>
      <c r="ALC203" s="1"/>
      <c r="ALD203" s="1"/>
      <c r="ALE203" s="1"/>
      <c r="ALF203" s="1"/>
      <c r="ALG203" s="1"/>
      <c r="ALH203" s="1"/>
      <c r="ALI203" s="1"/>
      <c r="ALJ203" s="1"/>
      <c r="ALK203" s="1"/>
      <c r="ALL203" s="1"/>
      <c r="ALM203" s="1"/>
      <c r="ALN203" s="1"/>
      <c r="ALO203" s="1"/>
      <c r="ALP203" s="1"/>
      <c r="ALQ203" s="1"/>
      <c r="ALR203" s="1"/>
      <c r="ALS203" s="1"/>
      <c r="ALT203" s="1"/>
      <c r="ALU203" s="1"/>
      <c r="ALV203" s="1"/>
      <c r="ALW203" s="1"/>
      <c r="ALX203" s="1"/>
      <c r="ALY203" s="1"/>
      <c r="ALZ203" s="1"/>
      <c r="AMA203" s="1"/>
      <c r="AMB203" s="1"/>
      <c r="AMC203" s="1"/>
      <c r="AMD203" s="1"/>
      <c r="AME203" s="1"/>
      <c r="AMF203" s="1"/>
      <c r="AMG203" s="1"/>
      <c r="AMH203" s="1"/>
      <c r="AMI203" s="1"/>
      <c r="AMJ203" s="1"/>
      <c r="AMK203" s="1"/>
      <c r="AML203" s="18"/>
      <c r="AMM203" s="18"/>
    </row>
    <row r="204" spans="1:1027" s="18" customFormat="1" x14ac:dyDescent="0.2">
      <c r="A204" s="18" t="s">
        <v>504</v>
      </c>
      <c r="B204" s="18" t="s">
        <v>776</v>
      </c>
      <c r="D204" s="18">
        <v>24</v>
      </c>
      <c r="E204" s="19" t="s">
        <v>506</v>
      </c>
      <c r="F204" s="19" t="s">
        <v>507</v>
      </c>
      <c r="G204" s="20" t="s">
        <v>540</v>
      </c>
      <c r="H204" s="19" t="s">
        <v>507</v>
      </c>
      <c r="I204" s="19" t="s">
        <v>507</v>
      </c>
      <c r="J204" s="19" t="s">
        <v>507</v>
      </c>
      <c r="K204" s="21" t="s">
        <v>509</v>
      </c>
      <c r="M204" s="1" t="s">
        <v>510</v>
      </c>
      <c r="N204" s="1"/>
      <c r="Q204" s="18" t="s">
        <v>527</v>
      </c>
      <c r="S204" s="13"/>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c r="ADT204" s="1"/>
      <c r="ADU204" s="1"/>
      <c r="ADV204" s="1"/>
      <c r="ADW204" s="1"/>
      <c r="ADX204" s="1"/>
      <c r="ADY204" s="1"/>
      <c r="ADZ204" s="1"/>
      <c r="AEA204" s="1"/>
      <c r="AEB204" s="1"/>
      <c r="AEC204" s="1"/>
      <c r="AED204" s="1"/>
      <c r="AEE204" s="1"/>
      <c r="AEF204" s="1"/>
      <c r="AEG204" s="1"/>
      <c r="AEH204" s="1"/>
      <c r="AEI204" s="1"/>
      <c r="AEJ204" s="1"/>
      <c r="AEK204" s="1"/>
      <c r="AEL204" s="1"/>
      <c r="AEM204" s="1"/>
      <c r="AEN204" s="1"/>
      <c r="AEO204" s="1"/>
      <c r="AEP204" s="1"/>
      <c r="AEQ204" s="1"/>
      <c r="AER204" s="1"/>
      <c r="AES204" s="1"/>
      <c r="AET204" s="1"/>
      <c r="AEU204" s="1"/>
      <c r="AEV204" s="1"/>
      <c r="AEW204" s="1"/>
      <c r="AEX204" s="1"/>
      <c r="AEY204" s="1"/>
      <c r="AEZ204" s="1"/>
      <c r="AFA204" s="1"/>
      <c r="AFB204" s="1"/>
      <c r="AFC204" s="1"/>
      <c r="AFD204" s="1"/>
      <c r="AFE204" s="1"/>
      <c r="AFF204" s="1"/>
      <c r="AFG204" s="1"/>
      <c r="AFH204" s="1"/>
      <c r="AFI204" s="1"/>
      <c r="AFJ204" s="1"/>
      <c r="AFK204" s="1"/>
      <c r="AFL204" s="1"/>
      <c r="AFM204" s="1"/>
      <c r="AFN204" s="1"/>
      <c r="AFO204" s="1"/>
      <c r="AFP204" s="1"/>
      <c r="AFQ204" s="1"/>
      <c r="AFR204" s="1"/>
      <c r="AFS204" s="1"/>
      <c r="AFT204" s="1"/>
      <c r="AFU204" s="1"/>
      <c r="AFV204" s="1"/>
      <c r="AFW204" s="1"/>
      <c r="AFX204" s="1"/>
      <c r="AFY204" s="1"/>
      <c r="AFZ204" s="1"/>
      <c r="AGA204" s="1"/>
      <c r="AGB204" s="1"/>
      <c r="AGC204" s="1"/>
      <c r="AGD204" s="1"/>
      <c r="AGE204" s="1"/>
      <c r="AGF204" s="1"/>
      <c r="AGG204" s="1"/>
      <c r="AGH204" s="1"/>
      <c r="AGI204" s="1"/>
      <c r="AGJ204" s="1"/>
      <c r="AGK204" s="1"/>
      <c r="AGL204" s="1"/>
      <c r="AGM204" s="1"/>
      <c r="AGN204" s="1"/>
      <c r="AGO204" s="1"/>
      <c r="AGP204" s="1"/>
      <c r="AGQ204" s="1"/>
      <c r="AGR204" s="1"/>
      <c r="AGS204" s="1"/>
      <c r="AGT204" s="1"/>
      <c r="AGU204" s="1"/>
      <c r="AGV204" s="1"/>
      <c r="AGW204" s="1"/>
      <c r="AGX204" s="1"/>
      <c r="AGY204" s="1"/>
      <c r="AGZ204" s="1"/>
      <c r="AHA204" s="1"/>
      <c r="AHB204" s="1"/>
      <c r="AHC204" s="1"/>
      <c r="AHD204" s="1"/>
      <c r="AHE204" s="1"/>
      <c r="AHF204" s="1"/>
      <c r="AHG204" s="1"/>
      <c r="AHH204" s="1"/>
      <c r="AHI204" s="1"/>
      <c r="AHJ204" s="1"/>
      <c r="AHK204" s="1"/>
      <c r="AHL204" s="1"/>
      <c r="AHM204" s="1"/>
      <c r="AHN204" s="1"/>
      <c r="AHO204" s="1"/>
      <c r="AHP204" s="1"/>
      <c r="AHQ204" s="1"/>
      <c r="AHR204" s="1"/>
      <c r="AHS204" s="1"/>
      <c r="AHT204" s="1"/>
      <c r="AHU204" s="1"/>
      <c r="AHV204" s="1"/>
      <c r="AHW204" s="1"/>
      <c r="AHX204" s="1"/>
      <c r="AHY204" s="1"/>
      <c r="AHZ204" s="1"/>
      <c r="AIA204" s="1"/>
      <c r="AIB204" s="1"/>
      <c r="AIC204" s="1"/>
      <c r="AID204" s="1"/>
      <c r="AIE204" s="1"/>
      <c r="AIF204" s="1"/>
      <c r="AIG204" s="1"/>
      <c r="AIH204" s="1"/>
      <c r="AII204" s="1"/>
      <c r="AIJ204" s="1"/>
      <c r="AIK204" s="1"/>
      <c r="AIL204" s="1"/>
      <c r="AIM204" s="1"/>
      <c r="AIN204" s="1"/>
      <c r="AIO204" s="1"/>
      <c r="AIP204" s="1"/>
      <c r="AIQ204" s="1"/>
      <c r="AIR204" s="1"/>
      <c r="AIS204" s="1"/>
      <c r="AIT204" s="1"/>
      <c r="AIU204" s="1"/>
      <c r="AIV204" s="1"/>
      <c r="AIW204" s="1"/>
      <c r="AIX204" s="1"/>
      <c r="AIY204" s="1"/>
      <c r="AIZ204" s="1"/>
      <c r="AJA204" s="1"/>
      <c r="AJB204" s="1"/>
      <c r="AJC204" s="1"/>
      <c r="AJD204" s="1"/>
      <c r="AJE204" s="1"/>
      <c r="AJF204" s="1"/>
      <c r="AJG204" s="1"/>
      <c r="AJH204" s="1"/>
      <c r="AJI204" s="1"/>
      <c r="AJJ204" s="1"/>
      <c r="AJK204" s="1"/>
      <c r="AJL204" s="1"/>
      <c r="AJM204" s="1"/>
      <c r="AJN204" s="1"/>
      <c r="AJO204" s="1"/>
      <c r="AJP204" s="1"/>
      <c r="AJQ204" s="1"/>
      <c r="AJR204" s="1"/>
      <c r="AJS204" s="1"/>
      <c r="AJT204" s="1"/>
      <c r="AJU204" s="1"/>
      <c r="AJV204" s="1"/>
      <c r="AJW204" s="1"/>
      <c r="AJX204" s="1"/>
      <c r="AJY204" s="1"/>
      <c r="AJZ204" s="1"/>
      <c r="AKA204" s="1"/>
      <c r="AKB204" s="1"/>
      <c r="AKC204" s="1"/>
      <c r="AKD204" s="1"/>
      <c r="AKE204" s="1"/>
      <c r="AKF204" s="1"/>
      <c r="AKG204" s="1"/>
      <c r="AKH204" s="1"/>
      <c r="AKI204" s="1"/>
      <c r="AKJ204" s="1"/>
      <c r="AKK204" s="1"/>
      <c r="AKL204" s="1"/>
      <c r="AKM204" s="1"/>
      <c r="AKN204" s="1"/>
      <c r="AKO204" s="1"/>
      <c r="AKP204" s="1"/>
      <c r="AKQ204" s="1"/>
      <c r="AKR204" s="1"/>
      <c r="AKS204" s="1"/>
      <c r="AKT204" s="1"/>
      <c r="AKU204" s="1"/>
      <c r="AKV204" s="1"/>
      <c r="AKW204" s="1"/>
      <c r="AKX204" s="1"/>
      <c r="AKY204" s="1"/>
      <c r="AKZ204" s="1"/>
      <c r="ALA204" s="1"/>
      <c r="ALB204" s="1"/>
      <c r="ALC204" s="1"/>
      <c r="ALD204" s="1"/>
      <c r="ALE204" s="1"/>
      <c r="ALF204" s="1"/>
      <c r="ALG204" s="1"/>
      <c r="ALH204" s="1"/>
      <c r="ALI204" s="1"/>
      <c r="ALJ204" s="1"/>
      <c r="ALK204" s="1"/>
      <c r="ALL204" s="1"/>
      <c r="ALM204" s="1"/>
      <c r="ALN204" s="1"/>
      <c r="ALO204" s="1"/>
      <c r="ALP204" s="1"/>
      <c r="ALQ204" s="1"/>
      <c r="ALR204" s="1"/>
      <c r="ALS204" s="1"/>
      <c r="ALT204" s="1"/>
      <c r="ALU204" s="1"/>
      <c r="ALV204" s="1"/>
      <c r="ALW204" s="1"/>
      <c r="ALX204" s="1"/>
      <c r="ALY204" s="1"/>
      <c r="ALZ204" s="1"/>
      <c r="AMA204" s="1"/>
      <c r="AMB204" s="1"/>
      <c r="AMC204" s="1"/>
      <c r="AMD204" s="1"/>
      <c r="AME204" s="1"/>
      <c r="AMF204" s="1"/>
      <c r="AMG204" s="1"/>
      <c r="AMH204" s="1"/>
      <c r="AMI204" s="1"/>
      <c r="AMJ204" s="1"/>
      <c r="AMK204" s="1"/>
      <c r="AML204"/>
      <c r="AMM204"/>
    </row>
    <row r="205" spans="1:1027" x14ac:dyDescent="0.2">
      <c r="A205" s="18" t="s">
        <v>504</v>
      </c>
      <c r="B205" s="18" t="s">
        <v>777</v>
      </c>
      <c r="C205" s="18"/>
      <c r="D205" s="18">
        <v>129</v>
      </c>
      <c r="E205" s="19" t="s">
        <v>506</v>
      </c>
      <c r="F205" s="19" t="s">
        <v>507</v>
      </c>
      <c r="G205" s="20" t="s">
        <v>540</v>
      </c>
      <c r="H205" s="19" t="s">
        <v>507</v>
      </c>
      <c r="I205" s="19" t="s">
        <v>507</v>
      </c>
      <c r="J205" s="19" t="s">
        <v>507</v>
      </c>
      <c r="K205" s="21" t="s">
        <v>509</v>
      </c>
      <c r="L205" s="18"/>
      <c r="M205" s="1" t="s">
        <v>510</v>
      </c>
      <c r="O205" s="18"/>
      <c r="P205" s="18"/>
      <c r="Q205" s="18"/>
      <c r="R205" s="18"/>
    </row>
    <row r="206" spans="1:1027" x14ac:dyDescent="0.2">
      <c r="A206" s="18" t="s">
        <v>504</v>
      </c>
      <c r="B206" s="18" t="s">
        <v>778</v>
      </c>
      <c r="C206" s="18"/>
      <c r="D206" s="18">
        <v>108</v>
      </c>
      <c r="E206" s="19" t="s">
        <v>506</v>
      </c>
      <c r="F206" s="19" t="s">
        <v>507</v>
      </c>
      <c r="G206" s="20" t="s">
        <v>540</v>
      </c>
      <c r="H206" s="19" t="s">
        <v>507</v>
      </c>
      <c r="I206" s="19" t="s">
        <v>507</v>
      </c>
      <c r="J206" s="19" t="s">
        <v>507</v>
      </c>
      <c r="K206" s="21" t="s">
        <v>509</v>
      </c>
      <c r="L206" s="18"/>
      <c r="M206" s="1" t="s">
        <v>510</v>
      </c>
      <c r="O206" s="18"/>
      <c r="P206" s="18"/>
      <c r="Q206" s="18"/>
      <c r="R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c r="DV206" s="18"/>
      <c r="DW206" s="18"/>
      <c r="DX206" s="18"/>
      <c r="DY206" s="18"/>
      <c r="DZ206" s="18"/>
      <c r="EA206" s="18"/>
      <c r="EB206" s="18"/>
      <c r="EC206" s="18"/>
      <c r="ED206" s="18"/>
      <c r="EE206" s="18"/>
      <c r="EF206" s="18"/>
      <c r="EG206" s="18"/>
      <c r="EH206" s="18"/>
      <c r="EI206" s="18"/>
      <c r="EJ206" s="18"/>
      <c r="EK206" s="18"/>
      <c r="EL206" s="18"/>
      <c r="EM206" s="18"/>
      <c r="EN206" s="18"/>
      <c r="EO206" s="18"/>
      <c r="EP206" s="18"/>
      <c r="EQ206" s="18"/>
      <c r="ER206" s="18"/>
      <c r="ES206" s="18"/>
      <c r="ET206" s="18"/>
      <c r="EU206" s="18"/>
      <c r="EV206" s="18"/>
      <c r="EW206" s="18"/>
      <c r="EX206" s="18"/>
      <c r="EY206" s="18"/>
      <c r="EZ206" s="18"/>
      <c r="FA206" s="18"/>
      <c r="FB206" s="18"/>
      <c r="FC206" s="18"/>
      <c r="FD206" s="18"/>
      <c r="FE206" s="18"/>
      <c r="FF206" s="18"/>
      <c r="FG206" s="18"/>
      <c r="FH206" s="18"/>
      <c r="FI206" s="18"/>
      <c r="FJ206" s="18"/>
      <c r="FK206" s="18"/>
      <c r="FL206" s="18"/>
      <c r="FM206" s="18"/>
      <c r="FN206" s="18"/>
      <c r="FO206" s="18"/>
      <c r="FP206" s="18"/>
      <c r="FQ206" s="18"/>
      <c r="FR206" s="18"/>
      <c r="FS206" s="18"/>
      <c r="FT206" s="18"/>
      <c r="FU206" s="18"/>
      <c r="FV206" s="18"/>
      <c r="FW206" s="18"/>
      <c r="FX206" s="18"/>
      <c r="FY206" s="18"/>
      <c r="FZ206" s="18"/>
      <c r="GA206" s="18"/>
      <c r="GB206" s="18"/>
      <c r="GC206" s="18"/>
      <c r="GD206" s="18"/>
      <c r="GE206" s="18"/>
      <c r="GF206" s="18"/>
      <c r="GG206" s="18"/>
      <c r="GH206" s="18"/>
      <c r="GI206" s="18"/>
      <c r="GJ206" s="18"/>
      <c r="GK206" s="18"/>
      <c r="GL206" s="18"/>
      <c r="GM206" s="18"/>
      <c r="GN206" s="18"/>
      <c r="GO206" s="18"/>
      <c r="GP206" s="18"/>
      <c r="GQ206" s="18"/>
      <c r="GR206" s="18"/>
      <c r="GS206" s="18"/>
      <c r="GT206" s="18"/>
      <c r="GU206" s="18"/>
      <c r="GV206" s="18"/>
      <c r="GW206" s="18"/>
      <c r="GX206" s="18"/>
      <c r="GY206" s="18"/>
      <c r="GZ206" s="18"/>
      <c r="HA206" s="18"/>
      <c r="HB206" s="18"/>
      <c r="HC206" s="18"/>
      <c r="HD206" s="18"/>
      <c r="HE206" s="18"/>
      <c r="HF206" s="18"/>
      <c r="HG206" s="18"/>
      <c r="HH206" s="18"/>
      <c r="HI206" s="18"/>
      <c r="HJ206" s="18"/>
      <c r="HK206" s="18"/>
      <c r="HL206" s="18"/>
      <c r="HM206" s="18"/>
      <c r="HN206" s="18"/>
      <c r="HO206" s="18"/>
      <c r="HP206" s="18"/>
      <c r="HQ206" s="18"/>
      <c r="HR206" s="18"/>
      <c r="HS206" s="18"/>
      <c r="HT206" s="18"/>
      <c r="HU206" s="18"/>
      <c r="HV206" s="18"/>
      <c r="HW206" s="18"/>
      <c r="HX206" s="18"/>
      <c r="HY206" s="18"/>
      <c r="HZ206" s="18"/>
      <c r="IA206" s="18"/>
      <c r="IB206" s="18"/>
      <c r="IC206" s="18"/>
      <c r="ID206" s="18"/>
      <c r="IE206" s="18"/>
      <c r="IF206" s="18"/>
      <c r="IG206" s="18"/>
      <c r="IH206" s="18"/>
      <c r="II206" s="18"/>
      <c r="IJ206" s="18"/>
      <c r="IK206" s="18"/>
      <c r="IL206" s="18"/>
      <c r="IM206" s="18"/>
      <c r="IN206" s="18"/>
      <c r="IO206" s="18"/>
      <c r="IP206" s="18"/>
      <c r="IQ206" s="18"/>
      <c r="IR206" s="18"/>
      <c r="IS206" s="18"/>
      <c r="IT206" s="18"/>
      <c r="IU206" s="18"/>
      <c r="IV206" s="18"/>
      <c r="IW206" s="18"/>
      <c r="IX206" s="18"/>
      <c r="IY206" s="18"/>
      <c r="IZ206" s="18"/>
      <c r="JA206" s="18"/>
      <c r="JB206" s="18"/>
      <c r="JC206" s="18"/>
      <c r="JD206" s="18"/>
      <c r="JE206" s="18"/>
      <c r="JF206" s="18"/>
      <c r="JG206" s="18"/>
      <c r="JH206" s="18"/>
      <c r="JI206" s="18"/>
      <c r="JJ206" s="18"/>
      <c r="JK206" s="18"/>
      <c r="JL206" s="18"/>
      <c r="JM206" s="18"/>
      <c r="JN206" s="18"/>
      <c r="JO206" s="18"/>
      <c r="JP206" s="18"/>
      <c r="JQ206" s="18"/>
      <c r="JR206" s="18"/>
      <c r="JS206" s="18"/>
      <c r="JT206" s="18"/>
      <c r="JU206" s="18"/>
      <c r="JV206" s="18"/>
      <c r="JW206" s="18"/>
      <c r="JX206" s="18"/>
      <c r="JY206" s="18"/>
      <c r="JZ206" s="18"/>
      <c r="KA206" s="18"/>
      <c r="KB206" s="18"/>
      <c r="KC206" s="18"/>
      <c r="KD206" s="18"/>
      <c r="KE206" s="18"/>
      <c r="KF206" s="18"/>
      <c r="KG206" s="18"/>
      <c r="KH206" s="18"/>
      <c r="KI206" s="18"/>
      <c r="KJ206" s="18"/>
      <c r="KK206" s="18"/>
      <c r="KL206" s="18"/>
      <c r="KM206" s="18"/>
      <c r="KN206" s="18"/>
      <c r="KO206" s="18"/>
      <c r="KP206" s="18"/>
      <c r="KQ206" s="18"/>
      <c r="KR206" s="18"/>
      <c r="KS206" s="18"/>
      <c r="KT206" s="18"/>
      <c r="KU206" s="18"/>
      <c r="KV206" s="18"/>
      <c r="KW206" s="18"/>
      <c r="KX206" s="18"/>
      <c r="KY206" s="18"/>
      <c r="KZ206" s="18"/>
      <c r="LA206" s="18"/>
      <c r="LB206" s="18"/>
      <c r="LC206" s="18"/>
      <c r="LD206" s="18"/>
      <c r="LE206" s="18"/>
      <c r="LF206" s="18"/>
      <c r="LG206" s="18"/>
      <c r="LH206" s="18"/>
      <c r="LI206" s="18"/>
      <c r="LJ206" s="18"/>
      <c r="LK206" s="18"/>
      <c r="LL206" s="18"/>
      <c r="LM206" s="18"/>
      <c r="LN206" s="18"/>
      <c r="LO206" s="18"/>
      <c r="LP206" s="18"/>
      <c r="LQ206" s="18"/>
      <c r="LR206" s="18"/>
      <c r="LS206" s="18"/>
      <c r="LT206" s="18"/>
      <c r="LU206" s="18"/>
      <c r="LV206" s="18"/>
      <c r="LW206" s="18"/>
      <c r="LX206" s="18"/>
      <c r="LY206" s="18"/>
      <c r="LZ206" s="18"/>
      <c r="MA206" s="18"/>
      <c r="MB206" s="18"/>
      <c r="MC206" s="18"/>
      <c r="MD206" s="18"/>
      <c r="ME206" s="18"/>
      <c r="MF206" s="18"/>
      <c r="MG206" s="18"/>
      <c r="MH206" s="18"/>
      <c r="MI206" s="18"/>
      <c r="MJ206" s="18"/>
      <c r="MK206" s="18"/>
      <c r="ML206" s="18"/>
      <c r="MM206" s="18"/>
      <c r="MN206" s="18"/>
      <c r="MO206" s="18"/>
      <c r="MP206" s="18"/>
      <c r="MQ206" s="18"/>
      <c r="MR206" s="18"/>
      <c r="MS206" s="18"/>
      <c r="MT206" s="18"/>
      <c r="MU206" s="18"/>
      <c r="MV206" s="18"/>
      <c r="MW206" s="18"/>
      <c r="MX206" s="18"/>
      <c r="MY206" s="18"/>
      <c r="MZ206" s="18"/>
      <c r="NA206" s="18"/>
      <c r="NB206" s="18"/>
      <c r="NC206" s="18"/>
      <c r="ND206" s="18"/>
      <c r="NE206" s="18"/>
      <c r="NF206" s="18"/>
      <c r="NG206" s="18"/>
      <c r="NH206" s="18"/>
      <c r="NI206" s="18"/>
      <c r="NJ206" s="18"/>
      <c r="NK206" s="18"/>
      <c r="NL206" s="18"/>
      <c r="NM206" s="18"/>
      <c r="NN206" s="18"/>
      <c r="NO206" s="18"/>
      <c r="NP206" s="18"/>
      <c r="NQ206" s="18"/>
      <c r="NR206" s="18"/>
      <c r="NS206" s="18"/>
      <c r="NT206" s="18"/>
      <c r="NU206" s="18"/>
      <c r="NV206" s="18"/>
      <c r="NW206" s="18"/>
      <c r="NX206" s="18"/>
      <c r="NY206" s="18"/>
      <c r="NZ206" s="18"/>
      <c r="OA206" s="18"/>
      <c r="OB206" s="18"/>
      <c r="OC206" s="18"/>
      <c r="OD206" s="18"/>
      <c r="OE206" s="18"/>
      <c r="OF206" s="18"/>
      <c r="OG206" s="18"/>
      <c r="OH206" s="18"/>
      <c r="OI206" s="18"/>
      <c r="OJ206" s="18"/>
      <c r="OK206" s="18"/>
      <c r="OL206" s="18"/>
      <c r="OM206" s="18"/>
      <c r="ON206" s="18"/>
      <c r="OO206" s="18"/>
      <c r="OP206" s="18"/>
      <c r="OQ206" s="18"/>
      <c r="OR206" s="18"/>
      <c r="OS206" s="18"/>
      <c r="OT206" s="18"/>
      <c r="OU206" s="18"/>
      <c r="OV206" s="18"/>
      <c r="OW206" s="18"/>
      <c r="OX206" s="18"/>
      <c r="OY206" s="18"/>
      <c r="OZ206" s="18"/>
      <c r="PA206" s="18"/>
      <c r="PB206" s="18"/>
      <c r="PC206" s="18"/>
      <c r="PD206" s="18"/>
      <c r="PE206" s="18"/>
      <c r="PF206" s="18"/>
      <c r="PG206" s="18"/>
      <c r="PH206" s="18"/>
      <c r="PI206" s="18"/>
      <c r="PJ206" s="18"/>
      <c r="PK206" s="18"/>
      <c r="PL206" s="18"/>
      <c r="PM206" s="18"/>
      <c r="PN206" s="18"/>
      <c r="PO206" s="18"/>
      <c r="PP206" s="18"/>
      <c r="PQ206" s="18"/>
      <c r="PR206" s="18"/>
      <c r="PS206" s="18"/>
      <c r="PT206" s="18"/>
      <c r="PU206" s="18"/>
      <c r="PV206" s="18"/>
      <c r="PW206" s="18"/>
      <c r="PX206" s="18"/>
      <c r="PY206" s="18"/>
      <c r="PZ206" s="18"/>
      <c r="QA206" s="18"/>
      <c r="QB206" s="18"/>
      <c r="QC206" s="18"/>
      <c r="QD206" s="18"/>
      <c r="QE206" s="18"/>
      <c r="QF206" s="18"/>
      <c r="QG206" s="18"/>
      <c r="QH206" s="18"/>
      <c r="QI206" s="18"/>
      <c r="QJ206" s="18"/>
      <c r="QK206" s="18"/>
      <c r="QL206" s="18"/>
      <c r="QM206" s="18"/>
      <c r="QN206" s="18"/>
      <c r="QO206" s="18"/>
      <c r="QP206" s="18"/>
      <c r="QQ206" s="18"/>
      <c r="QR206" s="18"/>
      <c r="QS206" s="18"/>
      <c r="QT206" s="18"/>
      <c r="QU206" s="18"/>
      <c r="QV206" s="18"/>
      <c r="QW206" s="18"/>
      <c r="QX206" s="18"/>
      <c r="QY206" s="18"/>
      <c r="QZ206" s="18"/>
      <c r="RA206" s="18"/>
      <c r="RB206" s="18"/>
      <c r="RC206" s="18"/>
      <c r="RD206" s="18"/>
      <c r="RE206" s="18"/>
      <c r="RF206" s="18"/>
      <c r="RG206" s="18"/>
      <c r="RH206" s="18"/>
      <c r="RI206" s="18"/>
      <c r="RJ206" s="18"/>
      <c r="RK206" s="18"/>
      <c r="RL206" s="18"/>
      <c r="RM206" s="18"/>
      <c r="RN206" s="18"/>
      <c r="RO206" s="18"/>
      <c r="RP206" s="18"/>
      <c r="RQ206" s="18"/>
      <c r="RR206" s="18"/>
      <c r="RS206" s="18"/>
      <c r="RT206" s="18"/>
      <c r="RU206" s="18"/>
      <c r="RV206" s="18"/>
      <c r="RW206" s="18"/>
      <c r="RX206" s="18"/>
      <c r="RY206" s="18"/>
      <c r="RZ206" s="18"/>
      <c r="SA206" s="18"/>
      <c r="SB206" s="18"/>
      <c r="SC206" s="18"/>
      <c r="SD206" s="18"/>
      <c r="SE206" s="18"/>
      <c r="SF206" s="18"/>
      <c r="SG206" s="18"/>
      <c r="SH206" s="18"/>
      <c r="SI206" s="18"/>
      <c r="SJ206" s="18"/>
      <c r="SK206" s="18"/>
      <c r="SL206" s="18"/>
      <c r="SM206" s="18"/>
      <c r="SN206" s="18"/>
      <c r="SO206" s="18"/>
      <c r="SP206" s="18"/>
      <c r="SQ206" s="18"/>
      <c r="SR206" s="18"/>
      <c r="SS206" s="18"/>
      <c r="ST206" s="18"/>
      <c r="SU206" s="18"/>
      <c r="SV206" s="18"/>
      <c r="SW206" s="18"/>
      <c r="SX206" s="18"/>
      <c r="SY206" s="18"/>
      <c r="SZ206" s="18"/>
      <c r="TA206" s="18"/>
      <c r="TB206" s="18"/>
      <c r="TC206" s="18"/>
      <c r="TD206" s="18"/>
      <c r="TE206" s="18"/>
      <c r="TF206" s="18"/>
      <c r="TG206" s="18"/>
      <c r="TH206" s="18"/>
      <c r="TI206" s="18"/>
      <c r="TJ206" s="18"/>
      <c r="TK206" s="18"/>
      <c r="TL206" s="18"/>
      <c r="TM206" s="18"/>
      <c r="TN206" s="18"/>
      <c r="TO206" s="18"/>
      <c r="TP206" s="18"/>
      <c r="TQ206" s="18"/>
      <c r="TR206" s="18"/>
      <c r="TS206" s="18"/>
      <c r="TT206" s="18"/>
      <c r="TU206" s="18"/>
      <c r="TV206" s="18"/>
      <c r="TW206" s="18"/>
      <c r="TX206" s="18"/>
      <c r="TY206" s="18"/>
      <c r="TZ206" s="18"/>
      <c r="UA206" s="18"/>
      <c r="UB206" s="18"/>
      <c r="UC206" s="18"/>
      <c r="UD206" s="18"/>
      <c r="UE206" s="18"/>
      <c r="UF206" s="18"/>
      <c r="UG206" s="18"/>
      <c r="UH206" s="18"/>
      <c r="UI206" s="18"/>
      <c r="UJ206" s="18"/>
      <c r="UK206" s="18"/>
      <c r="UL206" s="18"/>
      <c r="UM206" s="18"/>
      <c r="UN206" s="18"/>
      <c r="UO206" s="18"/>
      <c r="UP206" s="18"/>
      <c r="UQ206" s="18"/>
      <c r="UR206" s="18"/>
      <c r="US206" s="18"/>
      <c r="UT206" s="18"/>
      <c r="UU206" s="18"/>
      <c r="UV206" s="18"/>
      <c r="UW206" s="18"/>
      <c r="UX206" s="18"/>
      <c r="UY206" s="18"/>
      <c r="UZ206" s="18"/>
      <c r="VA206" s="18"/>
      <c r="VB206" s="18"/>
      <c r="VC206" s="18"/>
      <c r="VD206" s="18"/>
      <c r="VE206" s="18"/>
      <c r="VF206" s="18"/>
      <c r="VG206" s="18"/>
      <c r="VH206" s="18"/>
      <c r="VI206" s="18"/>
      <c r="VJ206" s="18"/>
      <c r="VK206" s="18"/>
      <c r="VL206" s="18"/>
      <c r="VM206" s="18"/>
      <c r="VN206" s="18"/>
      <c r="VO206" s="18"/>
      <c r="VP206" s="18"/>
      <c r="VQ206" s="18"/>
      <c r="VR206" s="18"/>
      <c r="VS206" s="18"/>
      <c r="VT206" s="18"/>
      <c r="VU206" s="18"/>
      <c r="VV206" s="18"/>
      <c r="VW206" s="18"/>
      <c r="VX206" s="18"/>
      <c r="VY206" s="18"/>
      <c r="VZ206" s="18"/>
      <c r="WA206" s="18"/>
      <c r="WB206" s="18"/>
      <c r="WC206" s="18"/>
      <c r="WD206" s="18"/>
      <c r="WE206" s="18"/>
      <c r="WF206" s="18"/>
      <c r="WG206" s="18"/>
      <c r="WH206" s="18"/>
      <c r="WI206" s="18"/>
      <c r="WJ206" s="18"/>
      <c r="WK206" s="18"/>
      <c r="WL206" s="18"/>
      <c r="WM206" s="18"/>
      <c r="WN206" s="18"/>
      <c r="WO206" s="18"/>
      <c r="WP206" s="18"/>
      <c r="WQ206" s="18"/>
      <c r="WR206" s="18"/>
      <c r="WS206" s="18"/>
      <c r="WT206" s="18"/>
      <c r="WU206" s="18"/>
      <c r="WV206" s="18"/>
      <c r="WW206" s="18"/>
      <c r="WX206" s="18"/>
      <c r="WY206" s="18"/>
      <c r="WZ206" s="18"/>
      <c r="XA206" s="18"/>
      <c r="XB206" s="18"/>
      <c r="XC206" s="18"/>
      <c r="XD206" s="18"/>
      <c r="XE206" s="18"/>
      <c r="XF206" s="18"/>
      <c r="XG206" s="18"/>
      <c r="XH206" s="18"/>
      <c r="XI206" s="18"/>
      <c r="XJ206" s="18"/>
      <c r="XK206" s="18"/>
      <c r="XL206" s="18"/>
      <c r="XM206" s="18"/>
      <c r="XN206" s="18"/>
      <c r="XO206" s="18"/>
      <c r="XP206" s="18"/>
      <c r="XQ206" s="18"/>
      <c r="XR206" s="18"/>
      <c r="XS206" s="18"/>
      <c r="XT206" s="18"/>
      <c r="XU206" s="18"/>
      <c r="XV206" s="18"/>
      <c r="XW206" s="18"/>
      <c r="XX206" s="18"/>
      <c r="XY206" s="18"/>
      <c r="XZ206" s="18"/>
      <c r="YA206" s="18"/>
      <c r="YB206" s="18"/>
      <c r="YC206" s="18"/>
      <c r="YD206" s="18"/>
      <c r="YE206" s="18"/>
      <c r="YF206" s="18"/>
      <c r="YG206" s="18"/>
      <c r="YH206" s="18"/>
      <c r="YI206" s="18"/>
      <c r="YJ206" s="18"/>
      <c r="YK206" s="18"/>
      <c r="YL206" s="18"/>
      <c r="YM206" s="18"/>
      <c r="YN206" s="18"/>
      <c r="YO206" s="18"/>
      <c r="YP206" s="18"/>
      <c r="YQ206" s="18"/>
      <c r="YR206" s="18"/>
      <c r="YS206" s="18"/>
      <c r="YT206" s="18"/>
      <c r="YU206" s="18"/>
      <c r="YV206" s="18"/>
      <c r="YW206" s="18"/>
      <c r="YX206" s="18"/>
      <c r="YY206" s="18"/>
      <c r="YZ206" s="18"/>
      <c r="ZA206" s="18"/>
      <c r="ZB206" s="18"/>
      <c r="ZC206" s="18"/>
      <c r="ZD206" s="18"/>
      <c r="ZE206" s="18"/>
      <c r="ZF206" s="18"/>
      <c r="ZG206" s="18"/>
      <c r="ZH206" s="18"/>
      <c r="ZI206" s="18"/>
      <c r="ZJ206" s="18"/>
      <c r="ZK206" s="18"/>
      <c r="ZL206" s="18"/>
      <c r="ZM206" s="18"/>
      <c r="ZN206" s="18"/>
      <c r="ZO206" s="18"/>
      <c r="ZP206" s="18"/>
      <c r="ZQ206" s="18"/>
      <c r="ZR206" s="18"/>
      <c r="ZS206" s="18"/>
      <c r="ZT206" s="18"/>
      <c r="ZU206" s="18"/>
      <c r="ZV206" s="18"/>
      <c r="ZW206" s="18"/>
      <c r="ZX206" s="18"/>
      <c r="ZY206" s="18"/>
      <c r="ZZ206" s="18"/>
      <c r="AAA206" s="18"/>
      <c r="AAB206" s="18"/>
      <c r="AAC206" s="18"/>
      <c r="AAD206" s="18"/>
      <c r="AAE206" s="18"/>
      <c r="AAF206" s="18"/>
      <c r="AAG206" s="18"/>
      <c r="AAH206" s="18"/>
      <c r="AAI206" s="18"/>
      <c r="AAJ206" s="18"/>
      <c r="AAK206" s="18"/>
      <c r="AAL206" s="18"/>
      <c r="AAM206" s="18"/>
      <c r="AAN206" s="18"/>
      <c r="AAO206" s="18"/>
      <c r="AAP206" s="18"/>
      <c r="AAQ206" s="18"/>
      <c r="AAR206" s="18"/>
      <c r="AAS206" s="18"/>
      <c r="AAT206" s="18"/>
      <c r="AAU206" s="18"/>
      <c r="AAV206" s="18"/>
      <c r="AAW206" s="18"/>
      <c r="AAX206" s="18"/>
      <c r="AAY206" s="18"/>
      <c r="AAZ206" s="18"/>
      <c r="ABA206" s="18"/>
      <c r="ABB206" s="18"/>
      <c r="ABC206" s="18"/>
      <c r="ABD206" s="18"/>
      <c r="ABE206" s="18"/>
      <c r="ABF206" s="18"/>
      <c r="ABG206" s="18"/>
      <c r="ABH206" s="18"/>
      <c r="ABI206" s="18"/>
      <c r="ABJ206" s="18"/>
      <c r="ABK206" s="18"/>
      <c r="ABL206" s="18"/>
      <c r="ABM206" s="18"/>
      <c r="ABN206" s="18"/>
      <c r="ABO206" s="18"/>
      <c r="ABP206" s="18"/>
      <c r="ABQ206" s="18"/>
      <c r="ABR206" s="18"/>
      <c r="ABS206" s="18"/>
      <c r="ABT206" s="18"/>
      <c r="ABU206" s="18"/>
      <c r="ABV206" s="18"/>
      <c r="ABW206" s="18"/>
      <c r="ABX206" s="18"/>
      <c r="ABY206" s="18"/>
      <c r="ABZ206" s="18"/>
      <c r="ACA206" s="18"/>
      <c r="ACB206" s="18"/>
      <c r="ACC206" s="18"/>
      <c r="ACD206" s="18"/>
      <c r="ACE206" s="18"/>
      <c r="ACF206" s="18"/>
      <c r="ACG206" s="18"/>
      <c r="ACH206" s="18"/>
      <c r="ACI206" s="18"/>
      <c r="ACJ206" s="18"/>
      <c r="ACK206" s="18"/>
      <c r="ACL206" s="18"/>
      <c r="ACM206" s="18"/>
      <c r="ACN206" s="18"/>
      <c r="ACO206" s="18"/>
      <c r="ACP206" s="18"/>
      <c r="ACQ206" s="18"/>
      <c r="ACR206" s="18"/>
      <c r="ACS206" s="18"/>
      <c r="ACT206" s="18"/>
      <c r="ACU206" s="18"/>
      <c r="ACV206" s="18"/>
      <c r="ACW206" s="18"/>
      <c r="ACX206" s="18"/>
      <c r="ACY206" s="18"/>
      <c r="ACZ206" s="18"/>
      <c r="ADA206" s="18"/>
      <c r="ADB206" s="18"/>
      <c r="ADC206" s="18"/>
      <c r="ADD206" s="18"/>
      <c r="ADE206" s="18"/>
      <c r="ADF206" s="18"/>
      <c r="ADG206" s="18"/>
      <c r="ADH206" s="18"/>
      <c r="ADI206" s="18"/>
      <c r="ADJ206" s="18"/>
      <c r="ADK206" s="18"/>
      <c r="ADL206" s="18"/>
      <c r="ADM206" s="18"/>
      <c r="ADN206" s="18"/>
      <c r="ADO206" s="18"/>
      <c r="ADP206" s="18"/>
      <c r="ADQ206" s="18"/>
      <c r="ADR206" s="18"/>
      <c r="ADS206" s="18"/>
      <c r="ADT206" s="18"/>
      <c r="ADU206" s="18"/>
      <c r="ADV206" s="18"/>
      <c r="ADW206" s="18"/>
      <c r="ADX206" s="18"/>
      <c r="ADY206" s="18"/>
      <c r="ADZ206" s="18"/>
      <c r="AEA206" s="18"/>
      <c r="AEB206" s="18"/>
      <c r="AEC206" s="18"/>
      <c r="AED206" s="18"/>
      <c r="AEE206" s="18"/>
      <c r="AEF206" s="18"/>
      <c r="AEG206" s="18"/>
      <c r="AEH206" s="18"/>
      <c r="AEI206" s="18"/>
      <c r="AEJ206" s="18"/>
      <c r="AEK206" s="18"/>
      <c r="AEL206" s="18"/>
      <c r="AEM206" s="18"/>
      <c r="AEN206" s="18"/>
      <c r="AEO206" s="18"/>
      <c r="AEP206" s="18"/>
      <c r="AEQ206" s="18"/>
      <c r="AER206" s="18"/>
      <c r="AES206" s="18"/>
      <c r="AET206" s="18"/>
      <c r="AEU206" s="18"/>
      <c r="AEV206" s="18"/>
      <c r="AEW206" s="18"/>
      <c r="AEX206" s="18"/>
      <c r="AEY206" s="18"/>
      <c r="AEZ206" s="18"/>
      <c r="AFA206" s="18"/>
      <c r="AFB206" s="18"/>
      <c r="AFC206" s="18"/>
      <c r="AFD206" s="18"/>
      <c r="AFE206" s="18"/>
      <c r="AFF206" s="18"/>
      <c r="AFG206" s="18"/>
      <c r="AFH206" s="18"/>
      <c r="AFI206" s="18"/>
      <c r="AFJ206" s="18"/>
      <c r="AFK206" s="18"/>
      <c r="AFL206" s="18"/>
      <c r="AFM206" s="18"/>
      <c r="AFN206" s="18"/>
      <c r="AFO206" s="18"/>
      <c r="AFP206" s="18"/>
      <c r="AFQ206" s="18"/>
      <c r="AFR206" s="18"/>
      <c r="AFS206" s="18"/>
      <c r="AFT206" s="18"/>
      <c r="AFU206" s="18"/>
      <c r="AFV206" s="18"/>
      <c r="AFW206" s="18"/>
      <c r="AFX206" s="18"/>
      <c r="AFY206" s="18"/>
      <c r="AFZ206" s="18"/>
      <c r="AGA206" s="18"/>
      <c r="AGB206" s="18"/>
      <c r="AGC206" s="18"/>
      <c r="AGD206" s="18"/>
      <c r="AGE206" s="18"/>
      <c r="AGF206" s="18"/>
      <c r="AGG206" s="18"/>
      <c r="AGH206" s="18"/>
      <c r="AGI206" s="18"/>
      <c r="AGJ206" s="18"/>
      <c r="AGK206" s="18"/>
      <c r="AGL206" s="18"/>
      <c r="AGM206" s="18"/>
      <c r="AGN206" s="18"/>
      <c r="AGO206" s="18"/>
      <c r="AGP206" s="18"/>
      <c r="AGQ206" s="18"/>
      <c r="AGR206" s="18"/>
      <c r="AGS206" s="18"/>
      <c r="AGT206" s="18"/>
      <c r="AGU206" s="18"/>
      <c r="AGV206" s="18"/>
      <c r="AGW206" s="18"/>
      <c r="AGX206" s="18"/>
      <c r="AGY206" s="18"/>
      <c r="AGZ206" s="18"/>
      <c r="AHA206" s="18"/>
      <c r="AHB206" s="18"/>
      <c r="AHC206" s="18"/>
      <c r="AHD206" s="18"/>
      <c r="AHE206" s="18"/>
      <c r="AHF206" s="18"/>
      <c r="AHG206" s="18"/>
      <c r="AHH206" s="18"/>
      <c r="AHI206" s="18"/>
      <c r="AHJ206" s="18"/>
      <c r="AHK206" s="18"/>
      <c r="AHL206" s="18"/>
      <c r="AHM206" s="18"/>
      <c r="AHN206" s="18"/>
      <c r="AHO206" s="18"/>
      <c r="AHP206" s="18"/>
      <c r="AHQ206" s="18"/>
      <c r="AHR206" s="18"/>
      <c r="AHS206" s="18"/>
      <c r="AHT206" s="18"/>
      <c r="AHU206" s="18"/>
      <c r="AHV206" s="18"/>
      <c r="AHW206" s="18"/>
      <c r="AHX206" s="18"/>
      <c r="AHY206" s="18"/>
      <c r="AHZ206" s="18"/>
      <c r="AIA206" s="18"/>
      <c r="AIB206" s="18"/>
      <c r="AIC206" s="18"/>
      <c r="AID206" s="18"/>
      <c r="AIE206" s="18"/>
      <c r="AIF206" s="18"/>
      <c r="AIG206" s="18"/>
      <c r="AIH206" s="18"/>
      <c r="AII206" s="18"/>
      <c r="AIJ206" s="18"/>
      <c r="AIK206" s="18"/>
      <c r="AIL206" s="18"/>
      <c r="AIM206" s="18"/>
      <c r="AIN206" s="18"/>
      <c r="AIO206" s="18"/>
      <c r="AIP206" s="18"/>
      <c r="AIQ206" s="18"/>
      <c r="AIR206" s="18"/>
      <c r="AIS206" s="18"/>
      <c r="AIT206" s="18"/>
      <c r="AIU206" s="18"/>
      <c r="AIV206" s="18"/>
      <c r="AIW206" s="18"/>
      <c r="AIX206" s="18"/>
      <c r="AIY206" s="18"/>
      <c r="AIZ206" s="18"/>
      <c r="AJA206" s="18"/>
      <c r="AJB206" s="18"/>
      <c r="AJC206" s="18"/>
      <c r="AJD206" s="18"/>
      <c r="AJE206" s="18"/>
      <c r="AJF206" s="18"/>
      <c r="AJG206" s="18"/>
      <c r="AJH206" s="18"/>
      <c r="AJI206" s="18"/>
      <c r="AJJ206" s="18"/>
      <c r="AJK206" s="18"/>
      <c r="AJL206" s="18"/>
      <c r="AJM206" s="18"/>
      <c r="AJN206" s="18"/>
      <c r="AJO206" s="18"/>
      <c r="AJP206" s="18"/>
      <c r="AJQ206" s="18"/>
      <c r="AJR206" s="18"/>
      <c r="AJS206" s="18"/>
      <c r="AJT206" s="18"/>
      <c r="AJU206" s="18"/>
      <c r="AJV206" s="18"/>
      <c r="AJW206" s="18"/>
      <c r="AJX206" s="18"/>
      <c r="AJY206" s="18"/>
      <c r="AJZ206" s="18"/>
      <c r="AKA206" s="18"/>
      <c r="AKB206" s="18"/>
      <c r="AKC206" s="18"/>
      <c r="AKD206" s="18"/>
      <c r="AKE206" s="18"/>
      <c r="AKF206" s="18"/>
      <c r="AKG206" s="18"/>
      <c r="AKH206" s="18"/>
      <c r="AKI206" s="18"/>
      <c r="AKJ206" s="18"/>
      <c r="AKK206" s="18"/>
      <c r="AKL206" s="18"/>
      <c r="AKM206" s="18"/>
      <c r="AKN206" s="18"/>
      <c r="AKO206" s="18"/>
      <c r="AKP206" s="18"/>
      <c r="AKQ206" s="18"/>
      <c r="AKR206" s="18"/>
      <c r="AKS206" s="18"/>
      <c r="AKT206" s="18"/>
      <c r="AKU206" s="18"/>
      <c r="AKV206" s="18"/>
      <c r="AKW206" s="18"/>
      <c r="AKX206" s="18"/>
      <c r="AKY206" s="18"/>
      <c r="AKZ206" s="18"/>
      <c r="ALA206" s="18"/>
      <c r="ALB206" s="18"/>
      <c r="ALC206" s="18"/>
      <c r="ALD206" s="18"/>
      <c r="ALE206" s="18"/>
      <c r="ALF206" s="18"/>
      <c r="ALG206" s="18"/>
      <c r="ALH206" s="18"/>
      <c r="ALI206" s="18"/>
      <c r="ALJ206" s="18"/>
      <c r="ALK206" s="18"/>
      <c r="ALL206" s="18"/>
      <c r="ALM206" s="18"/>
      <c r="ALN206" s="18"/>
      <c r="ALO206" s="18"/>
      <c r="ALP206" s="18"/>
      <c r="ALQ206" s="18"/>
      <c r="ALR206" s="18"/>
      <c r="ALS206" s="18"/>
      <c r="ALT206" s="18"/>
      <c r="ALU206" s="18"/>
      <c r="ALV206" s="18"/>
      <c r="ALW206" s="18"/>
      <c r="ALX206" s="18"/>
      <c r="ALY206" s="18"/>
      <c r="ALZ206" s="18"/>
      <c r="AMA206" s="18"/>
      <c r="AMB206" s="18"/>
      <c r="AMC206" s="18"/>
      <c r="AMD206" s="18"/>
      <c r="AME206" s="18"/>
      <c r="AMF206" s="18"/>
      <c r="AMG206" s="18"/>
      <c r="AMH206" s="18"/>
      <c r="AMI206" s="18"/>
      <c r="AMJ206" s="18"/>
      <c r="AMK206" s="18"/>
      <c r="AML206" s="18"/>
    </row>
    <row r="207" spans="1:1027" x14ac:dyDescent="0.2">
      <c r="A207" s="18" t="s">
        <v>504</v>
      </c>
      <c r="B207" s="18" t="s">
        <v>779</v>
      </c>
      <c r="C207" s="18"/>
      <c r="D207" s="18">
        <v>114</v>
      </c>
      <c r="E207" s="19" t="s">
        <v>506</v>
      </c>
      <c r="F207" s="19" t="s">
        <v>507</v>
      </c>
      <c r="G207" s="20" t="s">
        <v>540</v>
      </c>
      <c r="H207" s="19" t="s">
        <v>507</v>
      </c>
      <c r="I207" s="19" t="s">
        <v>507</v>
      </c>
      <c r="J207" s="19" t="s">
        <v>507</v>
      </c>
      <c r="K207" s="21" t="s">
        <v>509</v>
      </c>
      <c r="L207" s="18"/>
      <c r="M207" s="1" t="s">
        <v>510</v>
      </c>
      <c r="O207" s="18"/>
      <c r="P207" s="18"/>
      <c r="Q207" s="18"/>
      <c r="R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c r="DY207" s="18"/>
      <c r="DZ207" s="18"/>
      <c r="EA207" s="18"/>
      <c r="EB207" s="18"/>
      <c r="EC207" s="18"/>
      <c r="ED207" s="18"/>
      <c r="EE207" s="18"/>
      <c r="EF207" s="18"/>
      <c r="EG207" s="18"/>
      <c r="EH207" s="18"/>
      <c r="EI207" s="18"/>
      <c r="EJ207" s="18"/>
      <c r="EK207" s="18"/>
      <c r="EL207" s="18"/>
      <c r="EM207" s="18"/>
      <c r="EN207" s="18"/>
      <c r="EO207" s="18"/>
      <c r="EP207" s="18"/>
      <c r="EQ207" s="18"/>
      <c r="ER207" s="18"/>
      <c r="ES207" s="18"/>
      <c r="ET207" s="18"/>
      <c r="EU207" s="18"/>
      <c r="EV207" s="18"/>
      <c r="EW207" s="18"/>
      <c r="EX207" s="18"/>
      <c r="EY207" s="18"/>
      <c r="EZ207" s="18"/>
      <c r="FA207" s="18"/>
      <c r="FB207" s="18"/>
      <c r="FC207" s="18"/>
      <c r="FD207" s="18"/>
      <c r="FE207" s="18"/>
      <c r="FF207" s="18"/>
      <c r="FG207" s="18"/>
      <c r="FH207" s="18"/>
      <c r="FI207" s="18"/>
      <c r="FJ207" s="18"/>
      <c r="FK207" s="18"/>
      <c r="FL207" s="18"/>
      <c r="FM207" s="18"/>
      <c r="FN207" s="18"/>
      <c r="FO207" s="18"/>
      <c r="FP207" s="18"/>
      <c r="FQ207" s="18"/>
      <c r="FR207" s="18"/>
      <c r="FS207" s="18"/>
      <c r="FT207" s="18"/>
      <c r="FU207" s="18"/>
      <c r="FV207" s="18"/>
      <c r="FW207" s="18"/>
      <c r="FX207" s="18"/>
      <c r="FY207" s="18"/>
      <c r="FZ207" s="18"/>
      <c r="GA207" s="18"/>
      <c r="GB207" s="18"/>
      <c r="GC207" s="18"/>
      <c r="GD207" s="18"/>
      <c r="GE207" s="18"/>
      <c r="GF207" s="18"/>
      <c r="GG207" s="18"/>
      <c r="GH207" s="18"/>
      <c r="GI207" s="18"/>
      <c r="GJ207" s="18"/>
      <c r="GK207" s="18"/>
      <c r="GL207" s="18"/>
      <c r="GM207" s="18"/>
      <c r="GN207" s="18"/>
      <c r="GO207" s="18"/>
      <c r="GP207" s="18"/>
      <c r="GQ207" s="18"/>
      <c r="GR207" s="18"/>
      <c r="GS207" s="18"/>
      <c r="GT207" s="18"/>
      <c r="GU207" s="18"/>
      <c r="GV207" s="18"/>
      <c r="GW207" s="18"/>
      <c r="GX207" s="18"/>
      <c r="GY207" s="18"/>
      <c r="GZ207" s="18"/>
      <c r="HA207" s="18"/>
      <c r="HB207" s="18"/>
      <c r="HC207" s="18"/>
      <c r="HD207" s="18"/>
      <c r="HE207" s="18"/>
      <c r="HF207" s="18"/>
      <c r="HG207" s="18"/>
      <c r="HH207" s="18"/>
      <c r="HI207" s="18"/>
      <c r="HJ207" s="18"/>
      <c r="HK207" s="18"/>
      <c r="HL207" s="18"/>
      <c r="HM207" s="18"/>
      <c r="HN207" s="18"/>
      <c r="HO207" s="18"/>
      <c r="HP207" s="18"/>
      <c r="HQ207" s="18"/>
      <c r="HR207" s="18"/>
      <c r="HS207" s="18"/>
      <c r="HT207" s="18"/>
      <c r="HU207" s="18"/>
      <c r="HV207" s="18"/>
      <c r="HW207" s="18"/>
      <c r="HX207" s="18"/>
      <c r="HY207" s="18"/>
      <c r="HZ207" s="18"/>
      <c r="IA207" s="18"/>
      <c r="IB207" s="18"/>
      <c r="IC207" s="18"/>
      <c r="ID207" s="18"/>
      <c r="IE207" s="18"/>
      <c r="IF207" s="18"/>
      <c r="IG207" s="18"/>
      <c r="IH207" s="18"/>
      <c r="II207" s="18"/>
      <c r="IJ207" s="18"/>
      <c r="IK207" s="18"/>
      <c r="IL207" s="18"/>
      <c r="IM207" s="18"/>
      <c r="IN207" s="18"/>
      <c r="IO207" s="18"/>
      <c r="IP207" s="18"/>
      <c r="IQ207" s="18"/>
      <c r="IR207" s="18"/>
      <c r="IS207" s="18"/>
      <c r="IT207" s="18"/>
      <c r="IU207" s="18"/>
      <c r="IV207" s="18"/>
      <c r="IW207" s="18"/>
      <c r="IX207" s="18"/>
      <c r="IY207" s="18"/>
      <c r="IZ207" s="18"/>
      <c r="JA207" s="18"/>
      <c r="JB207" s="18"/>
      <c r="JC207" s="18"/>
      <c r="JD207" s="18"/>
      <c r="JE207" s="18"/>
      <c r="JF207" s="18"/>
      <c r="JG207" s="18"/>
      <c r="JH207" s="18"/>
      <c r="JI207" s="18"/>
      <c r="JJ207" s="18"/>
      <c r="JK207" s="18"/>
      <c r="JL207" s="18"/>
      <c r="JM207" s="18"/>
      <c r="JN207" s="18"/>
      <c r="JO207" s="18"/>
      <c r="JP207" s="18"/>
      <c r="JQ207" s="18"/>
      <c r="JR207" s="18"/>
      <c r="JS207" s="18"/>
      <c r="JT207" s="18"/>
      <c r="JU207" s="18"/>
      <c r="JV207" s="18"/>
      <c r="JW207" s="18"/>
      <c r="JX207" s="18"/>
      <c r="JY207" s="18"/>
      <c r="JZ207" s="18"/>
      <c r="KA207" s="18"/>
      <c r="KB207" s="18"/>
      <c r="KC207" s="18"/>
      <c r="KD207" s="18"/>
      <c r="KE207" s="18"/>
      <c r="KF207" s="18"/>
      <c r="KG207" s="18"/>
      <c r="KH207" s="18"/>
      <c r="KI207" s="18"/>
      <c r="KJ207" s="18"/>
      <c r="KK207" s="18"/>
      <c r="KL207" s="18"/>
      <c r="KM207" s="18"/>
      <c r="KN207" s="18"/>
      <c r="KO207" s="18"/>
      <c r="KP207" s="18"/>
      <c r="KQ207" s="18"/>
      <c r="KR207" s="18"/>
      <c r="KS207" s="18"/>
      <c r="KT207" s="18"/>
      <c r="KU207" s="18"/>
      <c r="KV207" s="18"/>
      <c r="KW207" s="18"/>
      <c r="KX207" s="18"/>
      <c r="KY207" s="18"/>
      <c r="KZ207" s="18"/>
      <c r="LA207" s="18"/>
      <c r="LB207" s="18"/>
      <c r="LC207" s="18"/>
      <c r="LD207" s="18"/>
      <c r="LE207" s="18"/>
      <c r="LF207" s="18"/>
      <c r="LG207" s="18"/>
      <c r="LH207" s="18"/>
      <c r="LI207" s="18"/>
      <c r="LJ207" s="18"/>
      <c r="LK207" s="18"/>
      <c r="LL207" s="18"/>
      <c r="LM207" s="18"/>
      <c r="LN207" s="18"/>
      <c r="LO207" s="18"/>
      <c r="LP207" s="18"/>
      <c r="LQ207" s="18"/>
      <c r="LR207" s="18"/>
      <c r="LS207" s="18"/>
      <c r="LT207" s="18"/>
      <c r="LU207" s="18"/>
      <c r="LV207" s="18"/>
      <c r="LW207" s="18"/>
      <c r="LX207" s="18"/>
      <c r="LY207" s="18"/>
      <c r="LZ207" s="18"/>
      <c r="MA207" s="18"/>
      <c r="MB207" s="18"/>
      <c r="MC207" s="18"/>
      <c r="MD207" s="18"/>
      <c r="ME207" s="18"/>
      <c r="MF207" s="18"/>
      <c r="MG207" s="18"/>
      <c r="MH207" s="18"/>
      <c r="MI207" s="18"/>
      <c r="MJ207" s="18"/>
      <c r="MK207" s="18"/>
      <c r="ML207" s="18"/>
      <c r="MM207" s="18"/>
      <c r="MN207" s="18"/>
      <c r="MO207" s="18"/>
      <c r="MP207" s="18"/>
      <c r="MQ207" s="18"/>
      <c r="MR207" s="18"/>
      <c r="MS207" s="18"/>
      <c r="MT207" s="18"/>
      <c r="MU207" s="18"/>
      <c r="MV207" s="18"/>
      <c r="MW207" s="18"/>
      <c r="MX207" s="18"/>
      <c r="MY207" s="18"/>
      <c r="MZ207" s="18"/>
      <c r="NA207" s="18"/>
      <c r="NB207" s="18"/>
      <c r="NC207" s="18"/>
      <c r="ND207" s="18"/>
      <c r="NE207" s="18"/>
      <c r="NF207" s="18"/>
      <c r="NG207" s="18"/>
      <c r="NH207" s="18"/>
      <c r="NI207" s="18"/>
      <c r="NJ207" s="18"/>
      <c r="NK207" s="18"/>
      <c r="NL207" s="18"/>
      <c r="NM207" s="18"/>
      <c r="NN207" s="18"/>
      <c r="NO207" s="18"/>
      <c r="NP207" s="18"/>
      <c r="NQ207" s="18"/>
      <c r="NR207" s="18"/>
      <c r="NS207" s="18"/>
      <c r="NT207" s="18"/>
      <c r="NU207" s="18"/>
      <c r="NV207" s="18"/>
      <c r="NW207" s="18"/>
      <c r="NX207" s="18"/>
      <c r="NY207" s="18"/>
      <c r="NZ207" s="18"/>
      <c r="OA207" s="18"/>
      <c r="OB207" s="18"/>
      <c r="OC207" s="18"/>
      <c r="OD207" s="18"/>
      <c r="OE207" s="18"/>
      <c r="OF207" s="18"/>
      <c r="OG207" s="18"/>
      <c r="OH207" s="18"/>
      <c r="OI207" s="18"/>
      <c r="OJ207" s="18"/>
      <c r="OK207" s="18"/>
      <c r="OL207" s="18"/>
      <c r="OM207" s="18"/>
      <c r="ON207" s="18"/>
      <c r="OO207" s="18"/>
      <c r="OP207" s="18"/>
      <c r="OQ207" s="18"/>
      <c r="OR207" s="18"/>
      <c r="OS207" s="18"/>
      <c r="OT207" s="18"/>
      <c r="OU207" s="18"/>
      <c r="OV207" s="18"/>
      <c r="OW207" s="18"/>
      <c r="OX207" s="18"/>
      <c r="OY207" s="18"/>
      <c r="OZ207" s="18"/>
      <c r="PA207" s="18"/>
      <c r="PB207" s="18"/>
      <c r="PC207" s="18"/>
      <c r="PD207" s="18"/>
      <c r="PE207" s="18"/>
      <c r="PF207" s="18"/>
      <c r="PG207" s="18"/>
      <c r="PH207" s="18"/>
      <c r="PI207" s="18"/>
      <c r="PJ207" s="18"/>
      <c r="PK207" s="18"/>
      <c r="PL207" s="18"/>
      <c r="PM207" s="18"/>
      <c r="PN207" s="18"/>
      <c r="PO207" s="18"/>
      <c r="PP207" s="18"/>
      <c r="PQ207" s="18"/>
      <c r="PR207" s="18"/>
      <c r="PS207" s="18"/>
      <c r="PT207" s="18"/>
      <c r="PU207" s="18"/>
      <c r="PV207" s="18"/>
      <c r="PW207" s="18"/>
      <c r="PX207" s="18"/>
      <c r="PY207" s="18"/>
      <c r="PZ207" s="18"/>
      <c r="QA207" s="18"/>
      <c r="QB207" s="18"/>
      <c r="QC207" s="18"/>
      <c r="QD207" s="18"/>
      <c r="QE207" s="18"/>
      <c r="QF207" s="18"/>
      <c r="QG207" s="18"/>
      <c r="QH207" s="18"/>
      <c r="QI207" s="18"/>
      <c r="QJ207" s="18"/>
      <c r="QK207" s="18"/>
      <c r="QL207" s="18"/>
      <c r="QM207" s="18"/>
      <c r="QN207" s="18"/>
      <c r="QO207" s="18"/>
      <c r="QP207" s="18"/>
      <c r="QQ207" s="18"/>
      <c r="QR207" s="18"/>
      <c r="QS207" s="18"/>
      <c r="QT207" s="18"/>
      <c r="QU207" s="18"/>
      <c r="QV207" s="18"/>
      <c r="QW207" s="18"/>
      <c r="QX207" s="18"/>
      <c r="QY207" s="18"/>
      <c r="QZ207" s="18"/>
      <c r="RA207" s="18"/>
      <c r="RB207" s="18"/>
      <c r="RC207" s="18"/>
      <c r="RD207" s="18"/>
      <c r="RE207" s="18"/>
      <c r="RF207" s="18"/>
      <c r="RG207" s="18"/>
      <c r="RH207" s="18"/>
      <c r="RI207" s="18"/>
      <c r="RJ207" s="18"/>
      <c r="RK207" s="18"/>
      <c r="RL207" s="18"/>
      <c r="RM207" s="18"/>
      <c r="RN207" s="18"/>
      <c r="RO207" s="18"/>
      <c r="RP207" s="18"/>
      <c r="RQ207" s="18"/>
      <c r="RR207" s="18"/>
      <c r="RS207" s="18"/>
      <c r="RT207" s="18"/>
      <c r="RU207" s="18"/>
      <c r="RV207" s="18"/>
      <c r="RW207" s="18"/>
      <c r="RX207" s="18"/>
      <c r="RY207" s="18"/>
      <c r="RZ207" s="18"/>
      <c r="SA207" s="18"/>
      <c r="SB207" s="18"/>
      <c r="SC207" s="18"/>
      <c r="SD207" s="18"/>
      <c r="SE207" s="18"/>
      <c r="SF207" s="18"/>
      <c r="SG207" s="18"/>
      <c r="SH207" s="18"/>
      <c r="SI207" s="18"/>
      <c r="SJ207" s="18"/>
      <c r="SK207" s="18"/>
      <c r="SL207" s="18"/>
      <c r="SM207" s="18"/>
      <c r="SN207" s="18"/>
      <c r="SO207" s="18"/>
      <c r="SP207" s="18"/>
      <c r="SQ207" s="18"/>
      <c r="SR207" s="18"/>
      <c r="SS207" s="18"/>
      <c r="ST207" s="18"/>
      <c r="SU207" s="18"/>
      <c r="SV207" s="18"/>
      <c r="SW207" s="18"/>
      <c r="SX207" s="18"/>
      <c r="SY207" s="18"/>
      <c r="SZ207" s="18"/>
      <c r="TA207" s="18"/>
      <c r="TB207" s="18"/>
      <c r="TC207" s="18"/>
      <c r="TD207" s="18"/>
      <c r="TE207" s="18"/>
      <c r="TF207" s="18"/>
      <c r="TG207" s="18"/>
      <c r="TH207" s="18"/>
      <c r="TI207" s="18"/>
      <c r="TJ207" s="18"/>
      <c r="TK207" s="18"/>
      <c r="TL207" s="18"/>
      <c r="TM207" s="18"/>
      <c r="TN207" s="18"/>
      <c r="TO207" s="18"/>
      <c r="TP207" s="18"/>
      <c r="TQ207" s="18"/>
      <c r="TR207" s="18"/>
      <c r="TS207" s="18"/>
      <c r="TT207" s="18"/>
      <c r="TU207" s="18"/>
      <c r="TV207" s="18"/>
      <c r="TW207" s="18"/>
      <c r="TX207" s="18"/>
      <c r="TY207" s="18"/>
      <c r="TZ207" s="18"/>
      <c r="UA207" s="18"/>
      <c r="UB207" s="18"/>
      <c r="UC207" s="18"/>
      <c r="UD207" s="18"/>
      <c r="UE207" s="18"/>
      <c r="UF207" s="18"/>
      <c r="UG207" s="18"/>
      <c r="UH207" s="18"/>
      <c r="UI207" s="18"/>
      <c r="UJ207" s="18"/>
      <c r="UK207" s="18"/>
      <c r="UL207" s="18"/>
      <c r="UM207" s="18"/>
      <c r="UN207" s="18"/>
      <c r="UO207" s="18"/>
      <c r="UP207" s="18"/>
      <c r="UQ207" s="18"/>
      <c r="UR207" s="18"/>
      <c r="US207" s="18"/>
      <c r="UT207" s="18"/>
      <c r="UU207" s="18"/>
      <c r="UV207" s="18"/>
      <c r="UW207" s="18"/>
      <c r="UX207" s="18"/>
      <c r="UY207" s="18"/>
      <c r="UZ207" s="18"/>
      <c r="VA207" s="18"/>
      <c r="VB207" s="18"/>
      <c r="VC207" s="18"/>
      <c r="VD207" s="18"/>
      <c r="VE207" s="18"/>
      <c r="VF207" s="18"/>
      <c r="VG207" s="18"/>
      <c r="VH207" s="18"/>
      <c r="VI207" s="18"/>
      <c r="VJ207" s="18"/>
      <c r="VK207" s="18"/>
      <c r="VL207" s="18"/>
      <c r="VM207" s="18"/>
      <c r="VN207" s="18"/>
      <c r="VO207" s="18"/>
      <c r="VP207" s="18"/>
      <c r="VQ207" s="18"/>
      <c r="VR207" s="18"/>
      <c r="VS207" s="18"/>
      <c r="VT207" s="18"/>
      <c r="VU207" s="18"/>
      <c r="VV207" s="18"/>
      <c r="VW207" s="18"/>
      <c r="VX207" s="18"/>
      <c r="VY207" s="18"/>
      <c r="VZ207" s="18"/>
      <c r="WA207" s="18"/>
      <c r="WB207" s="18"/>
      <c r="WC207" s="18"/>
      <c r="WD207" s="18"/>
      <c r="WE207" s="18"/>
      <c r="WF207" s="18"/>
      <c r="WG207" s="18"/>
      <c r="WH207" s="18"/>
      <c r="WI207" s="18"/>
      <c r="WJ207" s="18"/>
      <c r="WK207" s="18"/>
      <c r="WL207" s="18"/>
      <c r="WM207" s="18"/>
      <c r="WN207" s="18"/>
      <c r="WO207" s="18"/>
      <c r="WP207" s="18"/>
      <c r="WQ207" s="18"/>
      <c r="WR207" s="18"/>
      <c r="WS207" s="18"/>
      <c r="WT207" s="18"/>
      <c r="WU207" s="18"/>
      <c r="WV207" s="18"/>
      <c r="WW207" s="18"/>
      <c r="WX207" s="18"/>
      <c r="WY207" s="18"/>
      <c r="WZ207" s="18"/>
      <c r="XA207" s="18"/>
      <c r="XB207" s="18"/>
      <c r="XC207" s="18"/>
      <c r="XD207" s="18"/>
      <c r="XE207" s="18"/>
      <c r="XF207" s="18"/>
      <c r="XG207" s="18"/>
      <c r="XH207" s="18"/>
      <c r="XI207" s="18"/>
      <c r="XJ207" s="18"/>
      <c r="XK207" s="18"/>
      <c r="XL207" s="18"/>
      <c r="XM207" s="18"/>
      <c r="XN207" s="18"/>
      <c r="XO207" s="18"/>
      <c r="XP207" s="18"/>
      <c r="XQ207" s="18"/>
      <c r="XR207" s="18"/>
      <c r="XS207" s="18"/>
      <c r="XT207" s="18"/>
      <c r="XU207" s="18"/>
      <c r="XV207" s="18"/>
      <c r="XW207" s="18"/>
      <c r="XX207" s="18"/>
      <c r="XY207" s="18"/>
      <c r="XZ207" s="18"/>
      <c r="YA207" s="18"/>
      <c r="YB207" s="18"/>
      <c r="YC207" s="18"/>
      <c r="YD207" s="18"/>
      <c r="YE207" s="18"/>
      <c r="YF207" s="18"/>
      <c r="YG207" s="18"/>
      <c r="YH207" s="18"/>
      <c r="YI207" s="18"/>
      <c r="YJ207" s="18"/>
      <c r="YK207" s="18"/>
      <c r="YL207" s="18"/>
      <c r="YM207" s="18"/>
      <c r="YN207" s="18"/>
      <c r="YO207" s="18"/>
      <c r="YP207" s="18"/>
      <c r="YQ207" s="18"/>
      <c r="YR207" s="18"/>
      <c r="YS207" s="18"/>
      <c r="YT207" s="18"/>
      <c r="YU207" s="18"/>
      <c r="YV207" s="18"/>
      <c r="YW207" s="18"/>
      <c r="YX207" s="18"/>
      <c r="YY207" s="18"/>
      <c r="YZ207" s="18"/>
      <c r="ZA207" s="18"/>
      <c r="ZB207" s="18"/>
      <c r="ZC207" s="18"/>
      <c r="ZD207" s="18"/>
      <c r="ZE207" s="18"/>
      <c r="ZF207" s="18"/>
      <c r="ZG207" s="18"/>
      <c r="ZH207" s="18"/>
      <c r="ZI207" s="18"/>
      <c r="ZJ207" s="18"/>
      <c r="ZK207" s="18"/>
      <c r="ZL207" s="18"/>
      <c r="ZM207" s="18"/>
      <c r="ZN207" s="18"/>
      <c r="ZO207" s="18"/>
      <c r="ZP207" s="18"/>
      <c r="ZQ207" s="18"/>
      <c r="ZR207" s="18"/>
      <c r="ZS207" s="18"/>
      <c r="ZT207" s="18"/>
      <c r="ZU207" s="18"/>
      <c r="ZV207" s="18"/>
      <c r="ZW207" s="18"/>
      <c r="ZX207" s="18"/>
      <c r="ZY207" s="18"/>
      <c r="ZZ207" s="18"/>
      <c r="AAA207" s="18"/>
      <c r="AAB207" s="18"/>
      <c r="AAC207" s="18"/>
      <c r="AAD207" s="18"/>
      <c r="AAE207" s="18"/>
      <c r="AAF207" s="18"/>
      <c r="AAG207" s="18"/>
      <c r="AAH207" s="18"/>
      <c r="AAI207" s="18"/>
      <c r="AAJ207" s="18"/>
      <c r="AAK207" s="18"/>
      <c r="AAL207" s="18"/>
      <c r="AAM207" s="18"/>
      <c r="AAN207" s="18"/>
      <c r="AAO207" s="18"/>
      <c r="AAP207" s="18"/>
      <c r="AAQ207" s="18"/>
      <c r="AAR207" s="18"/>
      <c r="AAS207" s="18"/>
      <c r="AAT207" s="18"/>
      <c r="AAU207" s="18"/>
      <c r="AAV207" s="18"/>
      <c r="AAW207" s="18"/>
      <c r="AAX207" s="18"/>
      <c r="AAY207" s="18"/>
      <c r="AAZ207" s="18"/>
      <c r="ABA207" s="18"/>
      <c r="ABB207" s="18"/>
      <c r="ABC207" s="18"/>
      <c r="ABD207" s="18"/>
      <c r="ABE207" s="18"/>
      <c r="ABF207" s="18"/>
      <c r="ABG207" s="18"/>
      <c r="ABH207" s="18"/>
      <c r="ABI207" s="18"/>
      <c r="ABJ207" s="18"/>
      <c r="ABK207" s="18"/>
      <c r="ABL207" s="18"/>
      <c r="ABM207" s="18"/>
      <c r="ABN207" s="18"/>
      <c r="ABO207" s="18"/>
      <c r="ABP207" s="18"/>
      <c r="ABQ207" s="18"/>
      <c r="ABR207" s="18"/>
      <c r="ABS207" s="18"/>
      <c r="ABT207" s="18"/>
      <c r="ABU207" s="18"/>
      <c r="ABV207" s="18"/>
      <c r="ABW207" s="18"/>
      <c r="ABX207" s="18"/>
      <c r="ABY207" s="18"/>
      <c r="ABZ207" s="18"/>
      <c r="ACA207" s="18"/>
      <c r="ACB207" s="18"/>
      <c r="ACC207" s="18"/>
      <c r="ACD207" s="18"/>
      <c r="ACE207" s="18"/>
      <c r="ACF207" s="18"/>
      <c r="ACG207" s="18"/>
      <c r="ACH207" s="18"/>
      <c r="ACI207" s="18"/>
      <c r="ACJ207" s="18"/>
      <c r="ACK207" s="18"/>
      <c r="ACL207" s="18"/>
      <c r="ACM207" s="18"/>
      <c r="ACN207" s="18"/>
      <c r="ACO207" s="18"/>
      <c r="ACP207" s="18"/>
      <c r="ACQ207" s="18"/>
      <c r="ACR207" s="18"/>
      <c r="ACS207" s="18"/>
      <c r="ACT207" s="18"/>
      <c r="ACU207" s="18"/>
      <c r="ACV207" s="18"/>
      <c r="ACW207" s="18"/>
      <c r="ACX207" s="18"/>
      <c r="ACY207" s="18"/>
      <c r="ACZ207" s="18"/>
      <c r="ADA207" s="18"/>
      <c r="ADB207" s="18"/>
      <c r="ADC207" s="18"/>
      <c r="ADD207" s="18"/>
      <c r="ADE207" s="18"/>
      <c r="ADF207" s="18"/>
      <c r="ADG207" s="18"/>
      <c r="ADH207" s="18"/>
      <c r="ADI207" s="18"/>
      <c r="ADJ207" s="18"/>
      <c r="ADK207" s="18"/>
      <c r="ADL207" s="18"/>
      <c r="ADM207" s="18"/>
      <c r="ADN207" s="18"/>
      <c r="ADO207" s="18"/>
      <c r="ADP207" s="18"/>
      <c r="ADQ207" s="18"/>
      <c r="ADR207" s="18"/>
      <c r="ADS207" s="18"/>
      <c r="ADT207" s="18"/>
      <c r="ADU207" s="18"/>
      <c r="ADV207" s="18"/>
      <c r="ADW207" s="18"/>
      <c r="ADX207" s="18"/>
      <c r="ADY207" s="18"/>
      <c r="ADZ207" s="18"/>
      <c r="AEA207" s="18"/>
      <c r="AEB207" s="18"/>
      <c r="AEC207" s="18"/>
      <c r="AED207" s="18"/>
      <c r="AEE207" s="18"/>
      <c r="AEF207" s="18"/>
      <c r="AEG207" s="18"/>
      <c r="AEH207" s="18"/>
      <c r="AEI207" s="18"/>
      <c r="AEJ207" s="18"/>
      <c r="AEK207" s="18"/>
      <c r="AEL207" s="18"/>
      <c r="AEM207" s="18"/>
      <c r="AEN207" s="18"/>
      <c r="AEO207" s="18"/>
      <c r="AEP207" s="18"/>
      <c r="AEQ207" s="18"/>
      <c r="AER207" s="18"/>
      <c r="AES207" s="18"/>
      <c r="AET207" s="18"/>
      <c r="AEU207" s="18"/>
      <c r="AEV207" s="18"/>
      <c r="AEW207" s="18"/>
      <c r="AEX207" s="18"/>
      <c r="AEY207" s="18"/>
      <c r="AEZ207" s="18"/>
      <c r="AFA207" s="18"/>
      <c r="AFB207" s="18"/>
      <c r="AFC207" s="18"/>
      <c r="AFD207" s="18"/>
      <c r="AFE207" s="18"/>
      <c r="AFF207" s="18"/>
      <c r="AFG207" s="18"/>
      <c r="AFH207" s="18"/>
      <c r="AFI207" s="18"/>
      <c r="AFJ207" s="18"/>
      <c r="AFK207" s="18"/>
      <c r="AFL207" s="18"/>
      <c r="AFM207" s="18"/>
      <c r="AFN207" s="18"/>
      <c r="AFO207" s="18"/>
      <c r="AFP207" s="18"/>
      <c r="AFQ207" s="18"/>
      <c r="AFR207" s="18"/>
      <c r="AFS207" s="18"/>
      <c r="AFT207" s="18"/>
      <c r="AFU207" s="18"/>
      <c r="AFV207" s="18"/>
      <c r="AFW207" s="18"/>
      <c r="AFX207" s="18"/>
      <c r="AFY207" s="18"/>
      <c r="AFZ207" s="18"/>
      <c r="AGA207" s="18"/>
      <c r="AGB207" s="18"/>
      <c r="AGC207" s="18"/>
      <c r="AGD207" s="18"/>
      <c r="AGE207" s="18"/>
      <c r="AGF207" s="18"/>
      <c r="AGG207" s="18"/>
      <c r="AGH207" s="18"/>
      <c r="AGI207" s="18"/>
      <c r="AGJ207" s="18"/>
      <c r="AGK207" s="18"/>
      <c r="AGL207" s="18"/>
      <c r="AGM207" s="18"/>
      <c r="AGN207" s="18"/>
      <c r="AGO207" s="18"/>
      <c r="AGP207" s="18"/>
      <c r="AGQ207" s="18"/>
      <c r="AGR207" s="18"/>
      <c r="AGS207" s="18"/>
      <c r="AGT207" s="18"/>
      <c r="AGU207" s="18"/>
      <c r="AGV207" s="18"/>
      <c r="AGW207" s="18"/>
      <c r="AGX207" s="18"/>
      <c r="AGY207" s="18"/>
      <c r="AGZ207" s="18"/>
      <c r="AHA207" s="18"/>
      <c r="AHB207" s="18"/>
      <c r="AHC207" s="18"/>
      <c r="AHD207" s="18"/>
      <c r="AHE207" s="18"/>
      <c r="AHF207" s="18"/>
      <c r="AHG207" s="18"/>
      <c r="AHH207" s="18"/>
      <c r="AHI207" s="18"/>
      <c r="AHJ207" s="18"/>
      <c r="AHK207" s="18"/>
      <c r="AHL207" s="18"/>
      <c r="AHM207" s="18"/>
      <c r="AHN207" s="18"/>
      <c r="AHO207" s="18"/>
      <c r="AHP207" s="18"/>
      <c r="AHQ207" s="18"/>
      <c r="AHR207" s="18"/>
      <c r="AHS207" s="18"/>
      <c r="AHT207" s="18"/>
      <c r="AHU207" s="18"/>
      <c r="AHV207" s="18"/>
      <c r="AHW207" s="18"/>
      <c r="AHX207" s="18"/>
      <c r="AHY207" s="18"/>
      <c r="AHZ207" s="18"/>
      <c r="AIA207" s="18"/>
      <c r="AIB207" s="18"/>
      <c r="AIC207" s="18"/>
      <c r="AID207" s="18"/>
      <c r="AIE207" s="18"/>
      <c r="AIF207" s="18"/>
      <c r="AIG207" s="18"/>
      <c r="AIH207" s="18"/>
      <c r="AII207" s="18"/>
      <c r="AIJ207" s="18"/>
      <c r="AIK207" s="18"/>
      <c r="AIL207" s="18"/>
      <c r="AIM207" s="18"/>
      <c r="AIN207" s="18"/>
      <c r="AIO207" s="18"/>
      <c r="AIP207" s="18"/>
      <c r="AIQ207" s="18"/>
      <c r="AIR207" s="18"/>
      <c r="AIS207" s="18"/>
      <c r="AIT207" s="18"/>
      <c r="AIU207" s="18"/>
      <c r="AIV207" s="18"/>
      <c r="AIW207" s="18"/>
      <c r="AIX207" s="18"/>
      <c r="AIY207" s="18"/>
      <c r="AIZ207" s="18"/>
      <c r="AJA207" s="18"/>
      <c r="AJB207" s="18"/>
      <c r="AJC207" s="18"/>
      <c r="AJD207" s="18"/>
      <c r="AJE207" s="18"/>
      <c r="AJF207" s="18"/>
      <c r="AJG207" s="18"/>
      <c r="AJH207" s="18"/>
      <c r="AJI207" s="18"/>
      <c r="AJJ207" s="18"/>
      <c r="AJK207" s="18"/>
      <c r="AJL207" s="18"/>
      <c r="AJM207" s="18"/>
      <c r="AJN207" s="18"/>
      <c r="AJO207" s="18"/>
      <c r="AJP207" s="18"/>
      <c r="AJQ207" s="18"/>
      <c r="AJR207" s="18"/>
      <c r="AJS207" s="18"/>
      <c r="AJT207" s="18"/>
      <c r="AJU207" s="18"/>
      <c r="AJV207" s="18"/>
      <c r="AJW207" s="18"/>
      <c r="AJX207" s="18"/>
      <c r="AJY207" s="18"/>
      <c r="AJZ207" s="18"/>
      <c r="AKA207" s="18"/>
      <c r="AKB207" s="18"/>
      <c r="AKC207" s="18"/>
      <c r="AKD207" s="18"/>
      <c r="AKE207" s="18"/>
      <c r="AKF207" s="18"/>
      <c r="AKG207" s="18"/>
      <c r="AKH207" s="18"/>
      <c r="AKI207" s="18"/>
      <c r="AKJ207" s="18"/>
      <c r="AKK207" s="18"/>
      <c r="AKL207" s="18"/>
      <c r="AKM207" s="18"/>
      <c r="AKN207" s="18"/>
      <c r="AKO207" s="18"/>
      <c r="AKP207" s="18"/>
      <c r="AKQ207" s="18"/>
      <c r="AKR207" s="18"/>
      <c r="AKS207" s="18"/>
      <c r="AKT207" s="18"/>
      <c r="AKU207" s="18"/>
      <c r="AKV207" s="18"/>
      <c r="AKW207" s="18"/>
      <c r="AKX207" s="18"/>
      <c r="AKY207" s="18"/>
      <c r="AKZ207" s="18"/>
      <c r="ALA207" s="18"/>
      <c r="ALB207" s="18"/>
      <c r="ALC207" s="18"/>
      <c r="ALD207" s="18"/>
      <c r="ALE207" s="18"/>
      <c r="ALF207" s="18"/>
      <c r="ALG207" s="18"/>
      <c r="ALH207" s="18"/>
      <c r="ALI207" s="18"/>
      <c r="ALJ207" s="18"/>
      <c r="ALK207" s="18"/>
      <c r="ALL207" s="18"/>
      <c r="ALM207" s="18"/>
      <c r="ALN207" s="18"/>
      <c r="ALO207" s="18"/>
      <c r="ALP207" s="18"/>
      <c r="ALQ207" s="18"/>
      <c r="ALR207" s="18"/>
      <c r="ALS207" s="18"/>
      <c r="ALT207" s="18"/>
      <c r="ALU207" s="18"/>
      <c r="ALV207" s="18"/>
      <c r="ALW207" s="18"/>
      <c r="ALX207" s="18"/>
      <c r="ALY207" s="18"/>
      <c r="ALZ207" s="18"/>
      <c r="AMA207" s="18"/>
      <c r="AMB207" s="18"/>
      <c r="AMC207" s="18"/>
      <c r="AMD207" s="18"/>
      <c r="AME207" s="18"/>
      <c r="AMF207" s="18"/>
      <c r="AMG207" s="18"/>
      <c r="AMH207" s="18"/>
      <c r="AMI207" s="18"/>
      <c r="AMJ207" s="18"/>
      <c r="AMK207" s="18"/>
      <c r="AML207" s="18"/>
      <c r="AMM207" s="18"/>
    </row>
    <row r="208" spans="1:1027" s="18" customFormat="1" x14ac:dyDescent="0.2">
      <c r="A208" s="18" t="s">
        <v>504</v>
      </c>
      <c r="B208" s="18" t="s">
        <v>780</v>
      </c>
      <c r="D208" s="18">
        <v>166</v>
      </c>
      <c r="E208" s="19" t="s">
        <v>506</v>
      </c>
      <c r="F208" s="19" t="s">
        <v>507</v>
      </c>
      <c r="G208" s="20" t="s">
        <v>508</v>
      </c>
      <c r="H208" s="19" t="s">
        <v>507</v>
      </c>
      <c r="I208" s="19"/>
      <c r="J208" s="67" t="s">
        <v>507</v>
      </c>
      <c r="K208" s="21" t="s">
        <v>509</v>
      </c>
      <c r="M208" s="1" t="s">
        <v>708</v>
      </c>
      <c r="N208" s="1"/>
      <c r="S208" s="70"/>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spans="1:1027" s="18" customFormat="1" x14ac:dyDescent="0.2">
      <c r="A209" s="18" t="s">
        <v>504</v>
      </c>
      <c r="B209" s="18" t="s">
        <v>781</v>
      </c>
      <c r="D209" s="18">
        <v>212</v>
      </c>
      <c r="E209" s="19" t="s">
        <v>506</v>
      </c>
      <c r="F209" s="19" t="s">
        <v>507</v>
      </c>
      <c r="G209" s="20" t="s">
        <v>508</v>
      </c>
      <c r="H209" s="19" t="s">
        <v>507</v>
      </c>
      <c r="I209" s="19"/>
      <c r="J209" s="67" t="s">
        <v>507</v>
      </c>
      <c r="K209" s="21" t="s">
        <v>509</v>
      </c>
      <c r="M209" s="1" t="s">
        <v>708</v>
      </c>
      <c r="N209" s="1"/>
      <c r="O209" s="1"/>
      <c r="P209" s="1"/>
      <c r="Q209" s="1"/>
      <c r="R209" s="1"/>
      <c r="S209" s="13"/>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spans="1:1027" s="18" customFormat="1" x14ac:dyDescent="0.2">
      <c r="A210" s="1" t="s">
        <v>504</v>
      </c>
      <c r="B210" s="1" t="s">
        <v>782</v>
      </c>
      <c r="C210" s="1"/>
      <c r="D210" s="1">
        <v>201</v>
      </c>
      <c r="E210" s="10" t="s">
        <v>506</v>
      </c>
      <c r="F210" s="65">
        <v>66</v>
      </c>
      <c r="G210" s="11" t="s">
        <v>508</v>
      </c>
      <c r="H210" s="10" t="s">
        <v>507</v>
      </c>
      <c r="I210" s="10"/>
      <c r="J210" s="10" t="s">
        <v>507</v>
      </c>
      <c r="K210" s="75" t="s">
        <v>509</v>
      </c>
      <c r="L210" s="1"/>
      <c r="M210" s="1" t="s">
        <v>598</v>
      </c>
      <c r="N210" s="1"/>
      <c r="O210" s="1"/>
      <c r="P210" s="1"/>
      <c r="Q210" s="1"/>
      <c r="R210" s="1"/>
      <c r="S210" s="13" t="s">
        <v>636</v>
      </c>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1027" s="18" customFormat="1" x14ac:dyDescent="0.2">
      <c r="A211" s="18" t="s">
        <v>504</v>
      </c>
      <c r="B211" s="18" t="s">
        <v>783</v>
      </c>
      <c r="D211" s="18">
        <v>158</v>
      </c>
      <c r="E211" s="19" t="s">
        <v>506</v>
      </c>
      <c r="F211" s="19" t="s">
        <v>507</v>
      </c>
      <c r="G211" s="20" t="s">
        <v>508</v>
      </c>
      <c r="H211" s="19" t="s">
        <v>507</v>
      </c>
      <c r="I211" s="19"/>
      <c r="J211" s="32" t="s">
        <v>507</v>
      </c>
      <c r="K211" s="21" t="s">
        <v>509</v>
      </c>
      <c r="M211" s="1" t="s">
        <v>598</v>
      </c>
      <c r="N211" s="1"/>
      <c r="S211" s="13" t="s">
        <v>784</v>
      </c>
      <c r="T211" s="6"/>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spans="1:1027" s="18" customFormat="1" x14ac:dyDescent="0.2">
      <c r="A212" s="18" t="s">
        <v>504</v>
      </c>
      <c r="B212" s="18" t="s">
        <v>785</v>
      </c>
      <c r="D212" s="18">
        <v>46</v>
      </c>
      <c r="E212" s="19" t="s">
        <v>506</v>
      </c>
      <c r="F212" s="19" t="s">
        <v>508</v>
      </c>
      <c r="G212" s="20" t="s">
        <v>508</v>
      </c>
      <c r="H212" s="19" t="s">
        <v>507</v>
      </c>
      <c r="I212" s="19"/>
      <c r="J212" s="19" t="s">
        <v>507</v>
      </c>
      <c r="K212" s="21" t="s">
        <v>509</v>
      </c>
      <c r="M212" s="1" t="s">
        <v>598</v>
      </c>
      <c r="N212" s="1"/>
      <c r="S212" s="27" t="s">
        <v>786</v>
      </c>
      <c r="AMM212" s="45"/>
    </row>
    <row r="213" spans="1:1027" s="18" customFormat="1" x14ac:dyDescent="0.2">
      <c r="A213" s="18" t="s">
        <v>504</v>
      </c>
      <c r="B213" s="18" t="s">
        <v>787</v>
      </c>
      <c r="D213" s="18">
        <v>38</v>
      </c>
      <c r="E213" s="42" t="s">
        <v>506</v>
      </c>
      <c r="F213" s="19" t="s">
        <v>508</v>
      </c>
      <c r="G213" s="20" t="s">
        <v>508</v>
      </c>
      <c r="H213" s="19" t="s">
        <v>507</v>
      </c>
      <c r="I213" s="19"/>
      <c r="J213" s="19" t="s">
        <v>507</v>
      </c>
      <c r="K213" s="21" t="s">
        <v>509</v>
      </c>
      <c r="M213" s="1" t="s">
        <v>598</v>
      </c>
      <c r="N213" s="1"/>
      <c r="S213" s="27" t="s">
        <v>788</v>
      </c>
      <c r="AMM213" s="45"/>
    </row>
    <row r="214" spans="1:1027" s="18" customFormat="1" x14ac:dyDescent="0.2">
      <c r="A214" s="18" t="s">
        <v>504</v>
      </c>
      <c r="B214" s="18" t="s">
        <v>789</v>
      </c>
      <c r="D214" s="18">
        <v>85</v>
      </c>
      <c r="E214" s="19" t="s">
        <v>506</v>
      </c>
      <c r="F214" s="19" t="s">
        <v>508</v>
      </c>
      <c r="G214" s="20" t="s">
        <v>508</v>
      </c>
      <c r="H214" s="19" t="s">
        <v>507</v>
      </c>
      <c r="I214" s="19"/>
      <c r="J214" s="19" t="s">
        <v>507</v>
      </c>
      <c r="K214" s="21" t="s">
        <v>509</v>
      </c>
      <c r="M214" s="1" t="s">
        <v>598</v>
      </c>
      <c r="N214" s="1"/>
      <c r="S214" s="27"/>
      <c r="AMM214" s="45"/>
    </row>
    <row r="215" spans="1:1027" s="18" customFormat="1" x14ac:dyDescent="0.2">
      <c r="A215" s="18" t="s">
        <v>504</v>
      </c>
      <c r="B215" s="18" t="s">
        <v>790</v>
      </c>
      <c r="D215" s="18">
        <v>72</v>
      </c>
      <c r="E215" s="42" t="s">
        <v>506</v>
      </c>
      <c r="F215" s="19" t="s">
        <v>508</v>
      </c>
      <c r="G215" s="20" t="s">
        <v>508</v>
      </c>
      <c r="H215" s="19" t="s">
        <v>507</v>
      </c>
      <c r="I215" s="19"/>
      <c r="J215" s="19" t="s">
        <v>507</v>
      </c>
      <c r="K215" s="21" t="s">
        <v>509</v>
      </c>
      <c r="M215" s="1" t="s">
        <v>598</v>
      </c>
      <c r="N215" s="1"/>
      <c r="S215" s="27" t="s">
        <v>791</v>
      </c>
      <c r="AMM215" s="45"/>
    </row>
    <row r="216" spans="1:1027" s="18" customFormat="1" x14ac:dyDescent="0.2">
      <c r="A216" s="18" t="s">
        <v>504</v>
      </c>
      <c r="B216" s="18" t="s">
        <v>792</v>
      </c>
      <c r="D216" s="18">
        <v>19</v>
      </c>
      <c r="E216" s="42" t="s">
        <v>506</v>
      </c>
      <c r="F216" s="19" t="s">
        <v>507</v>
      </c>
      <c r="G216" s="20" t="s">
        <v>508</v>
      </c>
      <c r="H216" s="19" t="s">
        <v>507</v>
      </c>
      <c r="I216" s="19"/>
      <c r="J216" s="32" t="s">
        <v>507</v>
      </c>
      <c r="K216" s="21" t="s">
        <v>509</v>
      </c>
      <c r="M216" s="1" t="s">
        <v>598</v>
      </c>
      <c r="N216" s="1"/>
      <c r="S216" s="13"/>
      <c r="T216" s="7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AMM216"/>
    </row>
    <row r="217" spans="1:1027" x14ac:dyDescent="0.2">
      <c r="A217" s="1" t="s">
        <v>521</v>
      </c>
      <c r="B217" s="1" t="s">
        <v>793</v>
      </c>
      <c r="D217" s="1">
        <v>29</v>
      </c>
      <c r="E217" s="10" t="s">
        <v>506</v>
      </c>
      <c r="F217" s="10" t="s">
        <v>508</v>
      </c>
      <c r="G217" s="11" t="s">
        <v>508</v>
      </c>
      <c r="H217" s="10" t="s">
        <v>507</v>
      </c>
      <c r="J217" s="10" t="s">
        <v>507</v>
      </c>
      <c r="L217" s="18" t="s">
        <v>509</v>
      </c>
      <c r="N217" s="1" t="s">
        <v>542</v>
      </c>
      <c r="S217" s="76"/>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47"/>
      <c r="EO217" s="47"/>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c r="FL217" s="47"/>
      <c r="FM217" s="47"/>
      <c r="FN217" s="47"/>
      <c r="FO217" s="47"/>
      <c r="FP217" s="47"/>
      <c r="FQ217" s="47"/>
      <c r="FR217" s="47"/>
      <c r="FS217" s="47"/>
      <c r="FT217" s="47"/>
      <c r="FU217" s="47"/>
      <c r="FV217" s="47"/>
      <c r="FW217" s="47"/>
      <c r="FX217" s="47"/>
      <c r="FY217" s="47"/>
      <c r="FZ217" s="47"/>
      <c r="GA217" s="47"/>
      <c r="GB217" s="47"/>
      <c r="GC217" s="47"/>
      <c r="GD217" s="47"/>
      <c r="GE217" s="47"/>
      <c r="GF217" s="47"/>
      <c r="GG217" s="47"/>
      <c r="GH217" s="47"/>
      <c r="GI217" s="47"/>
      <c r="GJ217" s="47"/>
      <c r="GK217" s="47"/>
      <c r="GL217" s="47"/>
      <c r="GM217" s="47"/>
      <c r="GN217" s="47"/>
      <c r="GO217" s="47"/>
      <c r="GP217" s="47"/>
      <c r="GQ217" s="47"/>
      <c r="GR217" s="47"/>
      <c r="GS217" s="47"/>
      <c r="GT217" s="47"/>
      <c r="GU217" s="47"/>
      <c r="GV217" s="47"/>
      <c r="GW217" s="47"/>
      <c r="GX217" s="47"/>
      <c r="GY217" s="47"/>
      <c r="GZ217" s="47"/>
      <c r="HA217" s="47"/>
      <c r="HB217" s="47"/>
      <c r="HC217" s="47"/>
      <c r="HD217" s="47"/>
      <c r="HE217" s="47"/>
      <c r="HF217" s="47"/>
      <c r="HG217" s="47"/>
      <c r="HH217" s="47"/>
      <c r="HI217" s="47"/>
      <c r="HJ217" s="47"/>
      <c r="HK217" s="47"/>
      <c r="HL217" s="47"/>
      <c r="HM217" s="47"/>
      <c r="HN217" s="47"/>
      <c r="HO217" s="47"/>
      <c r="HP217" s="47"/>
      <c r="HQ217" s="47"/>
      <c r="HR217" s="47"/>
      <c r="HS217" s="47"/>
      <c r="HT217" s="47"/>
      <c r="HU217" s="47"/>
      <c r="HV217" s="47"/>
      <c r="HW217" s="47"/>
      <c r="HX217" s="47"/>
      <c r="HY217" s="47"/>
      <c r="HZ217" s="47"/>
      <c r="IA217" s="47"/>
      <c r="IB217" s="47"/>
      <c r="IC217" s="47"/>
      <c r="ID217" s="47"/>
      <c r="IE217" s="47"/>
      <c r="IF217" s="47"/>
      <c r="IG217" s="47"/>
      <c r="IH217" s="47"/>
      <c r="II217" s="47"/>
      <c r="IJ217" s="47"/>
      <c r="IK217" s="47"/>
      <c r="IL217" s="47"/>
      <c r="IM217" s="47"/>
      <c r="IN217" s="47"/>
      <c r="IO217" s="47"/>
      <c r="IP217" s="47"/>
      <c r="IQ217" s="47"/>
      <c r="IR217" s="47"/>
      <c r="IS217" s="47"/>
      <c r="IT217" s="47"/>
      <c r="IU217" s="47"/>
      <c r="IV217" s="47"/>
      <c r="IW217" s="47"/>
      <c r="IX217" s="47"/>
      <c r="IY217" s="47"/>
      <c r="IZ217" s="47"/>
      <c r="JA217" s="47"/>
      <c r="JB217" s="47"/>
      <c r="JC217" s="47"/>
      <c r="JD217" s="47"/>
      <c r="JE217" s="47"/>
      <c r="JF217" s="47"/>
      <c r="JG217" s="47"/>
      <c r="JH217" s="47"/>
      <c r="JI217" s="47"/>
      <c r="JJ217" s="47"/>
      <c r="JK217" s="47"/>
      <c r="JL217" s="47"/>
      <c r="JM217" s="47"/>
      <c r="JN217" s="47"/>
      <c r="JO217" s="47"/>
      <c r="JP217" s="47"/>
      <c r="JQ217" s="47"/>
      <c r="JR217" s="47"/>
      <c r="JS217" s="47"/>
      <c r="JT217" s="47"/>
      <c r="JU217" s="47"/>
      <c r="JV217" s="47"/>
      <c r="JW217" s="47"/>
      <c r="JX217" s="47"/>
      <c r="JY217" s="47"/>
      <c r="JZ217" s="47"/>
      <c r="KA217" s="47"/>
      <c r="KB217" s="47"/>
      <c r="KC217" s="47"/>
      <c r="KD217" s="47"/>
      <c r="KE217" s="47"/>
      <c r="KF217" s="47"/>
      <c r="KG217" s="47"/>
      <c r="KH217" s="47"/>
      <c r="KI217" s="47"/>
      <c r="KJ217" s="47"/>
      <c r="KK217" s="47"/>
      <c r="KL217" s="47"/>
      <c r="KM217" s="47"/>
      <c r="KN217" s="47"/>
      <c r="KO217" s="47"/>
      <c r="KP217" s="47"/>
      <c r="KQ217" s="47"/>
      <c r="KR217" s="47"/>
      <c r="KS217" s="47"/>
      <c r="KT217" s="47"/>
      <c r="KU217" s="47"/>
      <c r="KV217" s="47"/>
      <c r="KW217" s="47"/>
      <c r="KX217" s="47"/>
      <c r="KY217" s="47"/>
      <c r="KZ217" s="47"/>
      <c r="LA217" s="47"/>
      <c r="LB217" s="47"/>
      <c r="LC217" s="47"/>
      <c r="LD217" s="47"/>
      <c r="LE217" s="47"/>
      <c r="LF217" s="47"/>
      <c r="LG217" s="47"/>
      <c r="LH217" s="47"/>
      <c r="LI217" s="47"/>
      <c r="LJ217" s="47"/>
      <c r="LK217" s="47"/>
      <c r="LL217" s="47"/>
      <c r="LM217" s="47"/>
      <c r="LN217" s="47"/>
      <c r="LO217" s="47"/>
      <c r="LP217" s="47"/>
      <c r="LQ217" s="47"/>
      <c r="LR217" s="47"/>
      <c r="LS217" s="47"/>
      <c r="LT217" s="47"/>
      <c r="LU217" s="47"/>
      <c r="LV217" s="47"/>
      <c r="LW217" s="47"/>
      <c r="LX217" s="47"/>
      <c r="LY217" s="47"/>
      <c r="LZ217" s="47"/>
      <c r="MA217" s="47"/>
      <c r="MB217" s="47"/>
      <c r="MC217" s="47"/>
      <c r="MD217" s="47"/>
      <c r="ME217" s="47"/>
      <c r="MF217" s="47"/>
      <c r="MG217" s="47"/>
      <c r="MH217" s="47"/>
      <c r="MI217" s="47"/>
      <c r="MJ217" s="47"/>
      <c r="MK217" s="47"/>
      <c r="ML217" s="47"/>
      <c r="MM217" s="47"/>
      <c r="MN217" s="47"/>
      <c r="MO217" s="47"/>
      <c r="MP217" s="47"/>
      <c r="MQ217" s="47"/>
      <c r="MR217" s="47"/>
      <c r="MS217" s="47"/>
      <c r="MT217" s="47"/>
      <c r="MU217" s="47"/>
      <c r="MV217" s="47"/>
      <c r="MW217" s="47"/>
      <c r="MX217" s="47"/>
      <c r="MY217" s="47"/>
      <c r="MZ217" s="47"/>
      <c r="NA217" s="47"/>
      <c r="NB217" s="47"/>
      <c r="NC217" s="47"/>
      <c r="ND217" s="47"/>
      <c r="NE217" s="47"/>
      <c r="NF217" s="47"/>
      <c r="NG217" s="47"/>
      <c r="NH217" s="47"/>
      <c r="NI217" s="47"/>
      <c r="NJ217" s="47"/>
      <c r="NK217" s="47"/>
      <c r="NL217" s="47"/>
      <c r="NM217" s="47"/>
      <c r="NN217" s="47"/>
      <c r="NO217" s="47"/>
      <c r="NP217" s="47"/>
      <c r="NQ217" s="47"/>
      <c r="NR217" s="47"/>
      <c r="NS217" s="47"/>
      <c r="NT217" s="47"/>
      <c r="NU217" s="47"/>
      <c r="NV217" s="47"/>
      <c r="NW217" s="47"/>
      <c r="NX217" s="47"/>
      <c r="NY217" s="47"/>
      <c r="NZ217" s="47"/>
      <c r="OA217" s="47"/>
      <c r="OB217" s="47"/>
      <c r="OC217" s="47"/>
      <c r="OD217" s="47"/>
      <c r="OE217" s="47"/>
      <c r="OF217" s="47"/>
      <c r="OG217" s="47"/>
      <c r="OH217" s="47"/>
      <c r="OI217" s="47"/>
      <c r="OJ217" s="47"/>
      <c r="OK217" s="47"/>
      <c r="OL217" s="47"/>
      <c r="OM217" s="47"/>
      <c r="ON217" s="47"/>
      <c r="OO217" s="47"/>
      <c r="OP217" s="47"/>
      <c r="OQ217" s="47"/>
      <c r="OR217" s="47"/>
      <c r="OS217" s="47"/>
      <c r="OT217" s="47"/>
      <c r="OU217" s="47"/>
      <c r="OV217" s="47"/>
      <c r="OW217" s="47"/>
      <c r="OX217" s="47"/>
      <c r="OY217" s="47"/>
      <c r="OZ217" s="47"/>
      <c r="PA217" s="47"/>
      <c r="PB217" s="47"/>
      <c r="PC217" s="47"/>
      <c r="PD217" s="47"/>
      <c r="PE217" s="47"/>
      <c r="PF217" s="47"/>
      <c r="PG217" s="47"/>
      <c r="PH217" s="47"/>
      <c r="PI217" s="47"/>
      <c r="PJ217" s="47"/>
      <c r="PK217" s="47"/>
      <c r="PL217" s="47"/>
      <c r="PM217" s="47"/>
      <c r="PN217" s="47"/>
      <c r="PO217" s="47"/>
      <c r="PP217" s="47"/>
      <c r="PQ217" s="47"/>
      <c r="PR217" s="47"/>
      <c r="PS217" s="47"/>
      <c r="PT217" s="47"/>
      <c r="PU217" s="47"/>
      <c r="PV217" s="47"/>
      <c r="PW217" s="47"/>
      <c r="PX217" s="47"/>
      <c r="PY217" s="47"/>
      <c r="PZ217" s="47"/>
      <c r="QA217" s="47"/>
      <c r="QB217" s="47"/>
      <c r="QC217" s="47"/>
      <c r="QD217" s="47"/>
      <c r="QE217" s="47"/>
      <c r="QF217" s="47"/>
      <c r="QG217" s="47"/>
      <c r="QH217" s="47"/>
      <c r="QI217" s="47"/>
      <c r="QJ217" s="47"/>
      <c r="QK217" s="47"/>
      <c r="QL217" s="47"/>
      <c r="QM217" s="47"/>
      <c r="QN217" s="47"/>
      <c r="QO217" s="47"/>
      <c r="QP217" s="47"/>
      <c r="QQ217" s="47"/>
      <c r="QR217" s="47"/>
      <c r="QS217" s="47"/>
      <c r="QT217" s="47"/>
      <c r="QU217" s="47"/>
      <c r="QV217" s="47"/>
      <c r="QW217" s="47"/>
      <c r="QX217" s="47"/>
      <c r="QY217" s="47"/>
      <c r="QZ217" s="47"/>
      <c r="RA217" s="47"/>
      <c r="RB217" s="47"/>
      <c r="RC217" s="47"/>
      <c r="RD217" s="47"/>
      <c r="RE217" s="47"/>
      <c r="RF217" s="47"/>
      <c r="RG217" s="47"/>
      <c r="RH217" s="47"/>
      <c r="RI217" s="47"/>
      <c r="RJ217" s="47"/>
      <c r="RK217" s="47"/>
      <c r="RL217" s="47"/>
      <c r="RM217" s="47"/>
      <c r="RN217" s="47"/>
      <c r="RO217" s="47"/>
      <c r="RP217" s="47"/>
      <c r="RQ217" s="47"/>
      <c r="RR217" s="47"/>
      <c r="RS217" s="47"/>
      <c r="RT217" s="47"/>
      <c r="RU217" s="47"/>
      <c r="RV217" s="47"/>
      <c r="RW217" s="47"/>
      <c r="RX217" s="47"/>
      <c r="RY217" s="47"/>
      <c r="RZ217" s="47"/>
      <c r="SA217" s="47"/>
      <c r="SB217" s="47"/>
      <c r="SC217" s="47"/>
      <c r="SD217" s="47"/>
      <c r="SE217" s="47"/>
      <c r="SF217" s="47"/>
      <c r="SG217" s="47"/>
      <c r="SH217" s="47"/>
      <c r="SI217" s="47"/>
      <c r="SJ217" s="47"/>
      <c r="SK217" s="47"/>
      <c r="SL217" s="47"/>
      <c r="SM217" s="47"/>
      <c r="SN217" s="47"/>
      <c r="SO217" s="47"/>
      <c r="SP217" s="47"/>
      <c r="SQ217" s="47"/>
      <c r="SR217" s="47"/>
      <c r="SS217" s="47"/>
      <c r="ST217" s="47"/>
      <c r="SU217" s="47"/>
      <c r="SV217" s="47"/>
      <c r="SW217" s="47"/>
      <c r="SX217" s="47"/>
      <c r="SY217" s="47"/>
      <c r="SZ217" s="47"/>
      <c r="TA217" s="47"/>
      <c r="TB217" s="47"/>
      <c r="TC217" s="47"/>
      <c r="TD217" s="47"/>
      <c r="TE217" s="47"/>
      <c r="TF217" s="47"/>
      <c r="TG217" s="47"/>
      <c r="TH217" s="47"/>
      <c r="TI217" s="47"/>
      <c r="TJ217" s="47"/>
      <c r="TK217" s="47"/>
      <c r="TL217" s="47"/>
      <c r="TM217" s="47"/>
      <c r="TN217" s="47"/>
      <c r="TO217" s="47"/>
      <c r="TP217" s="47"/>
      <c r="TQ217" s="47"/>
      <c r="TR217" s="47"/>
      <c r="TS217" s="47"/>
      <c r="TT217" s="47"/>
      <c r="TU217" s="47"/>
      <c r="TV217" s="47"/>
      <c r="TW217" s="47"/>
      <c r="TX217" s="47"/>
      <c r="TY217" s="47"/>
      <c r="TZ217" s="47"/>
      <c r="UA217" s="47"/>
      <c r="UB217" s="47"/>
      <c r="UC217" s="47"/>
      <c r="UD217" s="47"/>
      <c r="UE217" s="47"/>
      <c r="UF217" s="47"/>
      <c r="UG217" s="47"/>
      <c r="UH217" s="47"/>
      <c r="UI217" s="47"/>
      <c r="UJ217" s="47"/>
      <c r="UK217" s="47"/>
      <c r="UL217" s="47"/>
      <c r="UM217" s="47"/>
      <c r="UN217" s="47"/>
      <c r="UO217" s="47"/>
      <c r="UP217" s="47"/>
      <c r="UQ217" s="47"/>
      <c r="UR217" s="47"/>
      <c r="US217" s="47"/>
      <c r="UT217" s="47"/>
      <c r="UU217" s="47"/>
      <c r="UV217" s="47"/>
      <c r="UW217" s="47"/>
      <c r="UX217" s="47"/>
      <c r="UY217" s="47"/>
      <c r="UZ217" s="47"/>
      <c r="VA217" s="47"/>
      <c r="VB217" s="47"/>
      <c r="VC217" s="47"/>
      <c r="VD217" s="47"/>
      <c r="VE217" s="47"/>
      <c r="VF217" s="47"/>
      <c r="VG217" s="47"/>
      <c r="VH217" s="47"/>
      <c r="VI217" s="47"/>
      <c r="VJ217" s="47"/>
      <c r="VK217" s="47"/>
      <c r="VL217" s="47"/>
      <c r="VM217" s="47"/>
      <c r="VN217" s="47"/>
      <c r="VO217" s="47"/>
      <c r="VP217" s="47"/>
      <c r="VQ217" s="47"/>
      <c r="VR217" s="47"/>
      <c r="VS217" s="47"/>
      <c r="VT217" s="47"/>
      <c r="VU217" s="47"/>
      <c r="VV217" s="47"/>
      <c r="VW217" s="47"/>
      <c r="VX217" s="47"/>
      <c r="VY217" s="47"/>
      <c r="VZ217" s="47"/>
      <c r="WA217" s="47"/>
      <c r="WB217" s="47"/>
      <c r="WC217" s="47"/>
      <c r="WD217" s="47"/>
      <c r="WE217" s="47"/>
      <c r="WF217" s="47"/>
      <c r="WG217" s="47"/>
      <c r="WH217" s="47"/>
      <c r="WI217" s="47"/>
      <c r="WJ217" s="47"/>
      <c r="WK217" s="47"/>
      <c r="WL217" s="47"/>
      <c r="WM217" s="47"/>
      <c r="WN217" s="47"/>
      <c r="WO217" s="47"/>
      <c r="WP217" s="47"/>
      <c r="WQ217" s="47"/>
      <c r="WR217" s="47"/>
      <c r="WS217" s="47"/>
      <c r="WT217" s="47"/>
      <c r="WU217" s="47"/>
      <c r="WV217" s="47"/>
      <c r="WW217" s="47"/>
      <c r="WX217" s="47"/>
      <c r="WY217" s="47"/>
      <c r="WZ217" s="47"/>
      <c r="XA217" s="47"/>
      <c r="XB217" s="47"/>
      <c r="XC217" s="47"/>
      <c r="XD217" s="47"/>
      <c r="XE217" s="47"/>
      <c r="XF217" s="47"/>
      <c r="XG217" s="47"/>
      <c r="XH217" s="47"/>
      <c r="XI217" s="47"/>
      <c r="XJ217" s="47"/>
      <c r="XK217" s="47"/>
      <c r="XL217" s="47"/>
      <c r="XM217" s="47"/>
      <c r="XN217" s="47"/>
      <c r="XO217" s="47"/>
      <c r="XP217" s="47"/>
      <c r="XQ217" s="47"/>
      <c r="XR217" s="47"/>
      <c r="XS217" s="47"/>
      <c r="XT217" s="47"/>
      <c r="XU217" s="47"/>
      <c r="XV217" s="47"/>
      <c r="XW217" s="47"/>
      <c r="XX217" s="47"/>
      <c r="XY217" s="47"/>
      <c r="XZ217" s="47"/>
      <c r="YA217" s="47"/>
      <c r="YB217" s="47"/>
      <c r="YC217" s="47"/>
      <c r="YD217" s="47"/>
      <c r="YE217" s="47"/>
      <c r="YF217" s="47"/>
      <c r="YG217" s="47"/>
      <c r="YH217" s="47"/>
      <c r="YI217" s="47"/>
      <c r="YJ217" s="47"/>
      <c r="YK217" s="47"/>
      <c r="YL217" s="47"/>
      <c r="YM217" s="47"/>
      <c r="YN217" s="47"/>
      <c r="YO217" s="47"/>
      <c r="YP217" s="47"/>
      <c r="YQ217" s="47"/>
      <c r="YR217" s="47"/>
      <c r="YS217" s="47"/>
      <c r="YT217" s="47"/>
      <c r="YU217" s="47"/>
      <c r="YV217" s="47"/>
      <c r="YW217" s="47"/>
      <c r="YX217" s="47"/>
      <c r="YY217" s="47"/>
      <c r="YZ217" s="47"/>
      <c r="ZA217" s="47"/>
      <c r="ZB217" s="47"/>
      <c r="ZC217" s="47"/>
      <c r="ZD217" s="47"/>
      <c r="ZE217" s="47"/>
      <c r="ZF217" s="47"/>
      <c r="ZG217" s="47"/>
      <c r="ZH217" s="47"/>
      <c r="ZI217" s="47"/>
      <c r="ZJ217" s="47"/>
      <c r="ZK217" s="47"/>
      <c r="ZL217" s="47"/>
      <c r="ZM217" s="47"/>
      <c r="ZN217" s="47"/>
      <c r="ZO217" s="47"/>
      <c r="ZP217" s="47"/>
      <c r="ZQ217" s="47"/>
      <c r="ZR217" s="47"/>
      <c r="ZS217" s="47"/>
      <c r="ZT217" s="47"/>
      <c r="ZU217" s="47"/>
      <c r="ZV217" s="47"/>
      <c r="ZW217" s="47"/>
      <c r="ZX217" s="47"/>
      <c r="ZY217" s="47"/>
      <c r="ZZ217" s="47"/>
      <c r="AAA217" s="47"/>
      <c r="AAB217" s="47"/>
      <c r="AAC217" s="47"/>
      <c r="AAD217" s="47"/>
      <c r="AAE217" s="47"/>
      <c r="AAF217" s="47"/>
      <c r="AAG217" s="47"/>
      <c r="AAH217" s="47"/>
      <c r="AAI217" s="47"/>
      <c r="AAJ217" s="47"/>
      <c r="AAK217" s="47"/>
      <c r="AAL217" s="47"/>
      <c r="AAM217" s="47"/>
      <c r="AAN217" s="47"/>
      <c r="AAO217" s="47"/>
      <c r="AAP217" s="47"/>
      <c r="AAQ217" s="47"/>
      <c r="AAR217" s="47"/>
      <c r="AAS217" s="47"/>
      <c r="AAT217" s="47"/>
      <c r="AAU217" s="47"/>
      <c r="AAV217" s="47"/>
      <c r="AAW217" s="47"/>
      <c r="AAX217" s="47"/>
      <c r="AAY217" s="47"/>
      <c r="AAZ217" s="47"/>
      <c r="ABA217" s="47"/>
      <c r="ABB217" s="47"/>
      <c r="ABC217" s="47"/>
      <c r="ABD217" s="47"/>
      <c r="ABE217" s="47"/>
      <c r="ABF217" s="47"/>
      <c r="ABG217" s="47"/>
      <c r="ABH217" s="47"/>
      <c r="ABI217" s="47"/>
      <c r="ABJ217" s="47"/>
      <c r="ABK217" s="47"/>
      <c r="ABL217" s="47"/>
      <c r="ABM217" s="47"/>
      <c r="ABN217" s="47"/>
      <c r="ABO217" s="47"/>
      <c r="ABP217" s="47"/>
      <c r="ABQ217" s="47"/>
      <c r="ABR217" s="47"/>
      <c r="ABS217" s="47"/>
      <c r="ABT217" s="47"/>
      <c r="ABU217" s="47"/>
      <c r="ABV217" s="47"/>
      <c r="ABW217" s="47"/>
      <c r="ABX217" s="47"/>
      <c r="ABY217" s="47"/>
      <c r="ABZ217" s="47"/>
      <c r="ACA217" s="47"/>
      <c r="ACB217" s="47"/>
      <c r="ACC217" s="47"/>
      <c r="ACD217" s="47"/>
      <c r="ACE217" s="47"/>
      <c r="ACF217" s="47"/>
      <c r="ACG217" s="47"/>
      <c r="ACH217" s="47"/>
      <c r="ACI217" s="47"/>
      <c r="ACJ217" s="47"/>
      <c r="ACK217" s="47"/>
      <c r="ACL217" s="47"/>
      <c r="ACM217" s="47"/>
      <c r="ACN217" s="47"/>
      <c r="ACO217" s="47"/>
      <c r="ACP217" s="47"/>
      <c r="ACQ217" s="47"/>
      <c r="ACR217" s="47"/>
      <c r="ACS217" s="47"/>
      <c r="ACT217" s="47"/>
      <c r="ACU217" s="47"/>
      <c r="ACV217" s="47"/>
      <c r="ACW217" s="47"/>
      <c r="ACX217" s="47"/>
      <c r="ACY217" s="47"/>
      <c r="ACZ217" s="47"/>
      <c r="ADA217" s="47"/>
      <c r="ADB217" s="47"/>
      <c r="ADC217" s="47"/>
      <c r="ADD217" s="47"/>
      <c r="ADE217" s="47"/>
      <c r="ADF217" s="47"/>
      <c r="ADG217" s="47"/>
      <c r="ADH217" s="47"/>
      <c r="ADI217" s="47"/>
      <c r="ADJ217" s="47"/>
      <c r="ADK217" s="47"/>
      <c r="ADL217" s="47"/>
      <c r="ADM217" s="47"/>
      <c r="ADN217" s="47"/>
      <c r="ADO217" s="47"/>
      <c r="ADP217" s="47"/>
      <c r="ADQ217" s="47"/>
      <c r="ADR217" s="47"/>
      <c r="ADS217" s="47"/>
      <c r="ADT217" s="47"/>
      <c r="ADU217" s="47"/>
      <c r="ADV217" s="47"/>
      <c r="ADW217" s="47"/>
      <c r="ADX217" s="47"/>
      <c r="ADY217" s="47"/>
      <c r="ADZ217" s="47"/>
      <c r="AEA217" s="47"/>
      <c r="AEB217" s="47"/>
      <c r="AEC217" s="47"/>
      <c r="AED217" s="47"/>
      <c r="AEE217" s="47"/>
      <c r="AEF217" s="47"/>
      <c r="AEG217" s="47"/>
      <c r="AEH217" s="47"/>
      <c r="AEI217" s="47"/>
      <c r="AEJ217" s="47"/>
      <c r="AEK217" s="47"/>
      <c r="AEL217" s="47"/>
      <c r="AEM217" s="47"/>
      <c r="AEN217" s="47"/>
      <c r="AEO217" s="47"/>
      <c r="AEP217" s="47"/>
      <c r="AEQ217" s="47"/>
      <c r="AER217" s="47"/>
      <c r="AES217" s="47"/>
      <c r="AET217" s="47"/>
      <c r="AEU217" s="47"/>
      <c r="AEV217" s="47"/>
      <c r="AEW217" s="47"/>
      <c r="AEX217" s="47"/>
      <c r="AEY217" s="47"/>
      <c r="AEZ217" s="47"/>
      <c r="AFA217" s="47"/>
      <c r="AFB217" s="47"/>
      <c r="AFC217" s="47"/>
      <c r="AFD217" s="47"/>
      <c r="AFE217" s="47"/>
      <c r="AFF217" s="47"/>
      <c r="AFG217" s="47"/>
      <c r="AFH217" s="47"/>
      <c r="AFI217" s="47"/>
      <c r="AFJ217" s="47"/>
      <c r="AFK217" s="47"/>
      <c r="AFL217" s="47"/>
      <c r="AFM217" s="47"/>
      <c r="AFN217" s="47"/>
      <c r="AFO217" s="47"/>
      <c r="AFP217" s="47"/>
      <c r="AFQ217" s="47"/>
      <c r="AFR217" s="47"/>
      <c r="AFS217" s="47"/>
      <c r="AFT217" s="47"/>
      <c r="AFU217" s="47"/>
      <c r="AFV217" s="47"/>
      <c r="AFW217" s="47"/>
      <c r="AFX217" s="47"/>
      <c r="AFY217" s="47"/>
      <c r="AFZ217" s="47"/>
      <c r="AGA217" s="47"/>
      <c r="AGB217" s="47"/>
      <c r="AGC217" s="47"/>
      <c r="AGD217" s="47"/>
      <c r="AGE217" s="47"/>
      <c r="AGF217" s="47"/>
      <c r="AGG217" s="47"/>
      <c r="AGH217" s="47"/>
      <c r="AGI217" s="47"/>
      <c r="AGJ217" s="47"/>
      <c r="AGK217" s="47"/>
      <c r="AGL217" s="47"/>
      <c r="AGM217" s="47"/>
      <c r="AGN217" s="47"/>
      <c r="AGO217" s="47"/>
      <c r="AGP217" s="47"/>
      <c r="AGQ217" s="47"/>
      <c r="AGR217" s="47"/>
      <c r="AGS217" s="47"/>
      <c r="AGT217" s="47"/>
      <c r="AGU217" s="47"/>
      <c r="AGV217" s="47"/>
      <c r="AGW217" s="47"/>
      <c r="AGX217" s="47"/>
      <c r="AGY217" s="47"/>
      <c r="AGZ217" s="47"/>
      <c r="AHA217" s="47"/>
      <c r="AHB217" s="47"/>
      <c r="AHC217" s="47"/>
      <c r="AHD217" s="47"/>
      <c r="AHE217" s="47"/>
      <c r="AHF217" s="47"/>
      <c r="AHG217" s="47"/>
      <c r="AHH217" s="47"/>
      <c r="AHI217" s="47"/>
      <c r="AHJ217" s="47"/>
      <c r="AHK217" s="47"/>
      <c r="AHL217" s="47"/>
      <c r="AHM217" s="47"/>
      <c r="AHN217" s="47"/>
      <c r="AHO217" s="47"/>
      <c r="AHP217" s="47"/>
      <c r="AHQ217" s="47"/>
      <c r="AHR217" s="47"/>
      <c r="AHS217" s="47"/>
      <c r="AHT217" s="47"/>
      <c r="AHU217" s="47"/>
      <c r="AHV217" s="47"/>
      <c r="AHW217" s="47"/>
      <c r="AHX217" s="47"/>
      <c r="AHY217" s="47"/>
      <c r="AHZ217" s="47"/>
      <c r="AIA217" s="47"/>
      <c r="AIB217" s="47"/>
      <c r="AIC217" s="47"/>
      <c r="AID217" s="47"/>
      <c r="AIE217" s="47"/>
      <c r="AIF217" s="47"/>
      <c r="AIG217" s="47"/>
      <c r="AIH217" s="47"/>
      <c r="AII217" s="47"/>
      <c r="AIJ217" s="47"/>
      <c r="AIK217" s="47"/>
      <c r="AIL217" s="47"/>
      <c r="AIM217" s="47"/>
      <c r="AIN217" s="47"/>
      <c r="AIO217" s="47"/>
      <c r="AIP217" s="47"/>
      <c r="AIQ217" s="47"/>
      <c r="AIR217" s="47"/>
      <c r="AIS217" s="47"/>
      <c r="AIT217" s="47"/>
      <c r="AIU217" s="47"/>
      <c r="AIV217" s="47"/>
      <c r="AIW217" s="47"/>
      <c r="AIX217" s="47"/>
      <c r="AIY217" s="47"/>
      <c r="AIZ217" s="47"/>
      <c r="AJA217" s="47"/>
      <c r="AJB217" s="47"/>
      <c r="AJC217" s="47"/>
      <c r="AJD217" s="47"/>
      <c r="AJE217" s="47"/>
      <c r="AJF217" s="47"/>
      <c r="AJG217" s="47"/>
      <c r="AJH217" s="47"/>
      <c r="AJI217" s="47"/>
      <c r="AJJ217" s="47"/>
      <c r="AJK217" s="47"/>
      <c r="AJL217" s="47"/>
      <c r="AJM217" s="47"/>
      <c r="AJN217" s="47"/>
      <c r="AJO217" s="47"/>
      <c r="AJP217" s="47"/>
      <c r="AJQ217" s="47"/>
      <c r="AJR217" s="47"/>
      <c r="AJS217" s="47"/>
      <c r="AJT217" s="47"/>
      <c r="AJU217" s="47"/>
      <c r="AJV217" s="47"/>
      <c r="AJW217" s="47"/>
      <c r="AJX217" s="47"/>
      <c r="AJY217" s="47"/>
      <c r="AJZ217" s="47"/>
      <c r="AKA217" s="47"/>
      <c r="AKB217" s="47"/>
      <c r="AKC217" s="47"/>
      <c r="AKD217" s="47"/>
      <c r="AKE217" s="47"/>
      <c r="AKF217" s="47"/>
      <c r="AKG217" s="47"/>
      <c r="AKH217" s="47"/>
      <c r="AKI217" s="47"/>
      <c r="AKJ217" s="47"/>
      <c r="AKK217" s="47"/>
      <c r="AKL217" s="47"/>
      <c r="AKM217" s="47"/>
      <c r="AKN217" s="47"/>
      <c r="AKO217" s="47"/>
      <c r="AKP217" s="47"/>
      <c r="AKQ217" s="47"/>
      <c r="AKR217" s="47"/>
      <c r="AKS217" s="47"/>
      <c r="AKT217" s="47"/>
      <c r="AKU217" s="47"/>
      <c r="AKV217" s="47"/>
      <c r="AKW217" s="47"/>
      <c r="AKX217" s="47"/>
      <c r="AKY217" s="47"/>
      <c r="AKZ217" s="47"/>
      <c r="ALA217" s="47"/>
      <c r="ALB217" s="47"/>
      <c r="ALC217" s="47"/>
      <c r="ALD217" s="47"/>
      <c r="ALE217" s="47"/>
      <c r="ALF217" s="47"/>
      <c r="ALG217" s="47"/>
      <c r="ALH217" s="47"/>
      <c r="ALI217" s="47"/>
      <c r="ALJ217" s="47"/>
      <c r="ALK217" s="47"/>
      <c r="ALL217" s="47"/>
      <c r="ALM217" s="47"/>
      <c r="ALN217" s="47"/>
      <c r="ALO217" s="47"/>
      <c r="ALP217" s="47"/>
      <c r="ALQ217" s="47"/>
      <c r="ALR217" s="47"/>
      <c r="ALS217" s="47"/>
      <c r="ALT217" s="47"/>
      <c r="ALU217" s="47"/>
      <c r="ALV217" s="47"/>
      <c r="ALW217" s="47"/>
      <c r="ALX217" s="47"/>
      <c r="ALY217" s="47"/>
      <c r="ALZ217" s="47"/>
      <c r="AMA217" s="47"/>
      <c r="AMB217" s="47"/>
      <c r="AMC217" s="47"/>
      <c r="AMD217" s="47"/>
      <c r="AME217" s="47"/>
      <c r="AMF217" s="47"/>
      <c r="AMG217" s="47"/>
      <c r="AMH217" s="47"/>
      <c r="AMI217" s="47"/>
      <c r="AMJ217" s="47"/>
      <c r="AMK217" s="47"/>
      <c r="AML217" s="47"/>
      <c r="AMM217" s="18"/>
    </row>
    <row r="218" spans="1:1027" s="18" customFormat="1" x14ac:dyDescent="0.2">
      <c r="A218" s="18" t="s">
        <v>504</v>
      </c>
      <c r="B218" s="18" t="s">
        <v>794</v>
      </c>
      <c r="D218" s="18">
        <v>113</v>
      </c>
      <c r="E218" s="19" t="s">
        <v>506</v>
      </c>
      <c r="F218" s="19" t="s">
        <v>507</v>
      </c>
      <c r="G218" s="20" t="s">
        <v>611</v>
      </c>
      <c r="H218" s="19" t="s">
        <v>507</v>
      </c>
      <c r="I218" s="19" t="s">
        <v>507</v>
      </c>
      <c r="J218" s="19" t="s">
        <v>507</v>
      </c>
      <c r="K218" s="21" t="s">
        <v>509</v>
      </c>
      <c r="M218" s="1" t="s">
        <v>609</v>
      </c>
      <c r="N218" s="1"/>
      <c r="S218" s="13"/>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spans="1:1027" s="18" customFormat="1" x14ac:dyDescent="0.2">
      <c r="A219" s="18" t="s">
        <v>504</v>
      </c>
      <c r="B219" s="18" t="s">
        <v>795</v>
      </c>
      <c r="D219" s="18">
        <v>267</v>
      </c>
      <c r="E219" s="42" t="s">
        <v>506</v>
      </c>
      <c r="F219" s="19" t="s">
        <v>507</v>
      </c>
      <c r="G219" s="20" t="s">
        <v>508</v>
      </c>
      <c r="H219" s="19" t="s">
        <v>507</v>
      </c>
      <c r="I219" s="19" t="s">
        <v>507</v>
      </c>
      <c r="J219" s="19" t="s">
        <v>507</v>
      </c>
      <c r="K219" s="21" t="s">
        <v>509</v>
      </c>
      <c r="M219" s="1" t="s">
        <v>609</v>
      </c>
      <c r="N219" s="1"/>
      <c r="S219" s="13"/>
      <c r="T219" s="1"/>
      <c r="U219" s="1"/>
      <c r="V219" s="1"/>
      <c r="W219" s="1"/>
      <c r="X219" s="1"/>
      <c r="Y219" s="1"/>
      <c r="Z219" s="1"/>
      <c r="AA219" s="30"/>
      <c r="AB219" s="30"/>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spans="1:1027" s="18" customFormat="1" x14ac:dyDescent="0.2">
      <c r="A220" s="1" t="s">
        <v>504</v>
      </c>
      <c r="B220" s="1" t="s">
        <v>796</v>
      </c>
      <c r="C220" s="1"/>
      <c r="D220" s="1">
        <v>4</v>
      </c>
      <c r="E220" s="10" t="s">
        <v>506</v>
      </c>
      <c r="F220" s="10" t="s">
        <v>508</v>
      </c>
      <c r="G220" s="11" t="s">
        <v>508</v>
      </c>
      <c r="H220" s="10" t="s">
        <v>507</v>
      </c>
      <c r="I220" s="10"/>
      <c r="J220" s="10" t="s">
        <v>507</v>
      </c>
      <c r="K220" s="12"/>
      <c r="L220" s="18" t="s">
        <v>509</v>
      </c>
      <c r="M220" s="1"/>
      <c r="N220" s="1" t="s">
        <v>542</v>
      </c>
      <c r="O220" s="1"/>
      <c r="P220" s="1"/>
      <c r="Q220" s="1"/>
      <c r="R220" s="1"/>
      <c r="S220" s="13"/>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c r="ADD220" s="1"/>
      <c r="ADE220" s="1"/>
      <c r="ADF220" s="1"/>
      <c r="ADG220" s="1"/>
      <c r="ADH220" s="1"/>
      <c r="ADI220" s="1"/>
      <c r="ADJ220" s="1"/>
      <c r="ADK220" s="1"/>
      <c r="ADL220" s="1"/>
      <c r="ADM220" s="1"/>
      <c r="ADN220" s="1"/>
      <c r="ADO220" s="1"/>
      <c r="ADP220" s="1"/>
      <c r="ADQ220" s="1"/>
      <c r="ADR220" s="1"/>
      <c r="ADS220" s="1"/>
      <c r="ADT220" s="1"/>
      <c r="ADU220" s="1"/>
      <c r="ADV220" s="1"/>
      <c r="ADW220" s="1"/>
      <c r="ADX220" s="1"/>
      <c r="ADY220" s="1"/>
      <c r="ADZ220" s="1"/>
      <c r="AEA220" s="1"/>
      <c r="AEB220" s="1"/>
      <c r="AEC220" s="1"/>
      <c r="AED220" s="1"/>
      <c r="AEE220" s="1"/>
      <c r="AEF220" s="1"/>
      <c r="AEG220" s="1"/>
      <c r="AEH220" s="1"/>
      <c r="AEI220" s="1"/>
      <c r="AEJ220" s="1"/>
      <c r="AEK220" s="1"/>
      <c r="AEL220" s="1"/>
      <c r="AEM220" s="1"/>
      <c r="AEN220" s="1"/>
      <c r="AEO220" s="1"/>
      <c r="AEP220" s="1"/>
      <c r="AEQ220" s="1"/>
      <c r="AER220" s="1"/>
      <c r="AES220" s="1"/>
      <c r="AET220" s="1"/>
      <c r="AEU220" s="1"/>
      <c r="AEV220" s="1"/>
      <c r="AEW220" s="1"/>
      <c r="AEX220" s="1"/>
      <c r="AEY220" s="1"/>
      <c r="AEZ220" s="1"/>
      <c r="AFA220" s="1"/>
      <c r="AFB220" s="1"/>
      <c r="AFC220" s="1"/>
      <c r="AFD220" s="1"/>
      <c r="AFE220" s="1"/>
      <c r="AFF220" s="1"/>
      <c r="AFG220" s="1"/>
      <c r="AFH220" s="1"/>
      <c r="AFI220" s="1"/>
      <c r="AFJ220" s="1"/>
      <c r="AFK220" s="1"/>
      <c r="AFL220" s="1"/>
      <c r="AFM220" s="1"/>
      <c r="AFN220" s="1"/>
      <c r="AFO220" s="1"/>
      <c r="AFP220" s="1"/>
      <c r="AFQ220" s="1"/>
      <c r="AFR220" s="1"/>
      <c r="AFS220" s="1"/>
      <c r="AFT220" s="1"/>
      <c r="AFU220" s="1"/>
      <c r="AFV220" s="1"/>
      <c r="AFW220" s="1"/>
      <c r="AFX220" s="1"/>
      <c r="AFY220" s="1"/>
      <c r="AFZ220" s="1"/>
      <c r="AGA220" s="1"/>
      <c r="AGB220" s="1"/>
      <c r="AGC220" s="1"/>
      <c r="AGD220" s="1"/>
      <c r="AGE220" s="1"/>
      <c r="AGF220" s="1"/>
      <c r="AGG220" s="1"/>
      <c r="AGH220" s="1"/>
      <c r="AGI220" s="1"/>
      <c r="AGJ220" s="1"/>
      <c r="AGK220" s="1"/>
      <c r="AGL220" s="1"/>
      <c r="AGM220" s="1"/>
      <c r="AGN220" s="1"/>
      <c r="AGO220" s="1"/>
      <c r="AGP220" s="1"/>
      <c r="AGQ220" s="1"/>
      <c r="AGR220" s="1"/>
      <c r="AGS220" s="1"/>
      <c r="AGT220" s="1"/>
      <c r="AGU220" s="1"/>
      <c r="AGV220" s="1"/>
      <c r="AGW220" s="1"/>
      <c r="AGX220" s="1"/>
      <c r="AGY220" s="1"/>
      <c r="AGZ220" s="1"/>
      <c r="AHA220" s="1"/>
      <c r="AHB220" s="1"/>
      <c r="AHC220" s="1"/>
      <c r="AHD220" s="1"/>
      <c r="AHE220" s="1"/>
      <c r="AHF220" s="1"/>
      <c r="AHG220" s="1"/>
      <c r="AHH220" s="1"/>
      <c r="AHI220" s="1"/>
      <c r="AHJ220" s="1"/>
      <c r="AHK220" s="1"/>
      <c r="AHL220" s="1"/>
      <c r="AHM220" s="1"/>
      <c r="AHN220" s="1"/>
      <c r="AHO220" s="1"/>
      <c r="AHP220" s="1"/>
      <c r="AHQ220" s="1"/>
      <c r="AHR220" s="1"/>
      <c r="AHS220" s="1"/>
      <c r="AHT220" s="1"/>
      <c r="AHU220" s="1"/>
      <c r="AHV220" s="1"/>
      <c r="AHW220" s="1"/>
      <c r="AHX220" s="1"/>
      <c r="AHY220" s="1"/>
      <c r="AHZ220" s="1"/>
      <c r="AIA220" s="1"/>
      <c r="AIB220" s="1"/>
      <c r="AIC220" s="1"/>
      <c r="AID220" s="1"/>
      <c r="AIE220" s="1"/>
      <c r="AIF220" s="1"/>
      <c r="AIG220" s="1"/>
      <c r="AIH220" s="1"/>
      <c r="AII220" s="1"/>
      <c r="AIJ220" s="1"/>
      <c r="AIK220" s="1"/>
      <c r="AIL220" s="1"/>
      <c r="AIM220" s="1"/>
      <c r="AIN220" s="1"/>
      <c r="AIO220" s="1"/>
      <c r="AIP220" s="1"/>
      <c r="AIQ220" s="1"/>
      <c r="AIR220" s="1"/>
      <c r="AIS220" s="1"/>
      <c r="AIT220" s="1"/>
      <c r="AIU220" s="1"/>
      <c r="AIV220" s="1"/>
      <c r="AIW220" s="1"/>
      <c r="AIX220" s="1"/>
      <c r="AIY220" s="1"/>
      <c r="AIZ220" s="1"/>
      <c r="AJA220" s="1"/>
      <c r="AJB220" s="1"/>
      <c r="AJC220" s="1"/>
      <c r="AJD220" s="1"/>
      <c r="AJE220" s="1"/>
      <c r="AJF220" s="1"/>
      <c r="AJG220" s="1"/>
      <c r="AJH220" s="1"/>
      <c r="AJI220" s="1"/>
      <c r="AJJ220" s="1"/>
      <c r="AJK220" s="1"/>
      <c r="AJL220" s="1"/>
      <c r="AJM220" s="1"/>
      <c r="AJN220" s="1"/>
      <c r="AJO220" s="1"/>
      <c r="AJP220" s="1"/>
      <c r="AJQ220" s="1"/>
      <c r="AJR220" s="1"/>
      <c r="AJS220" s="1"/>
      <c r="AJT220" s="1"/>
      <c r="AJU220" s="1"/>
      <c r="AJV220" s="1"/>
      <c r="AJW220" s="1"/>
      <c r="AJX220" s="1"/>
      <c r="AJY220" s="1"/>
      <c r="AJZ220" s="1"/>
      <c r="AKA220" s="1"/>
      <c r="AKB220" s="1"/>
      <c r="AKC220" s="1"/>
      <c r="AKD220" s="1"/>
      <c r="AKE220" s="1"/>
      <c r="AKF220" s="1"/>
      <c r="AKG220" s="1"/>
      <c r="AKH220" s="1"/>
      <c r="AKI220" s="1"/>
      <c r="AKJ220" s="1"/>
      <c r="AKK220" s="1"/>
      <c r="AKL220" s="1"/>
      <c r="AKM220" s="1"/>
      <c r="AKN220" s="1"/>
      <c r="AKO220" s="1"/>
      <c r="AKP220" s="1"/>
      <c r="AKQ220" s="1"/>
      <c r="AKR220" s="1"/>
      <c r="AKS220" s="1"/>
      <c r="AKT220" s="1"/>
      <c r="AKU220" s="1"/>
      <c r="AKV220" s="1"/>
      <c r="AKW220" s="1"/>
      <c r="AKX220" s="1"/>
      <c r="AKY220" s="1"/>
      <c r="AKZ220" s="1"/>
      <c r="ALA220" s="1"/>
      <c r="ALB220" s="1"/>
      <c r="ALC220" s="1"/>
      <c r="ALD220" s="1"/>
      <c r="ALE220" s="1"/>
      <c r="ALF220" s="1"/>
      <c r="ALG220" s="1"/>
      <c r="ALH220" s="1"/>
      <c r="ALI220" s="1"/>
      <c r="ALJ220" s="1"/>
      <c r="ALK220" s="1"/>
      <c r="ALL220" s="1"/>
      <c r="ALM220" s="1"/>
      <c r="ALN220" s="1"/>
      <c r="ALO220" s="1"/>
      <c r="ALP220" s="1"/>
      <c r="ALQ220" s="1"/>
      <c r="ALR220" s="1"/>
      <c r="ALS220" s="1"/>
      <c r="ALT220" s="1"/>
      <c r="ALU220" s="1"/>
      <c r="ALV220" s="1"/>
      <c r="ALW220" s="1"/>
      <c r="ALX220" s="1"/>
      <c r="ALY220" s="1"/>
      <c r="ALZ220" s="1"/>
      <c r="AMA220" s="1"/>
      <c r="AMB220" s="1"/>
      <c r="AMC220" s="1"/>
      <c r="AMD220" s="1"/>
      <c r="AME220" s="1"/>
      <c r="AMF220" s="1"/>
      <c r="AMG220" s="1"/>
      <c r="AMH220" s="1"/>
      <c r="AMI220" s="1"/>
      <c r="AMJ220" s="1"/>
      <c r="AMK220" s="1"/>
    </row>
    <row r="221" spans="1:1027" x14ac:dyDescent="0.2">
      <c r="A221" s="18" t="s">
        <v>504</v>
      </c>
      <c r="B221" s="18" t="s">
        <v>797</v>
      </c>
      <c r="C221" s="18"/>
      <c r="D221" s="18">
        <v>231</v>
      </c>
      <c r="E221" s="19" t="s">
        <v>506</v>
      </c>
      <c r="F221" s="19" t="s">
        <v>507</v>
      </c>
      <c r="G221" s="20" t="s">
        <v>540</v>
      </c>
      <c r="H221" s="19" t="s">
        <v>507</v>
      </c>
      <c r="I221" s="19" t="s">
        <v>507</v>
      </c>
      <c r="J221" s="19" t="s">
        <v>507</v>
      </c>
      <c r="K221" s="21" t="s">
        <v>509</v>
      </c>
      <c r="L221" s="18"/>
      <c r="M221" s="1" t="s">
        <v>609</v>
      </c>
      <c r="O221" s="18"/>
      <c r="P221" s="18"/>
      <c r="Q221" s="18"/>
      <c r="R221" s="18"/>
    </row>
    <row r="222" spans="1:1027" x14ac:dyDescent="0.2">
      <c r="A222" s="1" t="s">
        <v>504</v>
      </c>
      <c r="B222" s="1" t="s">
        <v>798</v>
      </c>
      <c r="D222" s="1">
        <v>21</v>
      </c>
      <c r="E222" s="10" t="s">
        <v>506</v>
      </c>
      <c r="F222" s="10" t="s">
        <v>508</v>
      </c>
      <c r="G222" s="11" t="s">
        <v>508</v>
      </c>
      <c r="H222" s="10" t="s">
        <v>507</v>
      </c>
      <c r="J222" s="10" t="s">
        <v>507</v>
      </c>
      <c r="L222" s="18" t="s">
        <v>509</v>
      </c>
      <c r="N222" s="1" t="s">
        <v>542</v>
      </c>
    </row>
    <row r="223" spans="1:1027" x14ac:dyDescent="0.2">
      <c r="A223" s="18">
        <v>1</v>
      </c>
      <c r="B223" s="18" t="s">
        <v>142</v>
      </c>
      <c r="C223" s="18"/>
      <c r="D223" s="18">
        <v>157</v>
      </c>
      <c r="E223" s="19" t="s">
        <v>507</v>
      </c>
      <c r="F223" s="19" t="s">
        <v>507</v>
      </c>
      <c r="G223" s="20" t="s">
        <v>507</v>
      </c>
      <c r="H223" s="19" t="s">
        <v>507</v>
      </c>
      <c r="I223" s="19" t="s">
        <v>507</v>
      </c>
      <c r="J223" s="19" t="s">
        <v>507</v>
      </c>
      <c r="K223" s="21" t="s">
        <v>509</v>
      </c>
      <c r="L223" s="18"/>
      <c r="M223" s="1" t="s">
        <v>609</v>
      </c>
      <c r="O223" s="18"/>
      <c r="P223" s="18"/>
      <c r="Q223" s="18"/>
      <c r="R223" s="18"/>
    </row>
    <row r="224" spans="1:1027" x14ac:dyDescent="0.2">
      <c r="A224" s="18" t="s">
        <v>504</v>
      </c>
      <c r="B224" s="18" t="s">
        <v>799</v>
      </c>
      <c r="C224" s="18"/>
      <c r="D224" s="18">
        <v>34</v>
      </c>
      <c r="E224" s="19" t="s">
        <v>506</v>
      </c>
      <c r="F224" s="19" t="s">
        <v>507</v>
      </c>
      <c r="G224" s="20" t="s">
        <v>508</v>
      </c>
      <c r="H224" s="19" t="s">
        <v>507</v>
      </c>
      <c r="I224" s="19"/>
      <c r="J224" s="19" t="s">
        <v>507</v>
      </c>
      <c r="K224" s="23"/>
      <c r="L224" s="18"/>
      <c r="O224" s="18"/>
      <c r="P224" s="18"/>
      <c r="Q224" s="18"/>
      <c r="R224" s="18"/>
      <c r="S224" s="13" t="s">
        <v>800</v>
      </c>
      <c r="AA224" s="30"/>
      <c r="AB224" s="30"/>
      <c r="AML224" s="31"/>
      <c r="AMM224" s="71"/>
    </row>
    <row r="225" spans="1:75 1026:1027" s="71" customFormat="1" x14ac:dyDescent="0.2">
      <c r="A225" s="1" t="s">
        <v>521</v>
      </c>
      <c r="B225" s="1" t="s">
        <v>801</v>
      </c>
      <c r="C225" s="1"/>
      <c r="D225" s="1">
        <v>11</v>
      </c>
      <c r="E225" s="10" t="s">
        <v>506</v>
      </c>
      <c r="F225" s="10" t="s">
        <v>508</v>
      </c>
      <c r="G225" s="11" t="s">
        <v>508</v>
      </c>
      <c r="H225" s="10" t="s">
        <v>507</v>
      </c>
      <c r="I225" s="10"/>
      <c r="J225" s="10" t="s">
        <v>507</v>
      </c>
      <c r="K225" s="12"/>
      <c r="L225" s="18" t="s">
        <v>509</v>
      </c>
      <c r="M225" s="1"/>
      <c r="N225" s="1" t="s">
        <v>542</v>
      </c>
      <c r="O225" s="1"/>
      <c r="P225" s="1"/>
      <c r="Q225" s="1"/>
      <c r="R225" s="1"/>
      <c r="S225" s="13"/>
      <c r="T225" s="6"/>
      <c r="AMM225" s="18"/>
    </row>
    <row r="226" spans="1:75 1026:1027" s="18" customFormat="1" x14ac:dyDescent="0.2">
      <c r="A226" s="18">
        <v>4</v>
      </c>
      <c r="B226" s="18" t="s">
        <v>802</v>
      </c>
      <c r="C226" s="18" t="s">
        <v>803</v>
      </c>
      <c r="D226" s="18">
        <v>491</v>
      </c>
      <c r="E226" s="19" t="s">
        <v>507</v>
      </c>
      <c r="F226" s="19" t="s">
        <v>507</v>
      </c>
      <c r="G226" s="20" t="s">
        <v>540</v>
      </c>
      <c r="H226" s="19" t="s">
        <v>507</v>
      </c>
      <c r="I226" s="19"/>
      <c r="J226" s="32" t="s">
        <v>507</v>
      </c>
      <c r="K226" s="21" t="s">
        <v>509</v>
      </c>
      <c r="M226" s="1" t="s">
        <v>542</v>
      </c>
      <c r="N226" s="1"/>
      <c r="Q226" s="18" t="s">
        <v>527</v>
      </c>
      <c r="S226" s="13"/>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AMM226" s="71"/>
    </row>
    <row r="227" spans="1:75 1026:1027" s="18" customFormat="1" x14ac:dyDescent="0.2">
      <c r="A227" s="18">
        <v>3</v>
      </c>
      <c r="B227" s="18" t="s">
        <v>804</v>
      </c>
      <c r="C227" s="18" t="s">
        <v>805</v>
      </c>
      <c r="D227" s="18">
        <v>497</v>
      </c>
      <c r="E227" s="42" t="s">
        <v>507</v>
      </c>
      <c r="F227" s="42" t="s">
        <v>507</v>
      </c>
      <c r="G227" s="43" t="s">
        <v>507</v>
      </c>
      <c r="H227" s="42" t="s">
        <v>507</v>
      </c>
      <c r="I227" s="42"/>
      <c r="J227" s="67" t="s">
        <v>507</v>
      </c>
      <c r="K227" s="21" t="s">
        <v>509</v>
      </c>
      <c r="M227" s="1" t="s">
        <v>598</v>
      </c>
      <c r="N227" s="1"/>
      <c r="S227" s="13" t="s">
        <v>806</v>
      </c>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spans="1:75 1026:1027" x14ac:dyDescent="0.2">
      <c r="A228" s="18">
        <v>4</v>
      </c>
      <c r="B228" s="28" t="s">
        <v>807</v>
      </c>
      <c r="C228" s="28" t="s">
        <v>803</v>
      </c>
      <c r="D228" s="28">
        <v>371</v>
      </c>
      <c r="E228" s="42" t="s">
        <v>507</v>
      </c>
      <c r="F228" s="42" t="s">
        <v>508</v>
      </c>
      <c r="G228" s="43" t="s">
        <v>508</v>
      </c>
      <c r="H228" s="42" t="s">
        <v>507</v>
      </c>
      <c r="I228" s="42"/>
      <c r="J228" s="42" t="s">
        <v>549</v>
      </c>
      <c r="K228" s="72" t="s">
        <v>509</v>
      </c>
      <c r="L228" s="28"/>
      <c r="M228" s="33" t="s">
        <v>598</v>
      </c>
      <c r="N228" s="33"/>
      <c r="O228" s="28"/>
      <c r="P228" s="28"/>
      <c r="Q228" s="28"/>
      <c r="R228" s="28"/>
      <c r="AML228" s="18"/>
      <c r="AMM228" s="18"/>
    </row>
    <row r="229" spans="1:75 1026:1027" s="31" customFormat="1" x14ac:dyDescent="0.2">
      <c r="A229" s="18">
        <v>4</v>
      </c>
      <c r="B229" s="18" t="s">
        <v>808</v>
      </c>
      <c r="C229" s="18" t="s">
        <v>803</v>
      </c>
      <c r="D229" s="18">
        <v>306</v>
      </c>
      <c r="E229" s="42" t="s">
        <v>507</v>
      </c>
      <c r="F229" s="19">
        <v>225</v>
      </c>
      <c r="G229" s="20" t="s">
        <v>508</v>
      </c>
      <c r="H229" s="42" t="s">
        <v>507</v>
      </c>
      <c r="I229" s="42"/>
      <c r="J229" s="67" t="s">
        <v>507</v>
      </c>
      <c r="K229" s="21" t="s">
        <v>509</v>
      </c>
      <c r="L229" s="18"/>
      <c r="M229" s="1" t="s">
        <v>598</v>
      </c>
      <c r="N229" s="1"/>
      <c r="O229" s="18"/>
      <c r="P229" s="18"/>
      <c r="Q229" s="18"/>
      <c r="R229" s="18"/>
      <c r="S229" s="13" t="s">
        <v>809</v>
      </c>
      <c r="T229" s="6"/>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AMM229" s="18"/>
    </row>
    <row r="230" spans="1:75 1026:1027" s="18" customFormat="1" x14ac:dyDescent="0.2">
      <c r="A230" s="18">
        <v>4</v>
      </c>
      <c r="B230" s="18" t="s">
        <v>810</v>
      </c>
      <c r="C230" s="18" t="s">
        <v>803</v>
      </c>
      <c r="D230" s="18">
        <v>449</v>
      </c>
      <c r="E230" s="42" t="s">
        <v>507</v>
      </c>
      <c r="F230" s="19" t="s">
        <v>507</v>
      </c>
      <c r="G230" s="20" t="s">
        <v>508</v>
      </c>
      <c r="H230" s="42" t="s">
        <v>507</v>
      </c>
      <c r="I230" s="42"/>
      <c r="J230" s="42" t="s">
        <v>507</v>
      </c>
      <c r="K230" s="23"/>
      <c r="M230" s="1"/>
      <c r="N230" s="1"/>
      <c r="S230" s="70" t="s">
        <v>640</v>
      </c>
      <c r="T230" s="33"/>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AMM230" s="31"/>
    </row>
    <row r="231" spans="1:75 1026:1027" s="31" customFormat="1" x14ac:dyDescent="0.2">
      <c r="A231" s="18">
        <v>4</v>
      </c>
      <c r="B231" s="18" t="s">
        <v>811</v>
      </c>
      <c r="C231" s="18" t="s">
        <v>803</v>
      </c>
      <c r="D231" s="18">
        <v>354</v>
      </c>
      <c r="E231" s="42" t="s">
        <v>507</v>
      </c>
      <c r="F231" s="19" t="s">
        <v>507</v>
      </c>
      <c r="G231" s="20" t="s">
        <v>508</v>
      </c>
      <c r="H231" s="42" t="s">
        <v>507</v>
      </c>
      <c r="I231" s="42"/>
      <c r="J231" s="42" t="s">
        <v>507</v>
      </c>
      <c r="K231" s="23"/>
      <c r="L231" s="18"/>
      <c r="M231" s="1"/>
      <c r="N231" s="1"/>
      <c r="O231" s="18"/>
      <c r="P231" s="18"/>
      <c r="Q231" s="18"/>
      <c r="R231" s="18"/>
      <c r="S231" s="13" t="s">
        <v>640</v>
      </c>
      <c r="T231" s="6"/>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AMM231" s="18"/>
    </row>
    <row r="232" spans="1:75 1026:1027" s="18" customFormat="1" x14ac:dyDescent="0.2">
      <c r="A232" s="1">
        <v>4</v>
      </c>
      <c r="B232" s="1" t="s">
        <v>812</v>
      </c>
      <c r="C232" s="1" t="s">
        <v>803</v>
      </c>
      <c r="D232" s="1">
        <v>486</v>
      </c>
      <c r="E232" s="10" t="s">
        <v>507</v>
      </c>
      <c r="F232" s="10">
        <v>290</v>
      </c>
      <c r="G232" s="11" t="s">
        <v>508</v>
      </c>
      <c r="H232" s="10" t="s">
        <v>507</v>
      </c>
      <c r="I232" s="10"/>
      <c r="J232" s="10" t="s">
        <v>507</v>
      </c>
      <c r="K232" s="73"/>
      <c r="L232" s="26"/>
      <c r="M232" s="1"/>
      <c r="N232" s="1"/>
      <c r="O232" s="1"/>
      <c r="P232" s="1"/>
      <c r="Q232" s="1"/>
      <c r="R232" s="1"/>
      <c r="S232" s="13" t="s">
        <v>640</v>
      </c>
      <c r="T232" s="6"/>
      <c r="U232" s="1"/>
      <c r="V232" s="1"/>
      <c r="W232" s="1"/>
      <c r="X232" s="1"/>
      <c r="Y232" s="1"/>
      <c r="Z232" s="1"/>
      <c r="AA232" s="30"/>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AMM232" s="31"/>
    </row>
    <row r="233" spans="1:75 1026:1027" s="18" customFormat="1" x14ac:dyDescent="0.2">
      <c r="A233" s="1">
        <v>4</v>
      </c>
      <c r="B233" s="1" t="s">
        <v>813</v>
      </c>
      <c r="C233" s="1" t="s">
        <v>803</v>
      </c>
      <c r="D233" s="1">
        <v>452</v>
      </c>
      <c r="E233" s="10" t="s">
        <v>507</v>
      </c>
      <c r="F233" s="10">
        <v>66</v>
      </c>
      <c r="G233" s="11" t="s">
        <v>508</v>
      </c>
      <c r="H233" s="10" t="s">
        <v>507</v>
      </c>
      <c r="I233" s="10"/>
      <c r="J233" s="10" t="s">
        <v>507</v>
      </c>
      <c r="K233" s="73"/>
      <c r="L233" s="26"/>
      <c r="M233" s="1"/>
      <c r="N233" s="1"/>
      <c r="O233" s="1"/>
      <c r="P233" s="1"/>
      <c r="Q233" s="1"/>
      <c r="R233" s="1"/>
      <c r="S233" s="13"/>
      <c r="T233" s="6"/>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spans="1:75 1026:1027" s="31" customFormat="1" x14ac:dyDescent="0.2">
      <c r="A234" s="1">
        <v>4</v>
      </c>
      <c r="B234" s="1" t="s">
        <v>814</v>
      </c>
      <c r="C234" s="1" t="s">
        <v>803</v>
      </c>
      <c r="D234" s="1">
        <v>436</v>
      </c>
      <c r="E234" s="10" t="s">
        <v>507</v>
      </c>
      <c r="F234" s="10" t="s">
        <v>508</v>
      </c>
      <c r="G234" s="11" t="s">
        <v>508</v>
      </c>
      <c r="H234" s="10"/>
      <c r="I234" s="10"/>
      <c r="J234" s="10" t="s">
        <v>507</v>
      </c>
      <c r="K234" s="73"/>
      <c r="L234" s="26"/>
      <c r="M234" s="1"/>
      <c r="N234" s="1"/>
      <c r="O234" s="1"/>
      <c r="P234" s="1"/>
      <c r="Q234" s="1"/>
      <c r="R234" s="1"/>
      <c r="S234" s="13"/>
      <c r="T234" s="6"/>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AMM234" s="18"/>
    </row>
    <row r="235" spans="1:75 1026:1027" s="18" customFormat="1" x14ac:dyDescent="0.2">
      <c r="A235" s="18">
        <v>4</v>
      </c>
      <c r="B235" s="18" t="s">
        <v>815</v>
      </c>
      <c r="C235" s="18" t="s">
        <v>803</v>
      </c>
      <c r="D235" s="18">
        <v>479</v>
      </c>
      <c r="E235" s="19" t="s">
        <v>507</v>
      </c>
      <c r="F235" s="19" t="s">
        <v>507</v>
      </c>
      <c r="G235" s="20" t="s">
        <v>508</v>
      </c>
      <c r="H235" s="19" t="s">
        <v>507</v>
      </c>
      <c r="I235" s="19"/>
      <c r="J235" s="19" t="s">
        <v>507</v>
      </c>
      <c r="K235" s="23"/>
      <c r="M235" s="1"/>
      <c r="N235" s="1"/>
      <c r="S235" s="13" t="s">
        <v>640</v>
      </c>
      <c r="T235" s="6"/>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AMM235" s="31"/>
    </row>
    <row r="236" spans="1:75 1026:1027" s="18" customFormat="1" x14ac:dyDescent="0.2">
      <c r="A236" s="18">
        <v>4</v>
      </c>
      <c r="B236" s="18" t="s">
        <v>816</v>
      </c>
      <c r="C236" s="18" t="s">
        <v>803</v>
      </c>
      <c r="D236" s="18">
        <v>433</v>
      </c>
      <c r="E236" s="19" t="s">
        <v>507</v>
      </c>
      <c r="F236" s="19" t="s">
        <v>507</v>
      </c>
      <c r="G236" s="20" t="s">
        <v>508</v>
      </c>
      <c r="H236" s="19" t="s">
        <v>507</v>
      </c>
      <c r="I236" s="19"/>
      <c r="J236" s="19" t="s">
        <v>507</v>
      </c>
      <c r="K236" s="23"/>
      <c r="M236" s="1"/>
      <c r="N236" s="1"/>
      <c r="S236" s="13" t="s">
        <v>640</v>
      </c>
      <c r="T236" s="6"/>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row>
    <row r="237" spans="1:75 1026:1027" s="18" customFormat="1" x14ac:dyDescent="0.2">
      <c r="A237" s="18">
        <v>4</v>
      </c>
      <c r="B237" s="18" t="s">
        <v>817</v>
      </c>
      <c r="C237" s="18" t="s">
        <v>803</v>
      </c>
      <c r="D237" s="28">
        <v>467</v>
      </c>
      <c r="E237" s="42" t="s">
        <v>507</v>
      </c>
      <c r="F237" s="19" t="s">
        <v>507</v>
      </c>
      <c r="G237" s="20" t="s">
        <v>508</v>
      </c>
      <c r="H237" s="42" t="s">
        <v>507</v>
      </c>
      <c r="I237" s="42"/>
      <c r="J237" s="42" t="s">
        <v>507</v>
      </c>
      <c r="K237" s="23"/>
      <c r="M237" s="1"/>
      <c r="N237" s="1"/>
      <c r="S237" s="13" t="s">
        <v>640</v>
      </c>
      <c r="T237" s="6"/>
      <c r="U237" s="1"/>
      <c r="V237" s="1"/>
      <c r="W237" s="1"/>
      <c r="X237" s="1"/>
      <c r="Y237" s="1"/>
      <c r="Z237" s="1"/>
      <c r="AA237" s="30"/>
      <c r="AB237" s="30"/>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row>
    <row r="238" spans="1:75 1026:1027" x14ac:dyDescent="0.2">
      <c r="A238" s="1">
        <v>4</v>
      </c>
      <c r="B238" s="1" t="s">
        <v>818</v>
      </c>
      <c r="C238" s="1" t="s">
        <v>803</v>
      </c>
      <c r="D238" s="1">
        <v>421</v>
      </c>
      <c r="E238" s="10" t="s">
        <v>507</v>
      </c>
      <c r="F238" s="10" t="s">
        <v>508</v>
      </c>
      <c r="G238" s="11" t="s">
        <v>508</v>
      </c>
      <c r="H238" s="10" t="s">
        <v>507</v>
      </c>
      <c r="J238" s="10" t="s">
        <v>507</v>
      </c>
      <c r="K238" s="73" t="s">
        <v>819</v>
      </c>
      <c r="L238" s="26"/>
      <c r="M238" s="1" t="s">
        <v>819</v>
      </c>
      <c r="T238" s="6"/>
      <c r="U238" s="33"/>
      <c r="V238" s="33"/>
      <c r="W238" s="33"/>
      <c r="X238" s="33"/>
      <c r="Y238" s="33"/>
      <c r="Z238" s="33"/>
      <c r="AA238" s="33"/>
      <c r="AB238" s="33"/>
      <c r="AC238" s="33"/>
      <c r="AML238" s="18"/>
      <c r="AMM238" s="18"/>
    </row>
    <row r="239" spans="1:75 1026:1027" s="18" customFormat="1" x14ac:dyDescent="0.2">
      <c r="A239" s="1">
        <v>4</v>
      </c>
      <c r="B239" s="1" t="s">
        <v>820</v>
      </c>
      <c r="C239" s="1" t="s">
        <v>803</v>
      </c>
      <c r="D239" s="1">
        <v>521</v>
      </c>
      <c r="E239" s="10" t="s">
        <v>507</v>
      </c>
      <c r="F239" s="10" t="s">
        <v>508</v>
      </c>
      <c r="G239" s="11" t="s">
        <v>508</v>
      </c>
      <c r="H239" s="10"/>
      <c r="I239" s="10"/>
      <c r="J239" s="10" t="s">
        <v>507</v>
      </c>
      <c r="K239" s="73" t="s">
        <v>819</v>
      </c>
      <c r="L239" s="26"/>
      <c r="M239" s="1" t="s">
        <v>819</v>
      </c>
      <c r="N239" s="1"/>
      <c r="O239" s="1"/>
      <c r="P239" s="1"/>
      <c r="Q239" s="1"/>
      <c r="R239" s="1"/>
      <c r="S239" s="13" t="s">
        <v>821</v>
      </c>
      <c r="T239" s="6"/>
      <c r="U239" s="1"/>
      <c r="V239" s="1"/>
      <c r="W239" s="1"/>
      <c r="X239" s="1"/>
      <c r="Y239" s="1"/>
      <c r="Z239" s="1"/>
      <c r="AA239" s="30"/>
      <c r="AB239" s="30"/>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row>
    <row r="240" spans="1:75 1026:1027" s="18" customFormat="1" x14ac:dyDescent="0.2">
      <c r="A240" s="1">
        <v>4</v>
      </c>
      <c r="B240" s="1" t="s">
        <v>822</v>
      </c>
      <c r="C240" s="1" t="s">
        <v>803</v>
      </c>
      <c r="D240" s="1">
        <v>248</v>
      </c>
      <c r="E240" s="10" t="s">
        <v>507</v>
      </c>
      <c r="F240" s="10" t="s">
        <v>508</v>
      </c>
      <c r="G240" s="11" t="s">
        <v>508</v>
      </c>
      <c r="H240" s="10" t="s">
        <v>507</v>
      </c>
      <c r="I240" s="10"/>
      <c r="J240" s="10" t="s">
        <v>507</v>
      </c>
      <c r="K240" s="73" t="s">
        <v>819</v>
      </c>
      <c r="L240" s="26"/>
      <c r="M240" s="1" t="s">
        <v>819</v>
      </c>
      <c r="N240" s="1"/>
      <c r="O240" s="1"/>
      <c r="P240" s="1"/>
      <c r="Q240" s="1"/>
      <c r="R240" s="1"/>
      <c r="S240" s="13" t="s">
        <v>823</v>
      </c>
      <c r="T240" s="6"/>
      <c r="U240" s="1"/>
      <c r="V240" s="1"/>
      <c r="W240" s="1"/>
      <c r="X240" s="1"/>
      <c r="Y240" s="1"/>
      <c r="Z240" s="1"/>
      <c r="AA240" s="30"/>
      <c r="AB240" s="30"/>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row>
    <row r="241" spans="1:75 1026:1027" s="18" customFormat="1" x14ac:dyDescent="0.2">
      <c r="A241" s="18">
        <v>3</v>
      </c>
      <c r="B241" s="18" t="s">
        <v>824</v>
      </c>
      <c r="C241" s="18" t="s">
        <v>825</v>
      </c>
      <c r="D241" s="18">
        <v>89</v>
      </c>
      <c r="E241" s="19" t="s">
        <v>507</v>
      </c>
      <c r="F241" s="19" t="s">
        <v>507</v>
      </c>
      <c r="G241" s="20" t="s">
        <v>540</v>
      </c>
      <c r="H241" s="19" t="s">
        <v>507</v>
      </c>
      <c r="I241" s="19" t="s">
        <v>507</v>
      </c>
      <c r="J241" s="19" t="s">
        <v>507</v>
      </c>
      <c r="K241" s="21" t="s">
        <v>509</v>
      </c>
      <c r="M241" s="1" t="s">
        <v>609</v>
      </c>
      <c r="N241" s="1"/>
      <c r="S241" s="13"/>
      <c r="T241" s="6"/>
      <c r="U241" s="1"/>
      <c r="V241" s="1"/>
      <c r="W241" s="1"/>
      <c r="X241" s="1"/>
      <c r="Y241" s="1"/>
      <c r="Z241" s="1"/>
      <c r="AA241" s="30"/>
      <c r="AB241" s="30"/>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row>
    <row r="242" spans="1:75 1026:1027" x14ac:dyDescent="0.2">
      <c r="A242" s="1">
        <v>4</v>
      </c>
      <c r="B242" s="1" t="s">
        <v>317</v>
      </c>
      <c r="C242" s="1" t="s">
        <v>826</v>
      </c>
      <c r="D242" s="1">
        <v>362</v>
      </c>
      <c r="E242" s="24" t="s">
        <v>507</v>
      </c>
      <c r="F242" s="24" t="s">
        <v>508</v>
      </c>
      <c r="G242" s="25" t="s">
        <v>508</v>
      </c>
      <c r="H242" s="24"/>
      <c r="I242" s="24"/>
      <c r="J242" s="24" t="s">
        <v>507</v>
      </c>
      <c r="L242" s="26"/>
      <c r="T242" s="6"/>
      <c r="AML242" s="18"/>
      <c r="AMM242" s="18"/>
    </row>
    <row r="243" spans="1:75 1026:1027" x14ac:dyDescent="0.2">
      <c r="A243" s="18">
        <v>2</v>
      </c>
      <c r="B243" s="18" t="s">
        <v>323</v>
      </c>
      <c r="C243" s="18" t="s">
        <v>325</v>
      </c>
      <c r="D243" s="18">
        <v>197</v>
      </c>
      <c r="E243" s="42" t="s">
        <v>507</v>
      </c>
      <c r="F243" s="42" t="s">
        <v>507</v>
      </c>
      <c r="G243" s="43" t="s">
        <v>507</v>
      </c>
      <c r="H243" s="42" t="s">
        <v>507</v>
      </c>
      <c r="I243" s="42" t="s">
        <v>507</v>
      </c>
      <c r="J243" s="42" t="s">
        <v>507</v>
      </c>
      <c r="K243" s="21" t="s">
        <v>509</v>
      </c>
      <c r="L243" s="18"/>
      <c r="M243" s="1" t="s">
        <v>609</v>
      </c>
      <c r="O243" s="18"/>
      <c r="P243" s="18"/>
      <c r="Q243" s="18"/>
      <c r="R243" s="18"/>
      <c r="T243" s="6"/>
    </row>
    <row r="244" spans="1:75 1026:1027" x14ac:dyDescent="0.2">
      <c r="A244" s="18">
        <v>1</v>
      </c>
      <c r="B244" s="18" t="s">
        <v>147</v>
      </c>
      <c r="C244" s="18"/>
      <c r="D244" s="18">
        <v>185</v>
      </c>
      <c r="E244" s="42" t="s">
        <v>507</v>
      </c>
      <c r="F244" s="42" t="s">
        <v>507</v>
      </c>
      <c r="G244" s="43" t="s">
        <v>611</v>
      </c>
      <c r="H244" s="42" t="s">
        <v>507</v>
      </c>
      <c r="I244" s="42" t="s">
        <v>507</v>
      </c>
      <c r="J244" s="42" t="s">
        <v>507</v>
      </c>
      <c r="K244" s="21" t="s">
        <v>509</v>
      </c>
      <c r="L244" s="18"/>
      <c r="M244" s="1" t="s">
        <v>609</v>
      </c>
      <c r="O244" s="18"/>
      <c r="P244" s="18"/>
      <c r="Q244" s="18"/>
      <c r="R244" s="18"/>
      <c r="AML244" s="18"/>
      <c r="AMM244" s="18"/>
    </row>
    <row r="245" spans="1:75 1026:1027" s="18" customFormat="1" x14ac:dyDescent="0.2">
      <c r="A245" s="18">
        <v>2</v>
      </c>
      <c r="B245" s="18" t="s">
        <v>384</v>
      </c>
      <c r="C245" s="18" t="s">
        <v>386</v>
      </c>
      <c r="D245" s="18">
        <v>42</v>
      </c>
      <c r="E245" s="42" t="s">
        <v>507</v>
      </c>
      <c r="F245" s="42" t="s">
        <v>507</v>
      </c>
      <c r="G245" s="43" t="s">
        <v>508</v>
      </c>
      <c r="H245" s="42" t="s">
        <v>507</v>
      </c>
      <c r="I245" s="42" t="s">
        <v>507</v>
      </c>
      <c r="J245" s="42" t="s">
        <v>507</v>
      </c>
      <c r="K245" s="21" t="s">
        <v>509</v>
      </c>
      <c r="M245" s="1" t="s">
        <v>827</v>
      </c>
      <c r="N245" s="1"/>
      <c r="S245" s="13"/>
      <c r="T245" s="1"/>
      <c r="U245" s="1"/>
      <c r="V245" s="1"/>
      <c r="W245" s="1"/>
      <c r="X245" s="1"/>
      <c r="Y245" s="1"/>
      <c r="Z245" s="1"/>
      <c r="AA245" s="30"/>
      <c r="AB245" s="30"/>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row>
    <row r="246" spans="1:75 1026:1027" s="18" customFormat="1" x14ac:dyDescent="0.2">
      <c r="A246" s="18" t="s">
        <v>504</v>
      </c>
      <c r="B246" s="18" t="s">
        <v>828</v>
      </c>
      <c r="D246" s="18">
        <v>81</v>
      </c>
      <c r="E246" s="19" t="s">
        <v>506</v>
      </c>
      <c r="F246" s="19" t="s">
        <v>507</v>
      </c>
      <c r="G246" s="20" t="s">
        <v>507</v>
      </c>
      <c r="H246" s="19" t="s">
        <v>507</v>
      </c>
      <c r="I246" s="19" t="s">
        <v>507</v>
      </c>
      <c r="J246" s="19" t="s">
        <v>507</v>
      </c>
      <c r="K246" s="21" t="s">
        <v>509</v>
      </c>
      <c r="M246" s="1" t="s">
        <v>827</v>
      </c>
      <c r="N246" s="1"/>
      <c r="S246" s="13"/>
      <c r="T246" s="1"/>
      <c r="U246" s="1"/>
      <c r="V246" s="1"/>
      <c r="W246" s="1"/>
      <c r="X246" s="1"/>
      <c r="Y246" s="1"/>
      <c r="Z246" s="1"/>
      <c r="AA246" s="30"/>
      <c r="AB246" s="30"/>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row>
    <row r="247" spans="1:75 1026:1027" s="28" customFormat="1" x14ac:dyDescent="0.2">
      <c r="A247" s="18">
        <v>3</v>
      </c>
      <c r="B247" s="18" t="s">
        <v>329</v>
      </c>
      <c r="C247" s="18" t="s">
        <v>829</v>
      </c>
      <c r="D247" s="18">
        <v>72</v>
      </c>
      <c r="E247" s="42" t="s">
        <v>507</v>
      </c>
      <c r="F247" s="42" t="s">
        <v>507</v>
      </c>
      <c r="G247" s="43" t="s">
        <v>507</v>
      </c>
      <c r="H247" s="42" t="s">
        <v>507</v>
      </c>
      <c r="I247" s="42"/>
      <c r="J247" s="42" t="s">
        <v>507</v>
      </c>
      <c r="K247" s="21" t="s">
        <v>509</v>
      </c>
      <c r="L247" s="18"/>
      <c r="M247" s="1" t="s">
        <v>542</v>
      </c>
      <c r="N247" s="1"/>
      <c r="O247" s="18"/>
      <c r="P247" s="18"/>
      <c r="Q247" s="18"/>
      <c r="R247" s="18"/>
      <c r="S247" s="13"/>
      <c r="T247" s="1"/>
      <c r="U247" s="1"/>
      <c r="V247" s="1"/>
      <c r="W247" s="1"/>
      <c r="X247" s="1"/>
      <c r="Y247" s="1"/>
      <c r="Z247" s="1"/>
      <c r="AA247" s="30"/>
      <c r="AB247" s="30"/>
      <c r="AC247" s="1"/>
      <c r="AD247" s="1"/>
      <c r="AE247" s="1"/>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AMM247" s="18"/>
    </row>
    <row r="248" spans="1:75 1026:1027" x14ac:dyDescent="0.2">
      <c r="A248" s="18">
        <v>1</v>
      </c>
      <c r="B248" s="18" t="s">
        <v>153</v>
      </c>
      <c r="C248" s="18"/>
      <c r="D248" s="18">
        <v>33</v>
      </c>
      <c r="E248" s="19" t="s">
        <v>507</v>
      </c>
      <c r="F248" s="19" t="s">
        <v>507</v>
      </c>
      <c r="G248" s="20" t="s">
        <v>507</v>
      </c>
      <c r="H248" s="19" t="s">
        <v>507</v>
      </c>
      <c r="I248" s="19"/>
      <c r="J248" s="19" t="s">
        <v>507</v>
      </c>
      <c r="K248" s="21" t="s">
        <v>509</v>
      </c>
      <c r="L248" s="18"/>
      <c r="M248" s="1" t="s">
        <v>542</v>
      </c>
      <c r="O248" s="18"/>
      <c r="P248" s="18"/>
      <c r="Q248" s="18"/>
      <c r="R248" s="18"/>
      <c r="AA248" s="30"/>
      <c r="AB248" s="30"/>
      <c r="AD248" s="33"/>
      <c r="AE248" s="33"/>
      <c r="AML248" s="28"/>
      <c r="AMM248" s="28"/>
    </row>
    <row r="249" spans="1:75 1026:1027" x14ac:dyDescent="0.2">
      <c r="A249" s="54">
        <v>2</v>
      </c>
      <c r="B249" s="18" t="s">
        <v>334</v>
      </c>
      <c r="C249" s="18" t="s">
        <v>335</v>
      </c>
      <c r="D249" s="18">
        <v>46</v>
      </c>
      <c r="E249" s="42" t="s">
        <v>507</v>
      </c>
      <c r="F249" s="42" t="s">
        <v>507</v>
      </c>
      <c r="G249" s="43" t="s">
        <v>508</v>
      </c>
      <c r="H249" s="42" t="s">
        <v>507</v>
      </c>
      <c r="I249" s="42"/>
      <c r="J249" s="67" t="s">
        <v>507</v>
      </c>
      <c r="K249" s="21" t="s">
        <v>509</v>
      </c>
      <c r="L249" s="18"/>
      <c r="M249" s="1" t="s">
        <v>542</v>
      </c>
      <c r="O249" s="18"/>
      <c r="P249" s="18"/>
      <c r="Q249" s="18"/>
      <c r="R249" s="18"/>
    </row>
    <row r="250" spans="1:75 1026:1027" x14ac:dyDescent="0.2">
      <c r="A250" s="1" t="s">
        <v>504</v>
      </c>
      <c r="B250" s="1" t="s">
        <v>830</v>
      </c>
      <c r="D250" s="1">
        <v>165</v>
      </c>
      <c r="E250" s="10" t="s">
        <v>506</v>
      </c>
      <c r="F250" s="10" t="s">
        <v>508</v>
      </c>
      <c r="G250" s="11" t="s">
        <v>508</v>
      </c>
      <c r="H250" s="10" t="s">
        <v>507</v>
      </c>
      <c r="J250" s="10" t="s">
        <v>507</v>
      </c>
      <c r="L250" s="18" t="s">
        <v>509</v>
      </c>
      <c r="N250" s="1" t="s">
        <v>542</v>
      </c>
      <c r="S250" s="13" t="s">
        <v>831</v>
      </c>
      <c r="AML250" s="18"/>
      <c r="AMM250" s="18"/>
    </row>
    <row r="251" spans="1:75 1026:1027" s="18" customFormat="1" x14ac:dyDescent="0.2">
      <c r="A251" s="1" t="s">
        <v>504</v>
      </c>
      <c r="B251" s="1" t="s">
        <v>832</v>
      </c>
      <c r="C251" s="1"/>
      <c r="D251" s="1">
        <v>167</v>
      </c>
      <c r="E251" s="10" t="s">
        <v>506</v>
      </c>
      <c r="F251" s="10" t="s">
        <v>508</v>
      </c>
      <c r="G251" s="11" t="s">
        <v>508</v>
      </c>
      <c r="H251" s="10" t="s">
        <v>507</v>
      </c>
      <c r="I251" s="10"/>
      <c r="J251" s="10" t="s">
        <v>507</v>
      </c>
      <c r="K251" s="12"/>
      <c r="L251" s="26"/>
      <c r="M251" s="1"/>
      <c r="N251" s="1"/>
      <c r="O251" s="1"/>
      <c r="P251" s="1"/>
      <c r="Q251" s="1"/>
      <c r="R251" s="1"/>
      <c r="S251" s="13"/>
      <c r="T251" s="6"/>
      <c r="U251" s="1"/>
      <c r="V251" s="1"/>
      <c r="W251" s="1"/>
      <c r="X251" s="1"/>
      <c r="Y251" s="1"/>
      <c r="Z251" s="1"/>
      <c r="AA251" s="30"/>
      <c r="AB251" s="30"/>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AMM251" s="31"/>
    </row>
    <row r="252" spans="1:75 1026:1027" s="31" customFormat="1" x14ac:dyDescent="0.2">
      <c r="A252" s="1" t="s">
        <v>504</v>
      </c>
      <c r="B252" s="1" t="s">
        <v>833</v>
      </c>
      <c r="C252" s="1"/>
      <c r="D252" s="1">
        <v>175</v>
      </c>
      <c r="E252" s="10" t="s">
        <v>506</v>
      </c>
      <c r="F252" s="10" t="s">
        <v>508</v>
      </c>
      <c r="G252" s="11" t="s">
        <v>508</v>
      </c>
      <c r="H252" s="10" t="s">
        <v>507</v>
      </c>
      <c r="I252" s="10"/>
      <c r="J252" s="10" t="s">
        <v>507</v>
      </c>
      <c r="K252" s="12"/>
      <c r="L252" s="26"/>
      <c r="M252" s="1"/>
      <c r="N252" s="1"/>
      <c r="O252" s="1"/>
      <c r="P252" s="1"/>
      <c r="Q252" s="1"/>
      <c r="R252" s="1"/>
      <c r="S252" s="13"/>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AMM252" s="18"/>
    </row>
    <row r="253" spans="1:75 1026:1027" s="18" customFormat="1" x14ac:dyDescent="0.2">
      <c r="A253" s="1" t="s">
        <v>504</v>
      </c>
      <c r="B253" s="1" t="s">
        <v>834</v>
      </c>
      <c r="C253" s="1"/>
      <c r="D253" s="1">
        <v>333</v>
      </c>
      <c r="E253" s="10" t="s">
        <v>506</v>
      </c>
      <c r="F253" s="10" t="s">
        <v>508</v>
      </c>
      <c r="G253" s="11" t="s">
        <v>508</v>
      </c>
      <c r="H253" s="10" t="s">
        <v>507</v>
      </c>
      <c r="I253" s="10"/>
      <c r="J253" s="10" t="s">
        <v>507</v>
      </c>
      <c r="K253" s="12"/>
      <c r="L253" s="26"/>
      <c r="M253" s="1"/>
      <c r="N253" s="1"/>
      <c r="O253" s="1"/>
      <c r="P253" s="1"/>
      <c r="Q253" s="1"/>
      <c r="R253" s="1"/>
      <c r="S253" s="13"/>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AMM253" s="31"/>
    </row>
    <row r="254" spans="1:75 1026:1027" s="18" customFormat="1" x14ac:dyDescent="0.2">
      <c r="A254" s="1" t="s">
        <v>504</v>
      </c>
      <c r="B254" s="1" t="s">
        <v>835</v>
      </c>
      <c r="C254" s="1"/>
      <c r="D254" s="1">
        <v>162</v>
      </c>
      <c r="E254" s="10" t="s">
        <v>506</v>
      </c>
      <c r="F254" s="10" t="s">
        <v>508</v>
      </c>
      <c r="G254" s="11" t="s">
        <v>508</v>
      </c>
      <c r="H254" s="10" t="s">
        <v>507</v>
      </c>
      <c r="I254" s="10"/>
      <c r="J254" s="10" t="s">
        <v>507</v>
      </c>
      <c r="K254" s="12"/>
      <c r="L254" s="26"/>
      <c r="M254" s="1"/>
      <c r="N254" s="1"/>
      <c r="O254" s="1"/>
      <c r="P254" s="1"/>
      <c r="Q254" s="1"/>
      <c r="R254" s="1"/>
      <c r="S254" s="13"/>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row>
    <row r="255" spans="1:75 1026:1027" s="18" customFormat="1" x14ac:dyDescent="0.2">
      <c r="A255" s="1" t="s">
        <v>504</v>
      </c>
      <c r="B255" s="1" t="s">
        <v>836</v>
      </c>
      <c r="C255" s="1"/>
      <c r="D255" s="1">
        <v>238</v>
      </c>
      <c r="E255" s="10" t="s">
        <v>506</v>
      </c>
      <c r="F255" s="10" t="s">
        <v>508</v>
      </c>
      <c r="G255" s="11" t="s">
        <v>508</v>
      </c>
      <c r="H255" s="10" t="s">
        <v>507</v>
      </c>
      <c r="I255" s="10"/>
      <c r="J255" s="10" t="s">
        <v>507</v>
      </c>
      <c r="K255" s="12"/>
      <c r="L255" s="26"/>
      <c r="M255" s="1"/>
      <c r="N255" s="1"/>
      <c r="O255" s="1"/>
      <c r="P255" s="1"/>
      <c r="Q255" s="1"/>
      <c r="R255" s="1"/>
      <c r="S255" s="13"/>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row>
    <row r="256" spans="1:75 1026:1027" s="18" customFormat="1" x14ac:dyDescent="0.2">
      <c r="A256" s="1" t="s">
        <v>504</v>
      </c>
      <c r="B256" s="1" t="s">
        <v>837</v>
      </c>
      <c r="C256" s="1"/>
      <c r="D256" s="1">
        <v>178</v>
      </c>
      <c r="E256" s="10" t="s">
        <v>506</v>
      </c>
      <c r="F256" s="10" t="s">
        <v>508</v>
      </c>
      <c r="G256" s="11" t="s">
        <v>508</v>
      </c>
      <c r="H256" s="10" t="s">
        <v>507</v>
      </c>
      <c r="I256" s="10"/>
      <c r="J256" s="10" t="s">
        <v>507</v>
      </c>
      <c r="K256" s="12"/>
      <c r="L256" s="26"/>
      <c r="M256" s="1"/>
      <c r="N256" s="1"/>
      <c r="O256" s="1"/>
      <c r="P256" s="1"/>
      <c r="Q256" s="1"/>
      <c r="R256" s="1"/>
      <c r="S256" s="13"/>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row>
    <row r="257" spans="1:1027" s="18" customFormat="1" x14ac:dyDescent="0.2">
      <c r="A257" s="1" t="s">
        <v>504</v>
      </c>
      <c r="B257" s="1" t="s">
        <v>838</v>
      </c>
      <c r="C257" s="1"/>
      <c r="D257" s="1">
        <v>176</v>
      </c>
      <c r="E257" s="10" t="s">
        <v>506</v>
      </c>
      <c r="F257" s="10" t="s">
        <v>508</v>
      </c>
      <c r="G257" s="11" t="s">
        <v>508</v>
      </c>
      <c r="H257" s="10" t="s">
        <v>507</v>
      </c>
      <c r="I257" s="10"/>
      <c r="J257" s="10" t="s">
        <v>507</v>
      </c>
      <c r="K257" s="12"/>
      <c r="L257" s="26"/>
      <c r="M257" s="1"/>
      <c r="N257" s="1"/>
      <c r="O257" s="1"/>
      <c r="P257" s="1"/>
      <c r="Q257" s="1"/>
      <c r="R257" s="1"/>
      <c r="S257" s="13"/>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row>
    <row r="258" spans="1:1027" s="18" customFormat="1" x14ac:dyDescent="0.2">
      <c r="A258" s="18">
        <v>1</v>
      </c>
      <c r="B258" s="18" t="s">
        <v>158</v>
      </c>
      <c r="D258" s="18">
        <v>41</v>
      </c>
      <c r="E258" s="19" t="s">
        <v>507</v>
      </c>
      <c r="F258" s="19" t="s">
        <v>507</v>
      </c>
      <c r="G258" s="20" t="s">
        <v>507</v>
      </c>
      <c r="H258" s="19" t="s">
        <v>507</v>
      </c>
      <c r="I258" s="19"/>
      <c r="J258" s="67" t="s">
        <v>507</v>
      </c>
      <c r="K258" s="21" t="s">
        <v>509</v>
      </c>
      <c r="M258" s="1" t="s">
        <v>542</v>
      </c>
      <c r="N258" s="1"/>
      <c r="S258" s="13"/>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row>
    <row r="259" spans="1:1027" x14ac:dyDescent="0.2">
      <c r="A259" s="18" t="s">
        <v>504</v>
      </c>
      <c r="B259" s="18" t="s">
        <v>839</v>
      </c>
      <c r="C259" s="18"/>
      <c r="D259" s="18">
        <v>13</v>
      </c>
      <c r="E259" s="19" t="s">
        <v>506</v>
      </c>
      <c r="F259" s="19" t="s">
        <v>507</v>
      </c>
      <c r="G259" s="20" t="s">
        <v>508</v>
      </c>
      <c r="H259" s="19" t="s">
        <v>507</v>
      </c>
      <c r="I259" s="19"/>
      <c r="J259" s="67" t="s">
        <v>507</v>
      </c>
      <c r="K259" s="21" t="s">
        <v>509</v>
      </c>
      <c r="L259" s="18"/>
      <c r="M259" s="1" t="s">
        <v>542</v>
      </c>
      <c r="O259" s="18"/>
      <c r="P259" s="18"/>
      <c r="Q259" s="18"/>
      <c r="R259" s="18"/>
      <c r="T259" s="6"/>
      <c r="AA259" s="30"/>
      <c r="AML259" s="18"/>
      <c r="AMM259" s="18"/>
    </row>
    <row r="260" spans="1:1027" s="18" customFormat="1" x14ac:dyDescent="0.2">
      <c r="A260" s="18">
        <v>2</v>
      </c>
      <c r="B260" s="18" t="s">
        <v>336</v>
      </c>
      <c r="C260" s="18" t="s">
        <v>338</v>
      </c>
      <c r="D260" s="18">
        <v>34</v>
      </c>
      <c r="E260" s="19" t="s">
        <v>507</v>
      </c>
      <c r="F260" s="19" t="s">
        <v>507</v>
      </c>
      <c r="G260" s="20" t="s">
        <v>508</v>
      </c>
      <c r="H260" s="19" t="s">
        <v>507</v>
      </c>
      <c r="I260" s="19"/>
      <c r="J260" s="32" t="s">
        <v>507</v>
      </c>
      <c r="K260" s="21" t="s">
        <v>509</v>
      </c>
      <c r="M260" s="1" t="s">
        <v>514</v>
      </c>
      <c r="N260" s="1"/>
      <c r="S260" s="13"/>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spans="1:1027" s="18" customFormat="1" x14ac:dyDescent="0.2">
      <c r="A261" s="1" t="s">
        <v>504</v>
      </c>
      <c r="B261" s="1" t="s">
        <v>840</v>
      </c>
      <c r="C261" s="1"/>
      <c r="D261" s="1">
        <v>8</v>
      </c>
      <c r="E261" s="10" t="s">
        <v>506</v>
      </c>
      <c r="F261" s="10" t="s">
        <v>508</v>
      </c>
      <c r="G261" s="11" t="s">
        <v>508</v>
      </c>
      <c r="H261" s="10" t="s">
        <v>507</v>
      </c>
      <c r="I261" s="10"/>
      <c r="J261" s="10" t="s">
        <v>507</v>
      </c>
      <c r="K261" s="12"/>
      <c r="L261" s="18" t="s">
        <v>509</v>
      </c>
      <c r="M261" s="1"/>
      <c r="N261" s="1" t="s">
        <v>542</v>
      </c>
      <c r="O261" s="1"/>
      <c r="P261" s="1"/>
      <c r="Q261" s="1"/>
      <c r="R261" s="1"/>
      <c r="S261" s="13"/>
      <c r="T261" s="1"/>
      <c r="U261" s="1"/>
      <c r="V261" s="1"/>
      <c r="W261" s="1"/>
      <c r="X261" s="1"/>
      <c r="Y261" s="1"/>
      <c r="Z261" s="1"/>
      <c r="AA261" s="30"/>
      <c r="AB261" s="30"/>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row>
    <row r="262" spans="1:1027" s="18" customFormat="1" x14ac:dyDescent="0.2">
      <c r="A262" s="18" t="s">
        <v>504</v>
      </c>
      <c r="B262" s="18" t="s">
        <v>841</v>
      </c>
      <c r="D262" s="18">
        <v>6</v>
      </c>
      <c r="E262" s="19" t="s">
        <v>506</v>
      </c>
      <c r="F262" s="19" t="s">
        <v>507</v>
      </c>
      <c r="G262" s="20" t="s">
        <v>508</v>
      </c>
      <c r="H262" s="19" t="s">
        <v>507</v>
      </c>
      <c r="I262" s="19"/>
      <c r="J262" s="32" t="s">
        <v>507</v>
      </c>
      <c r="K262" s="21" t="s">
        <v>509</v>
      </c>
      <c r="M262" s="1" t="s">
        <v>598</v>
      </c>
      <c r="N262" s="1"/>
      <c r="S262" s="13"/>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row>
    <row r="263" spans="1:1027" s="18" customFormat="1" x14ac:dyDescent="0.2">
      <c r="A263" s="1" t="s">
        <v>504</v>
      </c>
      <c r="B263" s="1" t="s">
        <v>842</v>
      </c>
      <c r="C263" s="1"/>
      <c r="D263" s="1">
        <v>189</v>
      </c>
      <c r="E263" s="10" t="s">
        <v>506</v>
      </c>
      <c r="F263" s="10" t="s">
        <v>508</v>
      </c>
      <c r="G263" s="11" t="s">
        <v>508</v>
      </c>
      <c r="H263" s="10" t="s">
        <v>507</v>
      </c>
      <c r="I263" s="10"/>
      <c r="J263" s="10" t="s">
        <v>507</v>
      </c>
      <c r="K263" s="12"/>
      <c r="L263" s="18" t="s">
        <v>509</v>
      </c>
      <c r="M263" s="1"/>
      <c r="N263" s="1" t="s">
        <v>542</v>
      </c>
      <c r="O263" s="1"/>
      <c r="P263" s="1"/>
      <c r="Q263" s="1"/>
      <c r="R263" s="1"/>
      <c r="S263" s="13" t="s">
        <v>843</v>
      </c>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row>
    <row r="264" spans="1:1027" s="31" customFormat="1" x14ac:dyDescent="0.2">
      <c r="A264" s="18">
        <v>4</v>
      </c>
      <c r="B264" s="18" t="s">
        <v>844</v>
      </c>
      <c r="C264" s="18" t="s">
        <v>845</v>
      </c>
      <c r="D264" s="18">
        <v>164</v>
      </c>
      <c r="E264" s="42" t="s">
        <v>507</v>
      </c>
      <c r="F264" s="19" t="s">
        <v>507</v>
      </c>
      <c r="G264" s="20" t="s">
        <v>507</v>
      </c>
      <c r="H264" s="42" t="s">
        <v>507</v>
      </c>
      <c r="I264" s="42"/>
      <c r="J264" s="67" t="s">
        <v>507</v>
      </c>
      <c r="K264" s="77" t="s">
        <v>509</v>
      </c>
      <c r="L264" s="18"/>
      <c r="M264" s="1" t="s">
        <v>598</v>
      </c>
      <c r="N264" s="1"/>
      <c r="O264" s="18"/>
      <c r="P264" s="18"/>
      <c r="Q264" s="18"/>
      <c r="R264" s="18"/>
      <c r="S264" s="13" t="s">
        <v>640</v>
      </c>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AMM264" s="18"/>
    </row>
    <row r="265" spans="1:1027" s="31" customFormat="1" x14ac:dyDescent="0.2">
      <c r="A265" s="1">
        <v>4</v>
      </c>
      <c r="B265" s="1" t="s">
        <v>846</v>
      </c>
      <c r="C265" s="1" t="s">
        <v>847</v>
      </c>
      <c r="D265" s="1">
        <v>159</v>
      </c>
      <c r="E265" s="10" t="s">
        <v>507</v>
      </c>
      <c r="F265" s="10" t="s">
        <v>508</v>
      </c>
      <c r="G265" s="11" t="s">
        <v>508</v>
      </c>
      <c r="H265" s="10"/>
      <c r="I265" s="10"/>
      <c r="J265" s="10" t="s">
        <v>507</v>
      </c>
      <c r="K265" s="12"/>
      <c r="L265" s="26"/>
      <c r="M265" s="1"/>
      <c r="N265" s="1"/>
      <c r="O265" s="1"/>
      <c r="P265" s="1"/>
      <c r="Q265" s="1"/>
      <c r="R265" s="1"/>
      <c r="S265" s="13" t="s">
        <v>848</v>
      </c>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row>
    <row r="266" spans="1:1027" s="31" customFormat="1" x14ac:dyDescent="0.2">
      <c r="A266" s="1">
        <v>4</v>
      </c>
      <c r="B266" s="1" t="s">
        <v>849</v>
      </c>
      <c r="C266" s="1" t="s">
        <v>850</v>
      </c>
      <c r="D266" s="1">
        <v>162</v>
      </c>
      <c r="E266" s="10" t="s">
        <v>507</v>
      </c>
      <c r="F266" s="10" t="s">
        <v>508</v>
      </c>
      <c r="G266" s="11" t="s">
        <v>508</v>
      </c>
      <c r="H266" s="10"/>
      <c r="I266" s="10"/>
      <c r="J266" s="10" t="s">
        <v>507</v>
      </c>
      <c r="K266" s="12"/>
      <c r="L266" s="26"/>
      <c r="M266" s="1"/>
      <c r="N266" s="1"/>
      <c r="O266" s="1"/>
      <c r="P266" s="1"/>
      <c r="Q266" s="1"/>
      <c r="R266" s="1"/>
      <c r="S266" s="13"/>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row>
    <row r="267" spans="1:1027" s="31" customFormat="1" x14ac:dyDescent="0.2">
      <c r="A267" s="54">
        <v>2</v>
      </c>
      <c r="B267" s="18" t="s">
        <v>341</v>
      </c>
      <c r="C267" s="18" t="s">
        <v>343</v>
      </c>
      <c r="D267" s="18">
        <v>49</v>
      </c>
      <c r="E267" s="42" t="s">
        <v>507</v>
      </c>
      <c r="F267" s="42" t="s">
        <v>507</v>
      </c>
      <c r="G267" s="43" t="s">
        <v>507</v>
      </c>
      <c r="H267" s="42" t="s">
        <v>507</v>
      </c>
      <c r="I267" s="42"/>
      <c r="J267" s="67" t="s">
        <v>507</v>
      </c>
      <c r="K267" s="21" t="s">
        <v>509</v>
      </c>
      <c r="L267" s="78"/>
      <c r="M267" s="1" t="s">
        <v>598</v>
      </c>
      <c r="N267" s="1"/>
      <c r="O267" s="78"/>
      <c r="P267" s="78"/>
      <c r="Q267" s="78"/>
      <c r="R267" s="78"/>
      <c r="S267" s="13"/>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row>
    <row r="268" spans="1:1027" s="18" customFormat="1" x14ac:dyDescent="0.2">
      <c r="A268" s="1" t="s">
        <v>504</v>
      </c>
      <c r="B268" s="1" t="s">
        <v>851</v>
      </c>
      <c r="C268" s="1"/>
      <c r="D268" s="1">
        <v>137</v>
      </c>
      <c r="E268" s="10" t="s">
        <v>506</v>
      </c>
      <c r="F268" s="10" t="s">
        <v>508</v>
      </c>
      <c r="G268" s="11" t="s">
        <v>508</v>
      </c>
      <c r="H268" s="10" t="s">
        <v>507</v>
      </c>
      <c r="I268" s="10"/>
      <c r="J268" s="10" t="s">
        <v>507</v>
      </c>
      <c r="K268" s="12"/>
      <c r="L268" s="18" t="s">
        <v>509</v>
      </c>
      <c r="M268" s="1"/>
      <c r="N268" s="1" t="s">
        <v>542</v>
      </c>
      <c r="O268" s="1"/>
      <c r="P268" s="1"/>
      <c r="Q268" s="1"/>
      <c r="R268" s="1"/>
      <c r="S268" s="13"/>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AMM268" s="31"/>
    </row>
    <row r="269" spans="1:1027" s="31" customFormat="1" x14ac:dyDescent="0.2">
      <c r="A269" s="1" t="s">
        <v>521</v>
      </c>
      <c r="B269" s="1" t="s">
        <v>852</v>
      </c>
      <c r="C269" s="1"/>
      <c r="D269" s="1">
        <v>66</v>
      </c>
      <c r="E269" s="10" t="s">
        <v>506</v>
      </c>
      <c r="F269" s="10" t="s">
        <v>508</v>
      </c>
      <c r="G269" s="11" t="s">
        <v>508</v>
      </c>
      <c r="H269" s="10" t="s">
        <v>507</v>
      </c>
      <c r="I269" s="10"/>
      <c r="J269" s="10" t="s">
        <v>507</v>
      </c>
      <c r="K269" s="12"/>
      <c r="L269" s="26"/>
      <c r="M269" s="1"/>
      <c r="N269" s="1" t="s">
        <v>542</v>
      </c>
      <c r="O269" s="1"/>
      <c r="P269" s="1"/>
      <c r="Q269" s="1"/>
      <c r="R269" s="1"/>
      <c r="S269" s="13"/>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c r="DV269" s="18"/>
      <c r="DW269" s="18"/>
      <c r="DX269" s="18"/>
      <c r="DY269" s="18"/>
      <c r="DZ269" s="18"/>
      <c r="EA269" s="18"/>
      <c r="EB269" s="18"/>
      <c r="EC269" s="18"/>
      <c r="ED269" s="18"/>
      <c r="EE269" s="18"/>
      <c r="EF269" s="18"/>
      <c r="EG269" s="18"/>
      <c r="EH269" s="18"/>
      <c r="EI269" s="18"/>
      <c r="EJ269" s="18"/>
      <c r="EK269" s="18"/>
      <c r="EL269" s="18"/>
      <c r="EM269" s="18"/>
      <c r="EN269" s="18"/>
      <c r="EO269" s="18"/>
      <c r="EP269" s="18"/>
      <c r="EQ269" s="18"/>
      <c r="ER269" s="18"/>
      <c r="ES269" s="18"/>
      <c r="ET269" s="18"/>
      <c r="EU269" s="18"/>
      <c r="EV269" s="18"/>
      <c r="EW269" s="18"/>
      <c r="EX269" s="18"/>
      <c r="EY269" s="18"/>
      <c r="EZ269" s="18"/>
      <c r="FA269" s="18"/>
      <c r="FB269" s="18"/>
      <c r="FC269" s="18"/>
      <c r="FD269" s="18"/>
      <c r="FE269" s="18"/>
      <c r="FF269" s="18"/>
      <c r="FG269" s="18"/>
      <c r="FH269" s="18"/>
      <c r="FI269" s="18"/>
      <c r="FJ269" s="18"/>
      <c r="FK269" s="18"/>
      <c r="FL269" s="18"/>
      <c r="FM269" s="18"/>
      <c r="FN269" s="18"/>
      <c r="FO269" s="18"/>
      <c r="FP269" s="18"/>
      <c r="FQ269" s="18"/>
      <c r="FR269" s="18"/>
      <c r="FS269" s="18"/>
      <c r="FT269" s="18"/>
      <c r="FU269" s="18"/>
      <c r="FV269" s="18"/>
      <c r="FW269" s="18"/>
      <c r="FX269" s="18"/>
      <c r="FY269" s="18"/>
      <c r="FZ269" s="18"/>
      <c r="GA269" s="18"/>
      <c r="GB269" s="18"/>
      <c r="GC269" s="18"/>
      <c r="GD269" s="18"/>
      <c r="GE269" s="18"/>
      <c r="GF269" s="18"/>
      <c r="GG269" s="18"/>
      <c r="GH269" s="18"/>
      <c r="GI269" s="18"/>
      <c r="GJ269" s="18"/>
      <c r="GK269" s="18"/>
      <c r="GL269" s="18"/>
      <c r="GM269" s="18"/>
      <c r="GN269" s="18"/>
      <c r="GO269" s="18"/>
      <c r="GP269" s="18"/>
      <c r="GQ269" s="18"/>
      <c r="GR269" s="18"/>
      <c r="GS269" s="18"/>
      <c r="GT269" s="18"/>
      <c r="GU269" s="18"/>
      <c r="GV269" s="18"/>
      <c r="GW269" s="18"/>
      <c r="GX269" s="18"/>
      <c r="GY269" s="18"/>
      <c r="GZ269" s="18"/>
      <c r="HA269" s="18"/>
      <c r="HB269" s="18"/>
      <c r="HC269" s="18"/>
      <c r="HD269" s="18"/>
      <c r="HE269" s="18"/>
      <c r="HF269" s="18"/>
      <c r="HG269" s="18"/>
      <c r="HH269" s="18"/>
      <c r="HI269" s="18"/>
      <c r="HJ269" s="18"/>
      <c r="HK269" s="18"/>
      <c r="HL269" s="18"/>
      <c r="HM269" s="18"/>
      <c r="HN269" s="18"/>
      <c r="HO269" s="18"/>
      <c r="HP269" s="18"/>
      <c r="HQ269" s="18"/>
      <c r="HR269" s="18"/>
      <c r="HS269" s="18"/>
      <c r="HT269" s="18"/>
      <c r="HU269" s="18"/>
      <c r="HV269" s="18"/>
      <c r="HW269" s="18"/>
      <c r="HX269" s="18"/>
      <c r="HY269" s="18"/>
      <c r="HZ269" s="18"/>
      <c r="IA269" s="18"/>
      <c r="IB269" s="18"/>
      <c r="IC269" s="18"/>
      <c r="ID269" s="18"/>
      <c r="IE269" s="18"/>
      <c r="IF269" s="18"/>
      <c r="IG269" s="18"/>
      <c r="IH269" s="18"/>
      <c r="II269" s="18"/>
      <c r="IJ269" s="18"/>
      <c r="IK269" s="18"/>
      <c r="IL269" s="18"/>
      <c r="IM269" s="18"/>
      <c r="IN269" s="18"/>
      <c r="IO269" s="18"/>
      <c r="IP269" s="18"/>
      <c r="IQ269" s="18"/>
      <c r="IR269" s="18"/>
      <c r="IS269" s="18"/>
      <c r="IT269" s="18"/>
      <c r="IU269" s="18"/>
      <c r="IV269" s="18"/>
      <c r="IW269" s="18"/>
      <c r="IX269" s="18"/>
      <c r="IY269" s="18"/>
      <c r="IZ269" s="18"/>
      <c r="JA269" s="18"/>
      <c r="JB269" s="18"/>
      <c r="JC269" s="18"/>
      <c r="JD269" s="18"/>
      <c r="JE269" s="18"/>
      <c r="JF269" s="18"/>
      <c r="JG269" s="18"/>
      <c r="JH269" s="18"/>
      <c r="JI269" s="18"/>
      <c r="JJ269" s="18"/>
      <c r="JK269" s="18"/>
      <c r="JL269" s="18"/>
      <c r="JM269" s="18"/>
      <c r="JN269" s="18"/>
      <c r="JO269" s="18"/>
      <c r="JP269" s="18"/>
      <c r="JQ269" s="18"/>
      <c r="JR269" s="18"/>
      <c r="JS269" s="18"/>
      <c r="JT269" s="18"/>
      <c r="JU269" s="18"/>
      <c r="JV269" s="18"/>
      <c r="JW269" s="18"/>
      <c r="JX269" s="18"/>
      <c r="JY269" s="18"/>
      <c r="JZ269" s="18"/>
      <c r="KA269" s="18"/>
      <c r="KB269" s="18"/>
      <c r="KC269" s="18"/>
      <c r="KD269" s="18"/>
      <c r="KE269" s="18"/>
      <c r="KF269" s="18"/>
      <c r="KG269" s="18"/>
      <c r="KH269" s="18"/>
      <c r="KI269" s="18"/>
      <c r="KJ269" s="18"/>
      <c r="KK269" s="18"/>
      <c r="KL269" s="18"/>
      <c r="KM269" s="18"/>
      <c r="KN269" s="18"/>
      <c r="KO269" s="18"/>
      <c r="KP269" s="18"/>
      <c r="KQ269" s="18"/>
      <c r="KR269" s="18"/>
      <c r="KS269" s="18"/>
      <c r="KT269" s="18"/>
      <c r="KU269" s="18"/>
      <c r="KV269" s="18"/>
      <c r="KW269" s="18"/>
      <c r="KX269" s="18"/>
      <c r="KY269" s="18"/>
      <c r="KZ269" s="18"/>
      <c r="LA269" s="18"/>
      <c r="LB269" s="18"/>
      <c r="LC269" s="18"/>
      <c r="LD269" s="18"/>
      <c r="LE269" s="18"/>
      <c r="LF269" s="18"/>
      <c r="LG269" s="18"/>
      <c r="LH269" s="18"/>
      <c r="LI269" s="18"/>
      <c r="LJ269" s="18"/>
      <c r="LK269" s="18"/>
      <c r="LL269" s="18"/>
      <c r="LM269" s="18"/>
      <c r="LN269" s="18"/>
      <c r="LO269" s="18"/>
      <c r="LP269" s="18"/>
      <c r="LQ269" s="18"/>
      <c r="LR269" s="18"/>
      <c r="LS269" s="18"/>
      <c r="LT269" s="18"/>
      <c r="LU269" s="18"/>
      <c r="LV269" s="18"/>
      <c r="LW269" s="18"/>
      <c r="LX269" s="18"/>
      <c r="LY269" s="18"/>
      <c r="LZ269" s="18"/>
      <c r="MA269" s="18"/>
      <c r="MB269" s="18"/>
      <c r="MC269" s="18"/>
      <c r="MD269" s="18"/>
      <c r="ME269" s="18"/>
      <c r="MF269" s="18"/>
      <c r="MG269" s="18"/>
      <c r="MH269" s="18"/>
      <c r="MI269" s="18"/>
      <c r="MJ269" s="18"/>
      <c r="MK269" s="18"/>
      <c r="ML269" s="18"/>
      <c r="MM269" s="18"/>
      <c r="MN269" s="18"/>
      <c r="MO269" s="18"/>
      <c r="MP269" s="18"/>
      <c r="MQ269" s="18"/>
      <c r="MR269" s="18"/>
      <c r="MS269" s="18"/>
      <c r="MT269" s="18"/>
      <c r="MU269" s="18"/>
      <c r="MV269" s="18"/>
      <c r="MW269" s="18"/>
      <c r="MX269" s="18"/>
      <c r="MY269" s="18"/>
      <c r="MZ269" s="18"/>
      <c r="NA269" s="18"/>
      <c r="NB269" s="18"/>
      <c r="NC269" s="18"/>
      <c r="ND269" s="18"/>
      <c r="NE269" s="18"/>
      <c r="NF269" s="18"/>
      <c r="NG269" s="18"/>
      <c r="NH269" s="18"/>
      <c r="NI269" s="18"/>
      <c r="NJ269" s="18"/>
      <c r="NK269" s="18"/>
      <c r="NL269" s="18"/>
      <c r="NM269" s="18"/>
      <c r="NN269" s="18"/>
      <c r="NO269" s="18"/>
      <c r="NP269" s="18"/>
      <c r="NQ269" s="18"/>
      <c r="NR269" s="18"/>
      <c r="NS269" s="18"/>
      <c r="NT269" s="18"/>
      <c r="NU269" s="18"/>
      <c r="NV269" s="18"/>
      <c r="NW269" s="18"/>
      <c r="NX269" s="18"/>
      <c r="NY269" s="18"/>
      <c r="NZ269" s="18"/>
      <c r="OA269" s="18"/>
      <c r="OB269" s="18"/>
      <c r="OC269" s="18"/>
      <c r="OD269" s="18"/>
      <c r="OE269" s="18"/>
      <c r="OF269" s="18"/>
      <c r="OG269" s="18"/>
      <c r="OH269" s="18"/>
      <c r="OI269" s="18"/>
      <c r="OJ269" s="18"/>
      <c r="OK269" s="18"/>
      <c r="OL269" s="18"/>
      <c r="OM269" s="18"/>
      <c r="ON269" s="18"/>
      <c r="OO269" s="18"/>
      <c r="OP269" s="18"/>
      <c r="OQ269" s="18"/>
      <c r="OR269" s="18"/>
      <c r="OS269" s="18"/>
      <c r="OT269" s="18"/>
      <c r="OU269" s="18"/>
      <c r="OV269" s="18"/>
      <c r="OW269" s="18"/>
      <c r="OX269" s="18"/>
      <c r="OY269" s="18"/>
      <c r="OZ269" s="18"/>
      <c r="PA269" s="18"/>
      <c r="PB269" s="18"/>
      <c r="PC269" s="18"/>
      <c r="PD269" s="18"/>
      <c r="PE269" s="18"/>
      <c r="PF269" s="18"/>
      <c r="PG269" s="18"/>
      <c r="PH269" s="18"/>
      <c r="PI269" s="18"/>
      <c r="PJ269" s="18"/>
      <c r="PK269" s="18"/>
      <c r="PL269" s="18"/>
      <c r="PM269" s="18"/>
      <c r="PN269" s="18"/>
      <c r="PO269" s="18"/>
      <c r="PP269" s="18"/>
      <c r="PQ269" s="18"/>
      <c r="PR269" s="18"/>
      <c r="PS269" s="18"/>
      <c r="PT269" s="18"/>
      <c r="PU269" s="18"/>
      <c r="PV269" s="18"/>
      <c r="PW269" s="18"/>
      <c r="PX269" s="18"/>
      <c r="PY269" s="18"/>
      <c r="PZ269" s="18"/>
      <c r="QA269" s="18"/>
      <c r="QB269" s="18"/>
      <c r="QC269" s="18"/>
      <c r="QD269" s="18"/>
      <c r="QE269" s="18"/>
      <c r="QF269" s="18"/>
      <c r="QG269" s="18"/>
      <c r="QH269" s="18"/>
      <c r="QI269" s="18"/>
      <c r="QJ269" s="18"/>
      <c r="QK269" s="18"/>
      <c r="QL269" s="18"/>
      <c r="QM269" s="18"/>
      <c r="QN269" s="18"/>
      <c r="QO269" s="18"/>
      <c r="QP269" s="18"/>
      <c r="QQ269" s="18"/>
      <c r="QR269" s="18"/>
      <c r="QS269" s="18"/>
      <c r="QT269" s="18"/>
      <c r="QU269" s="18"/>
      <c r="QV269" s="18"/>
      <c r="QW269" s="18"/>
      <c r="QX269" s="18"/>
      <c r="QY269" s="18"/>
      <c r="QZ269" s="18"/>
      <c r="RA269" s="18"/>
      <c r="RB269" s="18"/>
      <c r="RC269" s="18"/>
      <c r="RD269" s="18"/>
      <c r="RE269" s="18"/>
      <c r="RF269" s="18"/>
      <c r="RG269" s="18"/>
      <c r="RH269" s="18"/>
      <c r="RI269" s="18"/>
      <c r="RJ269" s="18"/>
      <c r="RK269" s="18"/>
      <c r="RL269" s="18"/>
      <c r="RM269" s="18"/>
      <c r="RN269" s="18"/>
      <c r="RO269" s="18"/>
      <c r="RP269" s="18"/>
      <c r="RQ269" s="18"/>
      <c r="RR269" s="18"/>
      <c r="RS269" s="18"/>
      <c r="RT269" s="18"/>
      <c r="RU269" s="18"/>
      <c r="RV269" s="18"/>
      <c r="RW269" s="18"/>
      <c r="RX269" s="18"/>
      <c r="RY269" s="18"/>
      <c r="RZ269" s="18"/>
      <c r="SA269" s="18"/>
      <c r="SB269" s="18"/>
      <c r="SC269" s="18"/>
      <c r="SD269" s="18"/>
      <c r="SE269" s="18"/>
      <c r="SF269" s="18"/>
      <c r="SG269" s="18"/>
      <c r="SH269" s="18"/>
      <c r="SI269" s="18"/>
      <c r="SJ269" s="18"/>
      <c r="SK269" s="18"/>
      <c r="SL269" s="18"/>
      <c r="SM269" s="18"/>
      <c r="SN269" s="18"/>
      <c r="SO269" s="18"/>
      <c r="SP269" s="18"/>
      <c r="SQ269" s="18"/>
      <c r="SR269" s="18"/>
      <c r="SS269" s="18"/>
      <c r="ST269" s="18"/>
      <c r="SU269" s="18"/>
      <c r="SV269" s="18"/>
      <c r="SW269" s="18"/>
      <c r="SX269" s="18"/>
      <c r="SY269" s="18"/>
      <c r="SZ269" s="18"/>
      <c r="TA269" s="18"/>
      <c r="TB269" s="18"/>
      <c r="TC269" s="18"/>
      <c r="TD269" s="18"/>
      <c r="TE269" s="18"/>
      <c r="TF269" s="18"/>
      <c r="TG269" s="18"/>
      <c r="TH269" s="18"/>
      <c r="TI269" s="18"/>
      <c r="TJ269" s="18"/>
      <c r="TK269" s="18"/>
      <c r="TL269" s="18"/>
      <c r="TM269" s="18"/>
      <c r="TN269" s="18"/>
      <c r="TO269" s="18"/>
      <c r="TP269" s="18"/>
      <c r="TQ269" s="18"/>
      <c r="TR269" s="18"/>
      <c r="TS269" s="18"/>
      <c r="TT269" s="18"/>
      <c r="TU269" s="18"/>
      <c r="TV269" s="18"/>
      <c r="TW269" s="18"/>
      <c r="TX269" s="18"/>
      <c r="TY269" s="18"/>
      <c r="TZ269" s="18"/>
      <c r="UA269" s="18"/>
      <c r="UB269" s="18"/>
      <c r="UC269" s="18"/>
      <c r="UD269" s="18"/>
      <c r="UE269" s="18"/>
      <c r="UF269" s="18"/>
      <c r="UG269" s="18"/>
      <c r="UH269" s="18"/>
      <c r="UI269" s="18"/>
      <c r="UJ269" s="18"/>
      <c r="UK269" s="18"/>
      <c r="UL269" s="18"/>
      <c r="UM269" s="18"/>
      <c r="UN269" s="18"/>
      <c r="UO269" s="18"/>
      <c r="UP269" s="18"/>
      <c r="UQ269" s="18"/>
      <c r="UR269" s="18"/>
      <c r="US269" s="18"/>
      <c r="UT269" s="18"/>
      <c r="UU269" s="18"/>
      <c r="UV269" s="18"/>
      <c r="UW269" s="18"/>
      <c r="UX269" s="18"/>
      <c r="UY269" s="18"/>
      <c r="UZ269" s="18"/>
      <c r="VA269" s="18"/>
      <c r="VB269" s="18"/>
      <c r="VC269" s="18"/>
      <c r="VD269" s="18"/>
      <c r="VE269" s="18"/>
      <c r="VF269" s="18"/>
      <c r="VG269" s="18"/>
      <c r="VH269" s="18"/>
      <c r="VI269" s="18"/>
      <c r="VJ269" s="18"/>
      <c r="VK269" s="18"/>
      <c r="VL269" s="18"/>
      <c r="VM269" s="18"/>
      <c r="VN269" s="18"/>
      <c r="VO269" s="18"/>
      <c r="VP269" s="18"/>
      <c r="VQ269" s="18"/>
      <c r="VR269" s="18"/>
      <c r="VS269" s="18"/>
      <c r="VT269" s="18"/>
      <c r="VU269" s="18"/>
      <c r="VV269" s="18"/>
      <c r="VW269" s="18"/>
      <c r="VX269" s="18"/>
      <c r="VY269" s="18"/>
      <c r="VZ269" s="18"/>
      <c r="WA269" s="18"/>
      <c r="WB269" s="18"/>
      <c r="WC269" s="18"/>
      <c r="WD269" s="18"/>
      <c r="WE269" s="18"/>
      <c r="WF269" s="18"/>
      <c r="WG269" s="18"/>
      <c r="WH269" s="18"/>
      <c r="WI269" s="18"/>
      <c r="WJ269" s="18"/>
      <c r="WK269" s="18"/>
      <c r="WL269" s="18"/>
      <c r="WM269" s="18"/>
      <c r="WN269" s="18"/>
      <c r="WO269" s="18"/>
      <c r="WP269" s="18"/>
      <c r="WQ269" s="18"/>
      <c r="WR269" s="18"/>
      <c r="WS269" s="18"/>
      <c r="WT269" s="18"/>
      <c r="WU269" s="18"/>
      <c r="WV269" s="18"/>
      <c r="WW269" s="18"/>
      <c r="WX269" s="18"/>
      <c r="WY269" s="18"/>
      <c r="WZ269" s="18"/>
      <c r="XA269" s="18"/>
      <c r="XB269" s="18"/>
      <c r="XC269" s="18"/>
      <c r="XD269" s="18"/>
      <c r="XE269" s="18"/>
      <c r="XF269" s="18"/>
      <c r="XG269" s="18"/>
      <c r="XH269" s="18"/>
      <c r="XI269" s="18"/>
      <c r="XJ269" s="18"/>
      <c r="XK269" s="18"/>
      <c r="XL269" s="18"/>
      <c r="XM269" s="18"/>
      <c r="XN269" s="18"/>
      <c r="XO269" s="18"/>
      <c r="XP269" s="18"/>
      <c r="XQ269" s="18"/>
      <c r="XR269" s="18"/>
      <c r="XS269" s="18"/>
      <c r="XT269" s="18"/>
      <c r="XU269" s="18"/>
      <c r="XV269" s="18"/>
      <c r="XW269" s="18"/>
      <c r="XX269" s="18"/>
      <c r="XY269" s="18"/>
      <c r="XZ269" s="18"/>
      <c r="YA269" s="18"/>
      <c r="YB269" s="18"/>
      <c r="YC269" s="18"/>
      <c r="YD269" s="18"/>
      <c r="YE269" s="18"/>
      <c r="YF269" s="18"/>
      <c r="YG269" s="18"/>
      <c r="YH269" s="18"/>
      <c r="YI269" s="18"/>
      <c r="YJ269" s="18"/>
      <c r="YK269" s="18"/>
      <c r="YL269" s="18"/>
      <c r="YM269" s="18"/>
      <c r="YN269" s="18"/>
      <c r="YO269" s="18"/>
      <c r="YP269" s="18"/>
      <c r="YQ269" s="18"/>
      <c r="YR269" s="18"/>
      <c r="YS269" s="18"/>
      <c r="YT269" s="18"/>
      <c r="YU269" s="18"/>
      <c r="YV269" s="18"/>
      <c r="YW269" s="18"/>
      <c r="YX269" s="18"/>
      <c r="YY269" s="18"/>
      <c r="YZ269" s="18"/>
      <c r="ZA269" s="18"/>
      <c r="ZB269" s="18"/>
      <c r="ZC269" s="18"/>
      <c r="ZD269" s="18"/>
      <c r="ZE269" s="18"/>
      <c r="ZF269" s="18"/>
      <c r="ZG269" s="18"/>
      <c r="ZH269" s="18"/>
      <c r="ZI269" s="18"/>
      <c r="ZJ269" s="18"/>
      <c r="ZK269" s="18"/>
      <c r="ZL269" s="18"/>
      <c r="ZM269" s="18"/>
      <c r="ZN269" s="18"/>
      <c r="ZO269" s="18"/>
      <c r="ZP269" s="18"/>
      <c r="ZQ269" s="18"/>
      <c r="ZR269" s="18"/>
      <c r="ZS269" s="18"/>
      <c r="ZT269" s="18"/>
      <c r="ZU269" s="18"/>
      <c r="ZV269" s="18"/>
      <c r="ZW269" s="18"/>
      <c r="ZX269" s="18"/>
      <c r="ZY269" s="18"/>
      <c r="ZZ269" s="18"/>
      <c r="AAA269" s="18"/>
      <c r="AAB269" s="18"/>
      <c r="AAC269" s="18"/>
      <c r="AAD269" s="18"/>
      <c r="AAE269" s="18"/>
      <c r="AAF269" s="18"/>
      <c r="AAG269" s="18"/>
      <c r="AAH269" s="18"/>
      <c r="AAI269" s="18"/>
      <c r="AAJ269" s="18"/>
      <c r="AAK269" s="18"/>
      <c r="AAL269" s="18"/>
      <c r="AAM269" s="18"/>
      <c r="AAN269" s="18"/>
      <c r="AAO269" s="18"/>
      <c r="AAP269" s="18"/>
      <c r="AAQ269" s="18"/>
      <c r="AAR269" s="18"/>
      <c r="AAS269" s="18"/>
      <c r="AAT269" s="18"/>
      <c r="AAU269" s="18"/>
      <c r="AAV269" s="18"/>
      <c r="AAW269" s="18"/>
      <c r="AAX269" s="18"/>
      <c r="AAY269" s="18"/>
      <c r="AAZ269" s="18"/>
      <c r="ABA269" s="18"/>
      <c r="ABB269" s="18"/>
      <c r="ABC269" s="18"/>
      <c r="ABD269" s="18"/>
      <c r="ABE269" s="18"/>
      <c r="ABF269" s="18"/>
      <c r="ABG269" s="18"/>
      <c r="ABH269" s="18"/>
      <c r="ABI269" s="18"/>
      <c r="ABJ269" s="18"/>
      <c r="ABK269" s="18"/>
      <c r="ABL269" s="18"/>
      <c r="ABM269" s="18"/>
      <c r="ABN269" s="18"/>
      <c r="ABO269" s="18"/>
      <c r="ABP269" s="18"/>
      <c r="ABQ269" s="18"/>
      <c r="ABR269" s="18"/>
      <c r="ABS269" s="18"/>
      <c r="ABT269" s="18"/>
      <c r="ABU269" s="18"/>
      <c r="ABV269" s="18"/>
      <c r="ABW269" s="18"/>
      <c r="ABX269" s="18"/>
      <c r="ABY269" s="18"/>
      <c r="ABZ269" s="18"/>
      <c r="ACA269" s="18"/>
      <c r="ACB269" s="18"/>
      <c r="ACC269" s="18"/>
      <c r="ACD269" s="18"/>
      <c r="ACE269" s="18"/>
      <c r="ACF269" s="18"/>
      <c r="ACG269" s="18"/>
      <c r="ACH269" s="18"/>
      <c r="ACI269" s="18"/>
      <c r="ACJ269" s="18"/>
      <c r="ACK269" s="18"/>
      <c r="ACL269" s="18"/>
      <c r="ACM269" s="18"/>
      <c r="ACN269" s="18"/>
      <c r="ACO269" s="18"/>
      <c r="ACP269" s="18"/>
      <c r="ACQ269" s="18"/>
      <c r="ACR269" s="18"/>
      <c r="ACS269" s="18"/>
      <c r="ACT269" s="18"/>
      <c r="ACU269" s="18"/>
      <c r="ACV269" s="18"/>
      <c r="ACW269" s="18"/>
      <c r="ACX269" s="18"/>
      <c r="ACY269" s="18"/>
      <c r="ACZ269" s="18"/>
      <c r="ADA269" s="18"/>
      <c r="ADB269" s="18"/>
      <c r="ADC269" s="18"/>
      <c r="ADD269" s="18"/>
      <c r="ADE269" s="18"/>
      <c r="ADF269" s="18"/>
      <c r="ADG269" s="18"/>
      <c r="ADH269" s="18"/>
      <c r="ADI269" s="18"/>
      <c r="ADJ269" s="18"/>
      <c r="ADK269" s="18"/>
      <c r="ADL269" s="18"/>
      <c r="ADM269" s="18"/>
      <c r="ADN269" s="18"/>
      <c r="ADO269" s="18"/>
      <c r="ADP269" s="18"/>
      <c r="ADQ269" s="18"/>
      <c r="ADR269" s="18"/>
      <c r="ADS269" s="18"/>
      <c r="ADT269" s="18"/>
      <c r="ADU269" s="18"/>
      <c r="ADV269" s="18"/>
      <c r="ADW269" s="18"/>
      <c r="ADX269" s="18"/>
      <c r="ADY269" s="18"/>
      <c r="ADZ269" s="18"/>
      <c r="AEA269" s="18"/>
      <c r="AEB269" s="18"/>
      <c r="AEC269" s="18"/>
      <c r="AED269" s="18"/>
      <c r="AEE269" s="18"/>
      <c r="AEF269" s="18"/>
      <c r="AEG269" s="18"/>
      <c r="AEH269" s="18"/>
      <c r="AEI269" s="18"/>
      <c r="AEJ269" s="18"/>
      <c r="AEK269" s="18"/>
      <c r="AEL269" s="18"/>
      <c r="AEM269" s="18"/>
      <c r="AEN269" s="18"/>
      <c r="AEO269" s="18"/>
      <c r="AEP269" s="18"/>
      <c r="AEQ269" s="18"/>
      <c r="AER269" s="18"/>
      <c r="AES269" s="18"/>
      <c r="AET269" s="18"/>
      <c r="AEU269" s="18"/>
      <c r="AEV269" s="18"/>
      <c r="AEW269" s="18"/>
      <c r="AEX269" s="18"/>
      <c r="AEY269" s="18"/>
      <c r="AEZ269" s="18"/>
      <c r="AFA269" s="18"/>
      <c r="AFB269" s="18"/>
      <c r="AFC269" s="18"/>
      <c r="AFD269" s="18"/>
      <c r="AFE269" s="18"/>
      <c r="AFF269" s="18"/>
      <c r="AFG269" s="18"/>
      <c r="AFH269" s="18"/>
      <c r="AFI269" s="18"/>
      <c r="AFJ269" s="18"/>
      <c r="AFK269" s="18"/>
      <c r="AFL269" s="18"/>
      <c r="AFM269" s="18"/>
      <c r="AFN269" s="18"/>
      <c r="AFO269" s="18"/>
      <c r="AFP269" s="18"/>
      <c r="AFQ269" s="18"/>
      <c r="AFR269" s="18"/>
      <c r="AFS269" s="18"/>
      <c r="AFT269" s="18"/>
      <c r="AFU269" s="18"/>
      <c r="AFV269" s="18"/>
      <c r="AFW269" s="18"/>
      <c r="AFX269" s="18"/>
      <c r="AFY269" s="18"/>
      <c r="AFZ269" s="18"/>
      <c r="AGA269" s="18"/>
      <c r="AGB269" s="18"/>
      <c r="AGC269" s="18"/>
      <c r="AGD269" s="18"/>
      <c r="AGE269" s="18"/>
      <c r="AGF269" s="18"/>
      <c r="AGG269" s="18"/>
      <c r="AGH269" s="18"/>
      <c r="AGI269" s="18"/>
      <c r="AGJ269" s="18"/>
      <c r="AGK269" s="18"/>
      <c r="AGL269" s="18"/>
      <c r="AGM269" s="18"/>
      <c r="AGN269" s="18"/>
      <c r="AGO269" s="18"/>
      <c r="AGP269" s="18"/>
      <c r="AGQ269" s="18"/>
      <c r="AGR269" s="18"/>
      <c r="AGS269" s="18"/>
      <c r="AGT269" s="18"/>
      <c r="AGU269" s="18"/>
      <c r="AGV269" s="18"/>
      <c r="AGW269" s="18"/>
      <c r="AGX269" s="18"/>
      <c r="AGY269" s="18"/>
      <c r="AGZ269" s="18"/>
      <c r="AHA269" s="18"/>
      <c r="AHB269" s="18"/>
      <c r="AHC269" s="18"/>
      <c r="AHD269" s="18"/>
      <c r="AHE269" s="18"/>
      <c r="AHF269" s="18"/>
      <c r="AHG269" s="18"/>
      <c r="AHH269" s="18"/>
      <c r="AHI269" s="18"/>
      <c r="AHJ269" s="18"/>
      <c r="AHK269" s="18"/>
      <c r="AHL269" s="18"/>
      <c r="AHM269" s="18"/>
      <c r="AHN269" s="18"/>
      <c r="AHO269" s="18"/>
      <c r="AHP269" s="18"/>
      <c r="AHQ269" s="18"/>
      <c r="AHR269" s="18"/>
      <c r="AHS269" s="18"/>
      <c r="AHT269" s="18"/>
      <c r="AHU269" s="18"/>
      <c r="AHV269" s="18"/>
      <c r="AHW269" s="18"/>
      <c r="AHX269" s="18"/>
      <c r="AHY269" s="18"/>
      <c r="AHZ269" s="18"/>
      <c r="AIA269" s="18"/>
      <c r="AIB269" s="18"/>
      <c r="AIC269" s="18"/>
      <c r="AID269" s="18"/>
      <c r="AIE269" s="18"/>
      <c r="AIF269" s="18"/>
      <c r="AIG269" s="18"/>
      <c r="AIH269" s="18"/>
      <c r="AII269" s="18"/>
      <c r="AIJ269" s="18"/>
      <c r="AIK269" s="18"/>
      <c r="AIL269" s="18"/>
      <c r="AIM269" s="18"/>
      <c r="AIN269" s="18"/>
      <c r="AIO269" s="18"/>
      <c r="AIP269" s="18"/>
      <c r="AIQ269" s="18"/>
      <c r="AIR269" s="18"/>
      <c r="AIS269" s="18"/>
      <c r="AIT269" s="18"/>
      <c r="AIU269" s="18"/>
      <c r="AIV269" s="18"/>
      <c r="AIW269" s="18"/>
      <c r="AIX269" s="18"/>
      <c r="AIY269" s="18"/>
      <c r="AIZ269" s="18"/>
      <c r="AJA269" s="18"/>
      <c r="AJB269" s="18"/>
      <c r="AJC269" s="18"/>
      <c r="AJD269" s="18"/>
      <c r="AJE269" s="18"/>
      <c r="AJF269" s="18"/>
      <c r="AJG269" s="18"/>
      <c r="AJH269" s="18"/>
      <c r="AJI269" s="18"/>
      <c r="AJJ269" s="18"/>
      <c r="AJK269" s="18"/>
      <c r="AJL269" s="18"/>
      <c r="AJM269" s="18"/>
      <c r="AJN269" s="18"/>
      <c r="AJO269" s="18"/>
      <c r="AJP269" s="18"/>
      <c r="AJQ269" s="18"/>
      <c r="AJR269" s="18"/>
      <c r="AJS269" s="18"/>
      <c r="AJT269" s="18"/>
      <c r="AJU269" s="18"/>
      <c r="AJV269" s="18"/>
      <c r="AJW269" s="18"/>
      <c r="AJX269" s="18"/>
      <c r="AJY269" s="18"/>
      <c r="AJZ269" s="18"/>
      <c r="AKA269" s="18"/>
      <c r="AKB269" s="18"/>
      <c r="AKC269" s="18"/>
      <c r="AKD269" s="18"/>
      <c r="AKE269" s="18"/>
      <c r="AKF269" s="18"/>
      <c r="AKG269" s="18"/>
      <c r="AKH269" s="18"/>
      <c r="AKI269" s="18"/>
      <c r="AKJ269" s="18"/>
      <c r="AKK269" s="18"/>
      <c r="AKL269" s="18"/>
      <c r="AKM269" s="18"/>
      <c r="AKN269" s="18"/>
      <c r="AKO269" s="18"/>
      <c r="AKP269" s="18"/>
      <c r="AKQ269" s="18"/>
      <c r="AKR269" s="18"/>
      <c r="AKS269" s="18"/>
      <c r="AKT269" s="18"/>
      <c r="AKU269" s="18"/>
      <c r="AKV269" s="18"/>
      <c r="AKW269" s="18"/>
      <c r="AKX269" s="18"/>
      <c r="AKY269" s="18"/>
      <c r="AKZ269" s="18"/>
      <c r="ALA269" s="18"/>
      <c r="ALB269" s="18"/>
      <c r="ALC269" s="18"/>
      <c r="ALD269" s="18"/>
      <c r="ALE269" s="18"/>
      <c r="ALF269" s="18"/>
      <c r="ALG269" s="18"/>
      <c r="ALH269" s="18"/>
      <c r="ALI269" s="18"/>
      <c r="ALJ269" s="18"/>
      <c r="ALK269" s="18"/>
      <c r="ALL269" s="18"/>
      <c r="ALM269" s="18"/>
      <c r="ALN269" s="18"/>
      <c r="ALO269" s="18"/>
      <c r="ALP269" s="18"/>
      <c r="ALQ269" s="18"/>
      <c r="ALR269" s="18"/>
      <c r="ALS269" s="18"/>
      <c r="ALT269" s="18"/>
      <c r="ALU269" s="18"/>
      <c r="ALV269" s="18"/>
      <c r="ALW269" s="18"/>
      <c r="ALX269" s="18"/>
      <c r="ALY269" s="18"/>
      <c r="ALZ269" s="18"/>
      <c r="AMA269" s="18"/>
      <c r="AMB269" s="18"/>
      <c r="AMC269" s="18"/>
      <c r="AMD269" s="18"/>
      <c r="AME269" s="18"/>
      <c r="AMF269" s="18"/>
      <c r="AMG269" s="18"/>
      <c r="AMH269" s="18"/>
      <c r="AMI269" s="18"/>
      <c r="AMJ269" s="18"/>
      <c r="AMK269" s="18"/>
      <c r="AML269" s="18"/>
      <c r="AMM269" s="18"/>
    </row>
    <row r="270" spans="1:1027" s="31" customFormat="1" x14ac:dyDescent="0.2">
      <c r="A270" s="1" t="s">
        <v>521</v>
      </c>
      <c r="B270" s="1" t="s">
        <v>853</v>
      </c>
      <c r="C270" s="1"/>
      <c r="D270" s="1">
        <v>193</v>
      </c>
      <c r="E270" s="10" t="s">
        <v>506</v>
      </c>
      <c r="F270" s="10" t="s">
        <v>508</v>
      </c>
      <c r="G270" s="11" t="s">
        <v>508</v>
      </c>
      <c r="H270" s="10" t="s">
        <v>507</v>
      </c>
      <c r="I270" s="10"/>
      <c r="J270" s="10" t="s">
        <v>507</v>
      </c>
      <c r="K270" s="12"/>
      <c r="L270" s="18" t="s">
        <v>509</v>
      </c>
      <c r="M270" s="1"/>
      <c r="N270" s="1" t="s">
        <v>542</v>
      </c>
      <c r="O270" s="1"/>
      <c r="P270" s="1"/>
      <c r="Q270" s="1"/>
      <c r="R270" s="1"/>
      <c r="S270" s="1"/>
      <c r="T270" s="6"/>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AMM270" s="18"/>
    </row>
    <row r="271" spans="1:1027" s="31" customFormat="1" x14ac:dyDescent="0.2">
      <c r="A271" s="1" t="s">
        <v>504</v>
      </c>
      <c r="B271" s="1" t="s">
        <v>854</v>
      </c>
      <c r="C271" s="1"/>
      <c r="D271" s="1">
        <v>211</v>
      </c>
      <c r="E271" s="10" t="s">
        <v>506</v>
      </c>
      <c r="F271" s="10" t="s">
        <v>508</v>
      </c>
      <c r="G271" s="11" t="s">
        <v>508</v>
      </c>
      <c r="H271" s="10" t="s">
        <v>507</v>
      </c>
      <c r="I271" s="10"/>
      <c r="J271" s="10" t="s">
        <v>507</v>
      </c>
      <c r="K271" s="12"/>
      <c r="L271" s="18" t="s">
        <v>509</v>
      </c>
      <c r="M271" s="1"/>
      <c r="N271" s="1" t="s">
        <v>542</v>
      </c>
      <c r="O271" s="1"/>
      <c r="P271" s="1"/>
      <c r="Q271" s="1"/>
      <c r="R271" s="1"/>
      <c r="S271" s="13"/>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row>
    <row r="272" spans="1:1027" s="1" customFormat="1" x14ac:dyDescent="0.2">
      <c r="A272" s="1">
        <v>5</v>
      </c>
      <c r="B272" s="79" t="s">
        <v>855</v>
      </c>
      <c r="D272" s="1">
        <v>365</v>
      </c>
      <c r="E272" s="10" t="s">
        <v>507</v>
      </c>
      <c r="F272" s="10" t="s">
        <v>508</v>
      </c>
      <c r="G272" s="11" t="s">
        <v>508</v>
      </c>
      <c r="H272" s="10"/>
      <c r="I272" s="10"/>
      <c r="J272" s="10"/>
      <c r="K272" s="12"/>
      <c r="S272" s="13"/>
    </row>
    <row r="273" spans="1:1027" s="1" customFormat="1" x14ac:dyDescent="0.2">
      <c r="A273" s="1">
        <v>5</v>
      </c>
      <c r="B273" s="79" t="s">
        <v>856</v>
      </c>
      <c r="D273" s="1">
        <v>378</v>
      </c>
      <c r="E273" s="10" t="s">
        <v>507</v>
      </c>
      <c r="F273" s="10" t="s">
        <v>508</v>
      </c>
      <c r="G273" s="11" t="s">
        <v>508</v>
      </c>
      <c r="H273" s="10"/>
      <c r="I273" s="10"/>
      <c r="J273" s="10"/>
      <c r="K273" s="12"/>
      <c r="S273" s="13"/>
    </row>
    <row r="274" spans="1:1027" s="1" customFormat="1" x14ac:dyDescent="0.2">
      <c r="A274" s="1">
        <v>5</v>
      </c>
      <c r="B274" s="79" t="s">
        <v>857</v>
      </c>
      <c r="D274" s="1">
        <v>323</v>
      </c>
      <c r="E274" s="10" t="s">
        <v>507</v>
      </c>
      <c r="F274" s="10" t="s">
        <v>508</v>
      </c>
      <c r="G274" s="11" t="s">
        <v>508</v>
      </c>
      <c r="H274" s="10"/>
      <c r="I274" s="10"/>
      <c r="J274" s="10"/>
      <c r="K274" s="12"/>
      <c r="S274" s="13"/>
    </row>
    <row r="275" spans="1:1027" s="1" customFormat="1" x14ac:dyDescent="0.2">
      <c r="A275" s="1">
        <v>5</v>
      </c>
      <c r="B275" s="79" t="s">
        <v>858</v>
      </c>
      <c r="D275" s="1">
        <v>310</v>
      </c>
      <c r="E275" s="10" t="s">
        <v>507</v>
      </c>
      <c r="F275" s="10" t="s">
        <v>508</v>
      </c>
      <c r="G275" s="11" t="s">
        <v>508</v>
      </c>
      <c r="H275" s="10"/>
      <c r="I275" s="10"/>
      <c r="J275" s="10"/>
      <c r="K275" s="12"/>
      <c r="S275" s="13"/>
    </row>
    <row r="276" spans="1:1027" s="1" customFormat="1" x14ac:dyDescent="0.2">
      <c r="A276" s="1">
        <v>5</v>
      </c>
      <c r="B276" s="79" t="s">
        <v>859</v>
      </c>
      <c r="D276" s="1">
        <v>277</v>
      </c>
      <c r="E276" s="10" t="s">
        <v>507</v>
      </c>
      <c r="F276" s="10" t="s">
        <v>508</v>
      </c>
      <c r="G276" s="11" t="s">
        <v>508</v>
      </c>
      <c r="H276" s="10"/>
      <c r="I276" s="10"/>
      <c r="J276" s="10"/>
      <c r="K276" s="12"/>
      <c r="S276" s="13"/>
    </row>
    <row r="277" spans="1:1027" s="31" customFormat="1" x14ac:dyDescent="0.2">
      <c r="A277" s="1" t="s">
        <v>504</v>
      </c>
      <c r="B277" s="1" t="s">
        <v>860</v>
      </c>
      <c r="C277" s="1"/>
      <c r="D277" s="1">
        <v>162</v>
      </c>
      <c r="E277" s="10" t="s">
        <v>506</v>
      </c>
      <c r="F277" s="10" t="s">
        <v>508</v>
      </c>
      <c r="G277" s="11" t="s">
        <v>508</v>
      </c>
      <c r="H277" s="10" t="s">
        <v>507</v>
      </c>
      <c r="I277" s="10"/>
      <c r="J277" s="10" t="s">
        <v>507</v>
      </c>
      <c r="K277" s="12"/>
      <c r="L277" s="26"/>
      <c r="M277" s="1"/>
      <c r="N277" s="1"/>
      <c r="O277" s="1"/>
      <c r="P277" s="1"/>
      <c r="Q277" s="1"/>
      <c r="R277" s="1"/>
      <c r="S277" s="13" t="s">
        <v>861</v>
      </c>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row>
    <row r="278" spans="1:1027" s="31" customFormat="1" x14ac:dyDescent="0.2">
      <c r="A278" s="18" t="s">
        <v>504</v>
      </c>
      <c r="B278" s="18" t="s">
        <v>862</v>
      </c>
      <c r="C278" s="18"/>
      <c r="D278" s="18">
        <v>4</v>
      </c>
      <c r="E278" s="19" t="s">
        <v>506</v>
      </c>
      <c r="F278" s="19" t="s">
        <v>507</v>
      </c>
      <c r="G278" s="20" t="s">
        <v>508</v>
      </c>
      <c r="H278" s="19" t="s">
        <v>507</v>
      </c>
      <c r="I278" s="19"/>
      <c r="J278" s="32" t="s">
        <v>507</v>
      </c>
      <c r="K278" s="21" t="s">
        <v>509</v>
      </c>
      <c r="L278" s="18"/>
      <c r="M278" s="1" t="s">
        <v>598</v>
      </c>
      <c r="N278" s="1"/>
      <c r="O278" s="18"/>
      <c r="P278" s="18"/>
      <c r="Q278" s="18"/>
      <c r="R278" s="18"/>
      <c r="S278" s="13"/>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row>
    <row r="279" spans="1:1027" s="18" customFormat="1" x14ac:dyDescent="0.2">
      <c r="A279" s="1" t="s">
        <v>521</v>
      </c>
      <c r="B279" s="1" t="s">
        <v>863</v>
      </c>
      <c r="C279" s="1"/>
      <c r="D279" s="1">
        <v>548</v>
      </c>
      <c r="E279" s="10" t="s">
        <v>506</v>
      </c>
      <c r="F279" s="10" t="s">
        <v>508</v>
      </c>
      <c r="G279" s="11" t="s">
        <v>508</v>
      </c>
      <c r="H279" s="10" t="s">
        <v>507</v>
      </c>
      <c r="I279" s="10"/>
      <c r="J279" s="10" t="s">
        <v>507</v>
      </c>
      <c r="K279" s="12"/>
      <c r="L279" s="26"/>
      <c r="M279" s="1"/>
      <c r="N279" s="1"/>
      <c r="O279" s="1"/>
      <c r="P279" s="1"/>
      <c r="Q279" s="1"/>
      <c r="R279" s="1"/>
      <c r="S279" s="13"/>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31"/>
      <c r="BY279" s="31"/>
      <c r="BZ279" s="31"/>
      <c r="CA279" s="31"/>
      <c r="CB279" s="31"/>
      <c r="CC279" s="31"/>
      <c r="CD279" s="31"/>
      <c r="CE279" s="31"/>
      <c r="CF279" s="31"/>
      <c r="CG279" s="31"/>
      <c r="CH279" s="31"/>
      <c r="CI279" s="31"/>
      <c r="CJ279" s="31"/>
      <c r="CK279" s="31"/>
      <c r="CL279" s="31"/>
      <c r="CM279" s="31"/>
      <c r="CN279" s="31"/>
      <c r="CO279" s="31"/>
      <c r="CP279" s="31"/>
      <c r="CQ279" s="31"/>
      <c r="CR279" s="31"/>
      <c r="CS279" s="31"/>
      <c r="CT279" s="31"/>
      <c r="CU279" s="31"/>
      <c r="CV279" s="31"/>
      <c r="CW279" s="31"/>
      <c r="CX279" s="31"/>
      <c r="CY279" s="31"/>
      <c r="CZ279" s="31"/>
      <c r="DA279" s="31"/>
      <c r="DB279" s="31"/>
      <c r="DC279" s="31"/>
      <c r="DD279" s="31"/>
      <c r="DE279" s="31"/>
      <c r="DF279" s="31"/>
      <c r="DG279" s="31"/>
      <c r="DH279" s="31"/>
      <c r="DI279" s="31"/>
      <c r="DJ279" s="31"/>
      <c r="DK279" s="31"/>
      <c r="DL279" s="31"/>
      <c r="DM279" s="31"/>
      <c r="DN279" s="31"/>
      <c r="DO279" s="31"/>
      <c r="DP279" s="31"/>
      <c r="DQ279" s="31"/>
      <c r="DR279" s="31"/>
      <c r="DS279" s="31"/>
      <c r="DT279" s="31"/>
      <c r="DU279" s="31"/>
      <c r="DV279" s="31"/>
      <c r="DW279" s="31"/>
      <c r="DX279" s="31"/>
      <c r="DY279" s="31"/>
      <c r="DZ279" s="31"/>
      <c r="EA279" s="31"/>
      <c r="EB279" s="31"/>
      <c r="EC279" s="31"/>
      <c r="ED279" s="31"/>
      <c r="EE279" s="31"/>
      <c r="EF279" s="31"/>
      <c r="EG279" s="31"/>
      <c r="EH279" s="31"/>
      <c r="EI279" s="31"/>
      <c r="EJ279" s="31"/>
      <c r="EK279" s="31"/>
      <c r="EL279" s="31"/>
      <c r="EM279" s="31"/>
      <c r="EN279" s="31"/>
      <c r="EO279" s="31"/>
      <c r="EP279" s="31"/>
      <c r="EQ279" s="31"/>
      <c r="ER279" s="31"/>
      <c r="ES279" s="31"/>
      <c r="ET279" s="31"/>
      <c r="EU279" s="31"/>
      <c r="EV279" s="31"/>
      <c r="EW279" s="31"/>
      <c r="EX279" s="31"/>
      <c r="EY279" s="31"/>
      <c r="EZ279" s="31"/>
      <c r="FA279" s="31"/>
      <c r="FB279" s="31"/>
      <c r="FC279" s="31"/>
      <c r="FD279" s="31"/>
      <c r="FE279" s="31"/>
      <c r="FF279" s="31"/>
      <c r="FG279" s="31"/>
      <c r="FH279" s="31"/>
      <c r="FI279" s="31"/>
      <c r="FJ279" s="31"/>
      <c r="FK279" s="31"/>
      <c r="FL279" s="31"/>
      <c r="FM279" s="31"/>
      <c r="FN279" s="31"/>
      <c r="FO279" s="31"/>
      <c r="FP279" s="31"/>
      <c r="FQ279" s="31"/>
      <c r="FR279" s="31"/>
      <c r="FS279" s="31"/>
      <c r="FT279" s="31"/>
      <c r="FU279" s="31"/>
      <c r="FV279" s="31"/>
      <c r="FW279" s="31"/>
      <c r="FX279" s="31"/>
      <c r="FY279" s="31"/>
      <c r="FZ279" s="31"/>
      <c r="GA279" s="31"/>
      <c r="GB279" s="31"/>
      <c r="GC279" s="31"/>
      <c r="GD279" s="31"/>
      <c r="GE279" s="31"/>
      <c r="GF279" s="31"/>
      <c r="GG279" s="31"/>
      <c r="GH279" s="31"/>
      <c r="GI279" s="31"/>
      <c r="GJ279" s="31"/>
      <c r="GK279" s="31"/>
      <c r="GL279" s="31"/>
      <c r="GM279" s="31"/>
      <c r="GN279" s="31"/>
      <c r="GO279" s="31"/>
      <c r="GP279" s="31"/>
      <c r="GQ279" s="31"/>
      <c r="GR279" s="31"/>
      <c r="GS279" s="31"/>
      <c r="GT279" s="31"/>
      <c r="GU279" s="31"/>
      <c r="GV279" s="31"/>
      <c r="GW279" s="31"/>
      <c r="GX279" s="31"/>
      <c r="GY279" s="31"/>
      <c r="GZ279" s="31"/>
      <c r="HA279" s="31"/>
      <c r="HB279" s="31"/>
      <c r="HC279" s="31"/>
      <c r="HD279" s="31"/>
      <c r="HE279" s="31"/>
      <c r="HF279" s="31"/>
      <c r="HG279" s="31"/>
      <c r="HH279" s="31"/>
      <c r="HI279" s="31"/>
      <c r="HJ279" s="31"/>
      <c r="HK279" s="31"/>
      <c r="HL279" s="31"/>
      <c r="HM279" s="31"/>
      <c r="HN279" s="31"/>
      <c r="HO279" s="31"/>
      <c r="HP279" s="31"/>
      <c r="HQ279" s="31"/>
      <c r="HR279" s="31"/>
      <c r="HS279" s="31"/>
      <c r="HT279" s="31"/>
      <c r="HU279" s="31"/>
      <c r="HV279" s="31"/>
      <c r="HW279" s="31"/>
      <c r="HX279" s="31"/>
      <c r="HY279" s="31"/>
      <c r="HZ279" s="31"/>
      <c r="IA279" s="31"/>
      <c r="IB279" s="31"/>
      <c r="IC279" s="31"/>
      <c r="ID279" s="31"/>
      <c r="IE279" s="31"/>
      <c r="IF279" s="31"/>
      <c r="IG279" s="31"/>
      <c r="IH279" s="31"/>
      <c r="II279" s="31"/>
      <c r="IJ279" s="31"/>
      <c r="IK279" s="31"/>
      <c r="IL279" s="31"/>
      <c r="IM279" s="31"/>
      <c r="IN279" s="31"/>
      <c r="IO279" s="31"/>
      <c r="IP279" s="31"/>
      <c r="IQ279" s="31"/>
      <c r="IR279" s="31"/>
      <c r="IS279" s="31"/>
      <c r="IT279" s="31"/>
      <c r="IU279" s="31"/>
      <c r="IV279" s="31"/>
      <c r="IW279" s="31"/>
      <c r="IX279" s="31"/>
      <c r="IY279" s="31"/>
      <c r="IZ279" s="31"/>
      <c r="JA279" s="31"/>
      <c r="JB279" s="31"/>
      <c r="JC279" s="31"/>
      <c r="JD279" s="31"/>
      <c r="JE279" s="31"/>
      <c r="JF279" s="31"/>
      <c r="JG279" s="31"/>
      <c r="JH279" s="31"/>
      <c r="JI279" s="31"/>
      <c r="JJ279" s="31"/>
      <c r="JK279" s="31"/>
      <c r="JL279" s="31"/>
      <c r="JM279" s="31"/>
      <c r="JN279" s="31"/>
      <c r="JO279" s="31"/>
      <c r="JP279" s="31"/>
      <c r="JQ279" s="31"/>
      <c r="JR279" s="31"/>
      <c r="JS279" s="31"/>
      <c r="JT279" s="31"/>
      <c r="JU279" s="31"/>
      <c r="JV279" s="31"/>
      <c r="JW279" s="31"/>
      <c r="JX279" s="31"/>
      <c r="JY279" s="31"/>
      <c r="JZ279" s="31"/>
      <c r="KA279" s="31"/>
      <c r="KB279" s="31"/>
      <c r="KC279" s="31"/>
      <c r="KD279" s="31"/>
      <c r="KE279" s="31"/>
      <c r="KF279" s="31"/>
      <c r="KG279" s="31"/>
      <c r="KH279" s="31"/>
      <c r="KI279" s="31"/>
      <c r="KJ279" s="31"/>
      <c r="KK279" s="31"/>
      <c r="KL279" s="31"/>
      <c r="KM279" s="31"/>
      <c r="KN279" s="31"/>
      <c r="KO279" s="31"/>
      <c r="KP279" s="31"/>
      <c r="KQ279" s="31"/>
      <c r="KR279" s="31"/>
      <c r="KS279" s="31"/>
      <c r="KT279" s="31"/>
      <c r="KU279" s="31"/>
      <c r="KV279" s="31"/>
      <c r="KW279" s="31"/>
      <c r="KX279" s="31"/>
      <c r="KY279" s="31"/>
      <c r="KZ279" s="31"/>
      <c r="LA279" s="31"/>
      <c r="LB279" s="31"/>
      <c r="LC279" s="31"/>
      <c r="LD279" s="31"/>
      <c r="LE279" s="31"/>
      <c r="LF279" s="31"/>
      <c r="LG279" s="31"/>
      <c r="LH279" s="31"/>
      <c r="LI279" s="31"/>
      <c r="LJ279" s="31"/>
      <c r="LK279" s="31"/>
      <c r="LL279" s="31"/>
      <c r="LM279" s="31"/>
      <c r="LN279" s="31"/>
      <c r="LO279" s="31"/>
      <c r="LP279" s="31"/>
      <c r="LQ279" s="31"/>
      <c r="LR279" s="31"/>
      <c r="LS279" s="31"/>
      <c r="LT279" s="31"/>
      <c r="LU279" s="31"/>
      <c r="LV279" s="31"/>
      <c r="LW279" s="31"/>
      <c r="LX279" s="31"/>
      <c r="LY279" s="31"/>
      <c r="LZ279" s="31"/>
      <c r="MA279" s="31"/>
      <c r="MB279" s="31"/>
      <c r="MC279" s="31"/>
      <c r="MD279" s="31"/>
      <c r="ME279" s="31"/>
      <c r="MF279" s="31"/>
      <c r="MG279" s="31"/>
      <c r="MH279" s="31"/>
      <c r="MI279" s="31"/>
      <c r="MJ279" s="31"/>
      <c r="MK279" s="31"/>
      <c r="ML279" s="31"/>
      <c r="MM279" s="31"/>
      <c r="MN279" s="31"/>
      <c r="MO279" s="31"/>
      <c r="MP279" s="31"/>
      <c r="MQ279" s="31"/>
      <c r="MR279" s="31"/>
      <c r="MS279" s="31"/>
      <c r="MT279" s="31"/>
      <c r="MU279" s="31"/>
      <c r="MV279" s="31"/>
      <c r="MW279" s="31"/>
      <c r="MX279" s="31"/>
      <c r="MY279" s="31"/>
      <c r="MZ279" s="31"/>
      <c r="NA279" s="31"/>
      <c r="NB279" s="31"/>
      <c r="NC279" s="31"/>
      <c r="ND279" s="31"/>
      <c r="NE279" s="31"/>
      <c r="NF279" s="31"/>
      <c r="NG279" s="31"/>
      <c r="NH279" s="31"/>
      <c r="NI279" s="31"/>
      <c r="NJ279" s="31"/>
      <c r="NK279" s="31"/>
      <c r="NL279" s="31"/>
      <c r="NM279" s="31"/>
      <c r="NN279" s="31"/>
      <c r="NO279" s="31"/>
      <c r="NP279" s="31"/>
      <c r="NQ279" s="31"/>
      <c r="NR279" s="31"/>
      <c r="NS279" s="31"/>
      <c r="NT279" s="31"/>
      <c r="NU279" s="31"/>
      <c r="NV279" s="31"/>
      <c r="NW279" s="31"/>
      <c r="NX279" s="31"/>
      <c r="NY279" s="31"/>
      <c r="NZ279" s="31"/>
      <c r="OA279" s="31"/>
      <c r="OB279" s="31"/>
      <c r="OC279" s="31"/>
      <c r="OD279" s="31"/>
      <c r="OE279" s="31"/>
      <c r="OF279" s="31"/>
      <c r="OG279" s="31"/>
      <c r="OH279" s="31"/>
      <c r="OI279" s="31"/>
      <c r="OJ279" s="31"/>
      <c r="OK279" s="31"/>
      <c r="OL279" s="31"/>
      <c r="OM279" s="31"/>
      <c r="ON279" s="31"/>
      <c r="OO279" s="31"/>
      <c r="OP279" s="31"/>
      <c r="OQ279" s="31"/>
      <c r="OR279" s="31"/>
      <c r="OS279" s="31"/>
      <c r="OT279" s="31"/>
      <c r="OU279" s="31"/>
      <c r="OV279" s="31"/>
      <c r="OW279" s="31"/>
      <c r="OX279" s="31"/>
      <c r="OY279" s="31"/>
      <c r="OZ279" s="31"/>
      <c r="PA279" s="31"/>
      <c r="PB279" s="31"/>
      <c r="PC279" s="31"/>
      <c r="PD279" s="31"/>
      <c r="PE279" s="31"/>
      <c r="PF279" s="31"/>
      <c r="PG279" s="31"/>
      <c r="PH279" s="31"/>
      <c r="PI279" s="31"/>
      <c r="PJ279" s="31"/>
      <c r="PK279" s="31"/>
      <c r="PL279" s="31"/>
      <c r="PM279" s="31"/>
      <c r="PN279" s="31"/>
      <c r="PO279" s="31"/>
      <c r="PP279" s="31"/>
      <c r="PQ279" s="31"/>
      <c r="PR279" s="31"/>
      <c r="PS279" s="31"/>
      <c r="PT279" s="31"/>
      <c r="PU279" s="31"/>
      <c r="PV279" s="31"/>
      <c r="PW279" s="31"/>
      <c r="PX279" s="31"/>
      <c r="PY279" s="31"/>
      <c r="PZ279" s="31"/>
      <c r="QA279" s="31"/>
      <c r="QB279" s="31"/>
      <c r="QC279" s="31"/>
      <c r="QD279" s="31"/>
      <c r="QE279" s="31"/>
      <c r="QF279" s="31"/>
      <c r="QG279" s="31"/>
      <c r="QH279" s="31"/>
      <c r="QI279" s="31"/>
      <c r="QJ279" s="31"/>
      <c r="QK279" s="31"/>
      <c r="QL279" s="31"/>
      <c r="QM279" s="31"/>
      <c r="QN279" s="31"/>
      <c r="QO279" s="31"/>
      <c r="QP279" s="31"/>
      <c r="QQ279" s="31"/>
      <c r="QR279" s="31"/>
      <c r="QS279" s="31"/>
      <c r="QT279" s="31"/>
      <c r="QU279" s="31"/>
      <c r="QV279" s="31"/>
      <c r="QW279" s="31"/>
      <c r="QX279" s="31"/>
      <c r="QY279" s="31"/>
      <c r="QZ279" s="31"/>
      <c r="RA279" s="31"/>
      <c r="RB279" s="31"/>
      <c r="RC279" s="31"/>
      <c r="RD279" s="31"/>
      <c r="RE279" s="31"/>
      <c r="RF279" s="31"/>
      <c r="RG279" s="31"/>
      <c r="RH279" s="31"/>
      <c r="RI279" s="31"/>
      <c r="RJ279" s="31"/>
      <c r="RK279" s="31"/>
      <c r="RL279" s="31"/>
      <c r="RM279" s="31"/>
      <c r="RN279" s="31"/>
      <c r="RO279" s="31"/>
      <c r="RP279" s="31"/>
      <c r="RQ279" s="31"/>
      <c r="RR279" s="31"/>
      <c r="RS279" s="31"/>
      <c r="RT279" s="31"/>
      <c r="RU279" s="31"/>
      <c r="RV279" s="31"/>
      <c r="RW279" s="31"/>
      <c r="RX279" s="31"/>
      <c r="RY279" s="31"/>
      <c r="RZ279" s="31"/>
      <c r="SA279" s="31"/>
      <c r="SB279" s="31"/>
      <c r="SC279" s="31"/>
      <c r="SD279" s="31"/>
      <c r="SE279" s="31"/>
      <c r="SF279" s="31"/>
      <c r="SG279" s="31"/>
      <c r="SH279" s="31"/>
      <c r="SI279" s="31"/>
      <c r="SJ279" s="31"/>
      <c r="SK279" s="31"/>
      <c r="SL279" s="31"/>
      <c r="SM279" s="31"/>
      <c r="SN279" s="31"/>
      <c r="SO279" s="31"/>
      <c r="SP279" s="31"/>
      <c r="SQ279" s="31"/>
      <c r="SR279" s="31"/>
      <c r="SS279" s="31"/>
      <c r="ST279" s="31"/>
      <c r="SU279" s="31"/>
      <c r="SV279" s="31"/>
      <c r="SW279" s="31"/>
      <c r="SX279" s="31"/>
      <c r="SY279" s="31"/>
      <c r="SZ279" s="31"/>
      <c r="TA279" s="31"/>
      <c r="TB279" s="31"/>
      <c r="TC279" s="31"/>
      <c r="TD279" s="31"/>
      <c r="TE279" s="31"/>
      <c r="TF279" s="31"/>
      <c r="TG279" s="31"/>
      <c r="TH279" s="31"/>
      <c r="TI279" s="31"/>
      <c r="TJ279" s="31"/>
      <c r="TK279" s="31"/>
      <c r="TL279" s="31"/>
      <c r="TM279" s="31"/>
      <c r="TN279" s="31"/>
      <c r="TO279" s="31"/>
      <c r="TP279" s="31"/>
      <c r="TQ279" s="31"/>
      <c r="TR279" s="31"/>
      <c r="TS279" s="31"/>
      <c r="TT279" s="31"/>
      <c r="TU279" s="31"/>
      <c r="TV279" s="31"/>
      <c r="TW279" s="31"/>
      <c r="TX279" s="31"/>
      <c r="TY279" s="31"/>
      <c r="TZ279" s="31"/>
      <c r="UA279" s="31"/>
      <c r="UB279" s="31"/>
      <c r="UC279" s="31"/>
      <c r="UD279" s="31"/>
      <c r="UE279" s="31"/>
      <c r="UF279" s="31"/>
      <c r="UG279" s="31"/>
      <c r="UH279" s="31"/>
      <c r="UI279" s="31"/>
      <c r="UJ279" s="31"/>
      <c r="UK279" s="31"/>
      <c r="UL279" s="31"/>
      <c r="UM279" s="31"/>
      <c r="UN279" s="31"/>
      <c r="UO279" s="31"/>
      <c r="UP279" s="31"/>
      <c r="UQ279" s="31"/>
      <c r="UR279" s="31"/>
      <c r="US279" s="31"/>
      <c r="UT279" s="31"/>
      <c r="UU279" s="31"/>
      <c r="UV279" s="31"/>
      <c r="UW279" s="31"/>
      <c r="UX279" s="31"/>
      <c r="UY279" s="31"/>
      <c r="UZ279" s="31"/>
      <c r="VA279" s="31"/>
      <c r="VB279" s="31"/>
      <c r="VC279" s="31"/>
      <c r="VD279" s="31"/>
      <c r="VE279" s="31"/>
      <c r="VF279" s="31"/>
      <c r="VG279" s="31"/>
      <c r="VH279" s="31"/>
      <c r="VI279" s="31"/>
      <c r="VJ279" s="31"/>
      <c r="VK279" s="31"/>
      <c r="VL279" s="31"/>
      <c r="VM279" s="31"/>
      <c r="VN279" s="31"/>
      <c r="VO279" s="31"/>
      <c r="VP279" s="31"/>
      <c r="VQ279" s="31"/>
      <c r="VR279" s="31"/>
      <c r="VS279" s="31"/>
      <c r="VT279" s="31"/>
      <c r="VU279" s="31"/>
      <c r="VV279" s="31"/>
      <c r="VW279" s="31"/>
      <c r="VX279" s="31"/>
      <c r="VY279" s="31"/>
      <c r="VZ279" s="31"/>
      <c r="WA279" s="31"/>
      <c r="WB279" s="31"/>
      <c r="WC279" s="31"/>
      <c r="WD279" s="31"/>
      <c r="WE279" s="31"/>
      <c r="WF279" s="31"/>
      <c r="WG279" s="31"/>
      <c r="WH279" s="31"/>
      <c r="WI279" s="31"/>
      <c r="WJ279" s="31"/>
      <c r="WK279" s="31"/>
      <c r="WL279" s="31"/>
      <c r="WM279" s="31"/>
      <c r="WN279" s="31"/>
      <c r="WO279" s="31"/>
      <c r="WP279" s="31"/>
      <c r="WQ279" s="31"/>
      <c r="WR279" s="31"/>
      <c r="WS279" s="31"/>
      <c r="WT279" s="31"/>
      <c r="WU279" s="31"/>
      <c r="WV279" s="31"/>
      <c r="WW279" s="31"/>
      <c r="WX279" s="31"/>
      <c r="WY279" s="31"/>
      <c r="WZ279" s="31"/>
      <c r="XA279" s="31"/>
      <c r="XB279" s="31"/>
      <c r="XC279" s="31"/>
      <c r="XD279" s="31"/>
      <c r="XE279" s="31"/>
      <c r="XF279" s="31"/>
      <c r="XG279" s="31"/>
      <c r="XH279" s="31"/>
      <c r="XI279" s="31"/>
      <c r="XJ279" s="31"/>
      <c r="XK279" s="31"/>
      <c r="XL279" s="31"/>
      <c r="XM279" s="31"/>
      <c r="XN279" s="31"/>
      <c r="XO279" s="31"/>
      <c r="XP279" s="31"/>
      <c r="XQ279" s="31"/>
      <c r="XR279" s="31"/>
      <c r="XS279" s="31"/>
      <c r="XT279" s="31"/>
      <c r="XU279" s="31"/>
      <c r="XV279" s="31"/>
      <c r="XW279" s="31"/>
      <c r="XX279" s="31"/>
      <c r="XY279" s="31"/>
      <c r="XZ279" s="31"/>
      <c r="YA279" s="31"/>
      <c r="YB279" s="31"/>
      <c r="YC279" s="31"/>
      <c r="YD279" s="31"/>
      <c r="YE279" s="31"/>
      <c r="YF279" s="31"/>
      <c r="YG279" s="31"/>
      <c r="YH279" s="31"/>
      <c r="YI279" s="31"/>
      <c r="YJ279" s="31"/>
      <c r="YK279" s="31"/>
      <c r="YL279" s="31"/>
      <c r="YM279" s="31"/>
      <c r="YN279" s="31"/>
      <c r="YO279" s="31"/>
      <c r="YP279" s="31"/>
      <c r="YQ279" s="31"/>
      <c r="YR279" s="31"/>
      <c r="YS279" s="31"/>
      <c r="YT279" s="31"/>
      <c r="YU279" s="31"/>
      <c r="YV279" s="31"/>
      <c r="YW279" s="31"/>
      <c r="YX279" s="31"/>
      <c r="YY279" s="31"/>
      <c r="YZ279" s="31"/>
      <c r="ZA279" s="31"/>
      <c r="ZB279" s="31"/>
      <c r="ZC279" s="31"/>
      <c r="ZD279" s="31"/>
      <c r="ZE279" s="31"/>
      <c r="ZF279" s="31"/>
      <c r="ZG279" s="31"/>
      <c r="ZH279" s="31"/>
      <c r="ZI279" s="31"/>
      <c r="ZJ279" s="31"/>
      <c r="ZK279" s="31"/>
      <c r="ZL279" s="31"/>
      <c r="ZM279" s="31"/>
      <c r="ZN279" s="31"/>
      <c r="ZO279" s="31"/>
      <c r="ZP279" s="31"/>
      <c r="ZQ279" s="31"/>
      <c r="ZR279" s="31"/>
      <c r="ZS279" s="31"/>
      <c r="ZT279" s="31"/>
      <c r="ZU279" s="31"/>
      <c r="ZV279" s="31"/>
      <c r="ZW279" s="31"/>
      <c r="ZX279" s="31"/>
      <c r="ZY279" s="31"/>
      <c r="ZZ279" s="31"/>
      <c r="AAA279" s="31"/>
      <c r="AAB279" s="31"/>
      <c r="AAC279" s="31"/>
      <c r="AAD279" s="31"/>
      <c r="AAE279" s="31"/>
      <c r="AAF279" s="31"/>
      <c r="AAG279" s="31"/>
      <c r="AAH279" s="31"/>
      <c r="AAI279" s="31"/>
      <c r="AAJ279" s="31"/>
      <c r="AAK279" s="31"/>
      <c r="AAL279" s="31"/>
      <c r="AAM279" s="31"/>
      <c r="AAN279" s="31"/>
      <c r="AAO279" s="31"/>
      <c r="AAP279" s="31"/>
      <c r="AAQ279" s="31"/>
      <c r="AAR279" s="31"/>
      <c r="AAS279" s="31"/>
      <c r="AAT279" s="31"/>
      <c r="AAU279" s="31"/>
      <c r="AAV279" s="31"/>
      <c r="AAW279" s="31"/>
      <c r="AAX279" s="31"/>
      <c r="AAY279" s="31"/>
      <c r="AAZ279" s="31"/>
      <c r="ABA279" s="31"/>
      <c r="ABB279" s="31"/>
      <c r="ABC279" s="31"/>
      <c r="ABD279" s="31"/>
      <c r="ABE279" s="31"/>
      <c r="ABF279" s="31"/>
      <c r="ABG279" s="31"/>
      <c r="ABH279" s="31"/>
      <c r="ABI279" s="31"/>
      <c r="ABJ279" s="31"/>
      <c r="ABK279" s="31"/>
      <c r="ABL279" s="31"/>
      <c r="ABM279" s="31"/>
      <c r="ABN279" s="31"/>
      <c r="ABO279" s="31"/>
      <c r="ABP279" s="31"/>
      <c r="ABQ279" s="31"/>
      <c r="ABR279" s="31"/>
      <c r="ABS279" s="31"/>
      <c r="ABT279" s="31"/>
      <c r="ABU279" s="31"/>
      <c r="ABV279" s="31"/>
      <c r="ABW279" s="31"/>
      <c r="ABX279" s="31"/>
      <c r="ABY279" s="31"/>
      <c r="ABZ279" s="31"/>
      <c r="ACA279" s="31"/>
      <c r="ACB279" s="31"/>
      <c r="ACC279" s="31"/>
      <c r="ACD279" s="31"/>
      <c r="ACE279" s="31"/>
      <c r="ACF279" s="31"/>
      <c r="ACG279" s="31"/>
      <c r="ACH279" s="31"/>
      <c r="ACI279" s="31"/>
      <c r="ACJ279" s="31"/>
      <c r="ACK279" s="31"/>
      <c r="ACL279" s="31"/>
      <c r="ACM279" s="31"/>
      <c r="ACN279" s="31"/>
      <c r="ACO279" s="31"/>
      <c r="ACP279" s="31"/>
      <c r="ACQ279" s="31"/>
      <c r="ACR279" s="31"/>
      <c r="ACS279" s="31"/>
      <c r="ACT279" s="31"/>
      <c r="ACU279" s="31"/>
      <c r="ACV279" s="31"/>
      <c r="ACW279" s="31"/>
      <c r="ACX279" s="31"/>
      <c r="ACY279" s="31"/>
      <c r="ACZ279" s="31"/>
      <c r="ADA279" s="31"/>
      <c r="ADB279" s="31"/>
      <c r="ADC279" s="31"/>
      <c r="ADD279" s="31"/>
      <c r="ADE279" s="31"/>
      <c r="ADF279" s="31"/>
      <c r="ADG279" s="31"/>
      <c r="ADH279" s="31"/>
      <c r="ADI279" s="31"/>
      <c r="ADJ279" s="31"/>
      <c r="ADK279" s="31"/>
      <c r="ADL279" s="31"/>
      <c r="ADM279" s="31"/>
      <c r="ADN279" s="31"/>
      <c r="ADO279" s="31"/>
      <c r="ADP279" s="31"/>
      <c r="ADQ279" s="31"/>
      <c r="ADR279" s="31"/>
      <c r="ADS279" s="31"/>
      <c r="ADT279" s="31"/>
      <c r="ADU279" s="31"/>
      <c r="ADV279" s="31"/>
      <c r="ADW279" s="31"/>
      <c r="ADX279" s="31"/>
      <c r="ADY279" s="31"/>
      <c r="ADZ279" s="31"/>
      <c r="AEA279" s="31"/>
      <c r="AEB279" s="31"/>
      <c r="AEC279" s="31"/>
      <c r="AED279" s="31"/>
      <c r="AEE279" s="31"/>
      <c r="AEF279" s="31"/>
      <c r="AEG279" s="31"/>
      <c r="AEH279" s="31"/>
      <c r="AEI279" s="31"/>
      <c r="AEJ279" s="31"/>
      <c r="AEK279" s="31"/>
      <c r="AEL279" s="31"/>
      <c r="AEM279" s="31"/>
      <c r="AEN279" s="31"/>
      <c r="AEO279" s="31"/>
      <c r="AEP279" s="31"/>
      <c r="AEQ279" s="31"/>
      <c r="AER279" s="31"/>
      <c r="AES279" s="31"/>
      <c r="AET279" s="31"/>
      <c r="AEU279" s="31"/>
      <c r="AEV279" s="31"/>
      <c r="AEW279" s="31"/>
      <c r="AEX279" s="31"/>
      <c r="AEY279" s="31"/>
      <c r="AEZ279" s="31"/>
      <c r="AFA279" s="31"/>
      <c r="AFB279" s="31"/>
      <c r="AFC279" s="31"/>
      <c r="AFD279" s="31"/>
      <c r="AFE279" s="31"/>
      <c r="AFF279" s="31"/>
      <c r="AFG279" s="31"/>
      <c r="AFH279" s="31"/>
      <c r="AFI279" s="31"/>
      <c r="AFJ279" s="31"/>
      <c r="AFK279" s="31"/>
      <c r="AFL279" s="31"/>
      <c r="AFM279" s="31"/>
      <c r="AFN279" s="31"/>
      <c r="AFO279" s="31"/>
      <c r="AFP279" s="31"/>
      <c r="AFQ279" s="31"/>
      <c r="AFR279" s="31"/>
      <c r="AFS279" s="31"/>
      <c r="AFT279" s="31"/>
      <c r="AFU279" s="31"/>
      <c r="AFV279" s="31"/>
      <c r="AFW279" s="31"/>
      <c r="AFX279" s="31"/>
      <c r="AFY279" s="31"/>
      <c r="AFZ279" s="31"/>
      <c r="AGA279" s="31"/>
      <c r="AGB279" s="31"/>
      <c r="AGC279" s="31"/>
      <c r="AGD279" s="31"/>
      <c r="AGE279" s="31"/>
      <c r="AGF279" s="31"/>
      <c r="AGG279" s="31"/>
      <c r="AGH279" s="31"/>
      <c r="AGI279" s="31"/>
      <c r="AGJ279" s="31"/>
      <c r="AGK279" s="31"/>
      <c r="AGL279" s="31"/>
      <c r="AGM279" s="31"/>
      <c r="AGN279" s="31"/>
      <c r="AGO279" s="31"/>
      <c r="AGP279" s="31"/>
      <c r="AGQ279" s="31"/>
      <c r="AGR279" s="31"/>
      <c r="AGS279" s="31"/>
      <c r="AGT279" s="31"/>
      <c r="AGU279" s="31"/>
      <c r="AGV279" s="31"/>
      <c r="AGW279" s="31"/>
      <c r="AGX279" s="31"/>
      <c r="AGY279" s="31"/>
      <c r="AGZ279" s="31"/>
      <c r="AHA279" s="31"/>
      <c r="AHB279" s="31"/>
      <c r="AHC279" s="31"/>
      <c r="AHD279" s="31"/>
      <c r="AHE279" s="31"/>
      <c r="AHF279" s="31"/>
      <c r="AHG279" s="31"/>
      <c r="AHH279" s="31"/>
      <c r="AHI279" s="31"/>
      <c r="AHJ279" s="31"/>
      <c r="AHK279" s="31"/>
      <c r="AHL279" s="31"/>
      <c r="AHM279" s="31"/>
      <c r="AHN279" s="31"/>
      <c r="AHO279" s="31"/>
      <c r="AHP279" s="31"/>
      <c r="AHQ279" s="31"/>
      <c r="AHR279" s="31"/>
      <c r="AHS279" s="31"/>
      <c r="AHT279" s="31"/>
      <c r="AHU279" s="31"/>
      <c r="AHV279" s="31"/>
      <c r="AHW279" s="31"/>
      <c r="AHX279" s="31"/>
      <c r="AHY279" s="31"/>
      <c r="AHZ279" s="31"/>
      <c r="AIA279" s="31"/>
      <c r="AIB279" s="31"/>
      <c r="AIC279" s="31"/>
      <c r="AID279" s="31"/>
      <c r="AIE279" s="31"/>
      <c r="AIF279" s="31"/>
      <c r="AIG279" s="31"/>
      <c r="AIH279" s="31"/>
      <c r="AII279" s="31"/>
      <c r="AIJ279" s="31"/>
      <c r="AIK279" s="31"/>
      <c r="AIL279" s="31"/>
      <c r="AIM279" s="31"/>
      <c r="AIN279" s="31"/>
      <c r="AIO279" s="31"/>
      <c r="AIP279" s="31"/>
      <c r="AIQ279" s="31"/>
      <c r="AIR279" s="31"/>
      <c r="AIS279" s="31"/>
      <c r="AIT279" s="31"/>
      <c r="AIU279" s="31"/>
      <c r="AIV279" s="31"/>
      <c r="AIW279" s="31"/>
      <c r="AIX279" s="31"/>
      <c r="AIY279" s="31"/>
      <c r="AIZ279" s="31"/>
      <c r="AJA279" s="31"/>
      <c r="AJB279" s="31"/>
      <c r="AJC279" s="31"/>
      <c r="AJD279" s="31"/>
      <c r="AJE279" s="31"/>
      <c r="AJF279" s="31"/>
      <c r="AJG279" s="31"/>
      <c r="AJH279" s="31"/>
      <c r="AJI279" s="31"/>
      <c r="AJJ279" s="31"/>
      <c r="AJK279" s="31"/>
      <c r="AJL279" s="31"/>
      <c r="AJM279" s="31"/>
      <c r="AJN279" s="31"/>
      <c r="AJO279" s="31"/>
      <c r="AJP279" s="31"/>
      <c r="AJQ279" s="31"/>
      <c r="AJR279" s="31"/>
      <c r="AJS279" s="31"/>
      <c r="AJT279" s="31"/>
      <c r="AJU279" s="31"/>
      <c r="AJV279" s="31"/>
      <c r="AJW279" s="31"/>
      <c r="AJX279" s="31"/>
      <c r="AJY279" s="31"/>
      <c r="AJZ279" s="31"/>
      <c r="AKA279" s="31"/>
      <c r="AKB279" s="31"/>
      <c r="AKC279" s="31"/>
      <c r="AKD279" s="31"/>
      <c r="AKE279" s="31"/>
      <c r="AKF279" s="31"/>
      <c r="AKG279" s="31"/>
      <c r="AKH279" s="31"/>
      <c r="AKI279" s="31"/>
      <c r="AKJ279" s="31"/>
      <c r="AKK279" s="31"/>
      <c r="AKL279" s="31"/>
      <c r="AKM279" s="31"/>
      <c r="AKN279" s="31"/>
      <c r="AKO279" s="31"/>
      <c r="AKP279" s="31"/>
      <c r="AKQ279" s="31"/>
      <c r="AKR279" s="31"/>
      <c r="AKS279" s="31"/>
      <c r="AKT279" s="31"/>
      <c r="AKU279" s="31"/>
      <c r="AKV279" s="31"/>
      <c r="AKW279" s="31"/>
      <c r="AKX279" s="31"/>
      <c r="AKY279" s="31"/>
      <c r="AKZ279" s="31"/>
      <c r="ALA279" s="31"/>
      <c r="ALB279" s="31"/>
      <c r="ALC279" s="31"/>
      <c r="ALD279" s="31"/>
      <c r="ALE279" s="31"/>
      <c r="ALF279" s="31"/>
      <c r="ALG279" s="31"/>
      <c r="ALH279" s="31"/>
      <c r="ALI279" s="31"/>
      <c r="ALJ279" s="31"/>
      <c r="ALK279" s="31"/>
      <c r="ALL279" s="31"/>
      <c r="ALM279" s="31"/>
      <c r="ALN279" s="31"/>
      <c r="ALO279" s="31"/>
      <c r="ALP279" s="31"/>
      <c r="ALQ279" s="31"/>
      <c r="ALR279" s="31"/>
      <c r="ALS279" s="31"/>
      <c r="ALT279" s="31"/>
      <c r="ALU279" s="31"/>
      <c r="ALV279" s="31"/>
      <c r="ALW279" s="31"/>
      <c r="ALX279" s="31"/>
      <c r="ALY279" s="31"/>
      <c r="ALZ279" s="31"/>
      <c r="AMA279" s="31"/>
      <c r="AMB279" s="31"/>
      <c r="AMC279" s="31"/>
      <c r="AMD279" s="31"/>
      <c r="AME279" s="31"/>
      <c r="AMF279" s="31"/>
      <c r="AMG279" s="31"/>
      <c r="AMH279" s="31"/>
      <c r="AMI279" s="31"/>
      <c r="AMJ279" s="31"/>
      <c r="AMK279" s="31"/>
      <c r="AML279" s="31"/>
      <c r="AMM279" s="31"/>
    </row>
    <row r="280" spans="1:1027" s="31" customFormat="1" x14ac:dyDescent="0.2">
      <c r="A280" s="18">
        <v>3</v>
      </c>
      <c r="B280" s="18" t="s">
        <v>864</v>
      </c>
      <c r="C280" s="18" t="s">
        <v>865</v>
      </c>
      <c r="D280" s="18">
        <v>19</v>
      </c>
      <c r="E280" s="42" t="s">
        <v>507</v>
      </c>
      <c r="F280" s="42" t="s">
        <v>507</v>
      </c>
      <c r="G280" s="43" t="s">
        <v>508</v>
      </c>
      <c r="H280" s="42" t="s">
        <v>507</v>
      </c>
      <c r="I280" s="42"/>
      <c r="J280" s="67" t="s">
        <v>507</v>
      </c>
      <c r="K280" s="21" t="s">
        <v>509</v>
      </c>
      <c r="L280" s="18"/>
      <c r="M280" s="1" t="s">
        <v>598</v>
      </c>
      <c r="N280" s="1"/>
      <c r="O280" s="18"/>
      <c r="P280" s="18"/>
      <c r="Q280" s="18"/>
      <c r="R280" s="18"/>
      <c r="S280" s="13"/>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c r="DV280" s="18"/>
      <c r="DW280" s="18"/>
      <c r="DX280" s="18"/>
      <c r="DY280" s="18"/>
      <c r="DZ280" s="18"/>
      <c r="EA280" s="18"/>
      <c r="EB280" s="18"/>
      <c r="EC280" s="18"/>
      <c r="ED280" s="18"/>
      <c r="EE280" s="18"/>
      <c r="EF280" s="18"/>
      <c r="EG280" s="18"/>
      <c r="EH280" s="18"/>
      <c r="EI280" s="18"/>
      <c r="EJ280" s="18"/>
      <c r="EK280" s="18"/>
      <c r="EL280" s="18"/>
      <c r="EM280" s="18"/>
      <c r="EN280" s="18"/>
      <c r="EO280" s="18"/>
      <c r="EP280" s="18"/>
      <c r="EQ280" s="18"/>
      <c r="ER280" s="18"/>
      <c r="ES280" s="18"/>
      <c r="ET280" s="18"/>
      <c r="EU280" s="18"/>
      <c r="EV280" s="18"/>
      <c r="EW280" s="18"/>
      <c r="EX280" s="18"/>
      <c r="EY280" s="18"/>
      <c r="EZ280" s="18"/>
      <c r="FA280" s="18"/>
      <c r="FB280" s="18"/>
      <c r="FC280" s="18"/>
      <c r="FD280" s="18"/>
      <c r="FE280" s="18"/>
      <c r="FF280" s="18"/>
      <c r="FG280" s="18"/>
      <c r="FH280" s="18"/>
      <c r="FI280" s="18"/>
      <c r="FJ280" s="18"/>
      <c r="FK280" s="18"/>
      <c r="FL280" s="18"/>
      <c r="FM280" s="18"/>
      <c r="FN280" s="18"/>
      <c r="FO280" s="18"/>
      <c r="FP280" s="18"/>
      <c r="FQ280" s="18"/>
      <c r="FR280" s="18"/>
      <c r="FS280" s="18"/>
      <c r="FT280" s="18"/>
      <c r="FU280" s="18"/>
      <c r="FV280" s="18"/>
      <c r="FW280" s="18"/>
      <c r="FX280" s="18"/>
      <c r="FY280" s="18"/>
      <c r="FZ280" s="18"/>
      <c r="GA280" s="18"/>
      <c r="GB280" s="18"/>
      <c r="GC280" s="18"/>
      <c r="GD280" s="18"/>
      <c r="GE280" s="18"/>
      <c r="GF280" s="18"/>
      <c r="GG280" s="18"/>
      <c r="GH280" s="18"/>
      <c r="GI280" s="18"/>
      <c r="GJ280" s="18"/>
      <c r="GK280" s="18"/>
      <c r="GL280" s="18"/>
      <c r="GM280" s="18"/>
      <c r="GN280" s="18"/>
      <c r="GO280" s="18"/>
      <c r="GP280" s="18"/>
      <c r="GQ280" s="18"/>
      <c r="GR280" s="18"/>
      <c r="GS280" s="18"/>
      <c r="GT280" s="18"/>
      <c r="GU280" s="18"/>
      <c r="GV280" s="18"/>
      <c r="GW280" s="18"/>
      <c r="GX280" s="18"/>
      <c r="GY280" s="18"/>
      <c r="GZ280" s="18"/>
      <c r="HA280" s="18"/>
      <c r="HB280" s="18"/>
      <c r="HC280" s="18"/>
      <c r="HD280" s="18"/>
      <c r="HE280" s="18"/>
      <c r="HF280" s="18"/>
      <c r="HG280" s="18"/>
      <c r="HH280" s="18"/>
      <c r="HI280" s="18"/>
      <c r="HJ280" s="18"/>
      <c r="HK280" s="18"/>
      <c r="HL280" s="18"/>
      <c r="HM280" s="18"/>
      <c r="HN280" s="18"/>
      <c r="HO280" s="18"/>
      <c r="HP280" s="18"/>
      <c r="HQ280" s="18"/>
      <c r="HR280" s="18"/>
      <c r="HS280" s="18"/>
      <c r="HT280" s="18"/>
      <c r="HU280" s="18"/>
      <c r="HV280" s="18"/>
      <c r="HW280" s="18"/>
      <c r="HX280" s="18"/>
      <c r="HY280" s="18"/>
      <c r="HZ280" s="18"/>
      <c r="IA280" s="18"/>
      <c r="IB280" s="18"/>
      <c r="IC280" s="18"/>
      <c r="ID280" s="18"/>
      <c r="IE280" s="18"/>
      <c r="IF280" s="18"/>
      <c r="IG280" s="18"/>
      <c r="IH280" s="18"/>
      <c r="II280" s="18"/>
      <c r="IJ280" s="18"/>
      <c r="IK280" s="18"/>
      <c r="IL280" s="18"/>
      <c r="IM280" s="18"/>
      <c r="IN280" s="18"/>
      <c r="IO280" s="18"/>
      <c r="IP280" s="18"/>
      <c r="IQ280" s="18"/>
      <c r="IR280" s="18"/>
      <c r="IS280" s="18"/>
      <c r="IT280" s="18"/>
      <c r="IU280" s="18"/>
      <c r="IV280" s="18"/>
      <c r="IW280" s="18"/>
      <c r="IX280" s="18"/>
      <c r="IY280" s="18"/>
      <c r="IZ280" s="18"/>
      <c r="JA280" s="18"/>
      <c r="JB280" s="18"/>
      <c r="JC280" s="18"/>
      <c r="JD280" s="18"/>
      <c r="JE280" s="18"/>
      <c r="JF280" s="18"/>
      <c r="JG280" s="18"/>
      <c r="JH280" s="18"/>
      <c r="JI280" s="18"/>
      <c r="JJ280" s="18"/>
      <c r="JK280" s="18"/>
      <c r="JL280" s="18"/>
      <c r="JM280" s="18"/>
      <c r="JN280" s="18"/>
      <c r="JO280" s="18"/>
      <c r="JP280" s="18"/>
      <c r="JQ280" s="18"/>
      <c r="JR280" s="18"/>
      <c r="JS280" s="18"/>
      <c r="JT280" s="18"/>
      <c r="JU280" s="18"/>
      <c r="JV280" s="18"/>
      <c r="JW280" s="18"/>
      <c r="JX280" s="18"/>
      <c r="JY280" s="18"/>
      <c r="JZ280" s="18"/>
      <c r="KA280" s="18"/>
      <c r="KB280" s="18"/>
      <c r="KC280" s="18"/>
      <c r="KD280" s="18"/>
      <c r="KE280" s="18"/>
      <c r="KF280" s="18"/>
      <c r="KG280" s="18"/>
      <c r="KH280" s="18"/>
      <c r="KI280" s="18"/>
      <c r="KJ280" s="18"/>
      <c r="KK280" s="18"/>
      <c r="KL280" s="18"/>
      <c r="KM280" s="18"/>
      <c r="KN280" s="18"/>
      <c r="KO280" s="18"/>
      <c r="KP280" s="18"/>
      <c r="KQ280" s="18"/>
      <c r="KR280" s="18"/>
      <c r="KS280" s="18"/>
      <c r="KT280" s="18"/>
      <c r="KU280" s="18"/>
      <c r="KV280" s="18"/>
      <c r="KW280" s="18"/>
      <c r="KX280" s="18"/>
      <c r="KY280" s="18"/>
      <c r="KZ280" s="18"/>
      <c r="LA280" s="18"/>
      <c r="LB280" s="18"/>
      <c r="LC280" s="18"/>
      <c r="LD280" s="18"/>
      <c r="LE280" s="18"/>
      <c r="LF280" s="18"/>
      <c r="LG280" s="18"/>
      <c r="LH280" s="18"/>
      <c r="LI280" s="18"/>
      <c r="LJ280" s="18"/>
      <c r="LK280" s="18"/>
      <c r="LL280" s="18"/>
      <c r="LM280" s="18"/>
      <c r="LN280" s="18"/>
      <c r="LO280" s="18"/>
      <c r="LP280" s="18"/>
      <c r="LQ280" s="18"/>
      <c r="LR280" s="18"/>
      <c r="LS280" s="18"/>
      <c r="LT280" s="18"/>
      <c r="LU280" s="18"/>
      <c r="LV280" s="18"/>
      <c r="LW280" s="18"/>
      <c r="LX280" s="18"/>
      <c r="LY280" s="18"/>
      <c r="LZ280" s="18"/>
      <c r="MA280" s="18"/>
      <c r="MB280" s="18"/>
      <c r="MC280" s="18"/>
      <c r="MD280" s="18"/>
      <c r="ME280" s="18"/>
      <c r="MF280" s="18"/>
      <c r="MG280" s="18"/>
      <c r="MH280" s="18"/>
      <c r="MI280" s="18"/>
      <c r="MJ280" s="18"/>
      <c r="MK280" s="18"/>
      <c r="ML280" s="18"/>
      <c r="MM280" s="18"/>
      <c r="MN280" s="18"/>
      <c r="MO280" s="18"/>
      <c r="MP280" s="18"/>
      <c r="MQ280" s="18"/>
      <c r="MR280" s="18"/>
      <c r="MS280" s="18"/>
      <c r="MT280" s="18"/>
      <c r="MU280" s="18"/>
      <c r="MV280" s="18"/>
      <c r="MW280" s="18"/>
      <c r="MX280" s="18"/>
      <c r="MY280" s="18"/>
      <c r="MZ280" s="18"/>
      <c r="NA280" s="18"/>
      <c r="NB280" s="18"/>
      <c r="NC280" s="18"/>
      <c r="ND280" s="18"/>
      <c r="NE280" s="18"/>
      <c r="NF280" s="18"/>
      <c r="NG280" s="18"/>
      <c r="NH280" s="18"/>
      <c r="NI280" s="18"/>
      <c r="NJ280" s="18"/>
      <c r="NK280" s="18"/>
      <c r="NL280" s="18"/>
      <c r="NM280" s="18"/>
      <c r="NN280" s="18"/>
      <c r="NO280" s="18"/>
      <c r="NP280" s="18"/>
      <c r="NQ280" s="18"/>
      <c r="NR280" s="18"/>
      <c r="NS280" s="18"/>
      <c r="NT280" s="18"/>
      <c r="NU280" s="18"/>
      <c r="NV280" s="18"/>
      <c r="NW280" s="18"/>
      <c r="NX280" s="18"/>
      <c r="NY280" s="18"/>
      <c r="NZ280" s="18"/>
      <c r="OA280" s="18"/>
      <c r="OB280" s="18"/>
      <c r="OC280" s="18"/>
      <c r="OD280" s="18"/>
      <c r="OE280" s="18"/>
      <c r="OF280" s="18"/>
      <c r="OG280" s="18"/>
      <c r="OH280" s="18"/>
      <c r="OI280" s="18"/>
      <c r="OJ280" s="18"/>
      <c r="OK280" s="18"/>
      <c r="OL280" s="18"/>
      <c r="OM280" s="18"/>
      <c r="ON280" s="18"/>
      <c r="OO280" s="18"/>
      <c r="OP280" s="18"/>
      <c r="OQ280" s="18"/>
      <c r="OR280" s="18"/>
      <c r="OS280" s="18"/>
      <c r="OT280" s="18"/>
      <c r="OU280" s="18"/>
      <c r="OV280" s="18"/>
      <c r="OW280" s="18"/>
      <c r="OX280" s="18"/>
      <c r="OY280" s="18"/>
      <c r="OZ280" s="18"/>
      <c r="PA280" s="18"/>
      <c r="PB280" s="18"/>
      <c r="PC280" s="18"/>
      <c r="PD280" s="18"/>
      <c r="PE280" s="18"/>
      <c r="PF280" s="18"/>
      <c r="PG280" s="18"/>
      <c r="PH280" s="18"/>
      <c r="PI280" s="18"/>
      <c r="PJ280" s="18"/>
      <c r="PK280" s="18"/>
      <c r="PL280" s="18"/>
      <c r="PM280" s="18"/>
      <c r="PN280" s="18"/>
      <c r="PO280" s="18"/>
      <c r="PP280" s="18"/>
      <c r="PQ280" s="18"/>
      <c r="PR280" s="18"/>
      <c r="PS280" s="18"/>
      <c r="PT280" s="18"/>
      <c r="PU280" s="18"/>
      <c r="PV280" s="18"/>
      <c r="PW280" s="18"/>
      <c r="PX280" s="18"/>
      <c r="PY280" s="18"/>
      <c r="PZ280" s="18"/>
      <c r="QA280" s="18"/>
      <c r="QB280" s="18"/>
      <c r="QC280" s="18"/>
      <c r="QD280" s="18"/>
      <c r="QE280" s="18"/>
      <c r="QF280" s="18"/>
      <c r="QG280" s="18"/>
      <c r="QH280" s="18"/>
      <c r="QI280" s="18"/>
      <c r="QJ280" s="18"/>
      <c r="QK280" s="18"/>
      <c r="QL280" s="18"/>
      <c r="QM280" s="18"/>
      <c r="QN280" s="18"/>
      <c r="QO280" s="18"/>
      <c r="QP280" s="18"/>
      <c r="QQ280" s="18"/>
      <c r="QR280" s="18"/>
      <c r="QS280" s="18"/>
      <c r="QT280" s="18"/>
      <c r="QU280" s="18"/>
      <c r="QV280" s="18"/>
      <c r="QW280" s="18"/>
      <c r="QX280" s="18"/>
      <c r="QY280" s="18"/>
      <c r="QZ280" s="18"/>
      <c r="RA280" s="18"/>
      <c r="RB280" s="18"/>
      <c r="RC280" s="18"/>
      <c r="RD280" s="18"/>
      <c r="RE280" s="18"/>
      <c r="RF280" s="18"/>
      <c r="RG280" s="18"/>
      <c r="RH280" s="18"/>
      <c r="RI280" s="18"/>
      <c r="RJ280" s="18"/>
      <c r="RK280" s="18"/>
      <c r="RL280" s="18"/>
      <c r="RM280" s="18"/>
      <c r="RN280" s="18"/>
      <c r="RO280" s="18"/>
      <c r="RP280" s="18"/>
      <c r="RQ280" s="18"/>
      <c r="RR280" s="18"/>
      <c r="RS280" s="18"/>
      <c r="RT280" s="18"/>
      <c r="RU280" s="18"/>
      <c r="RV280" s="18"/>
      <c r="RW280" s="18"/>
      <c r="RX280" s="18"/>
      <c r="RY280" s="18"/>
      <c r="RZ280" s="18"/>
      <c r="SA280" s="18"/>
      <c r="SB280" s="18"/>
      <c r="SC280" s="18"/>
      <c r="SD280" s="18"/>
      <c r="SE280" s="18"/>
      <c r="SF280" s="18"/>
      <c r="SG280" s="18"/>
      <c r="SH280" s="18"/>
      <c r="SI280" s="18"/>
      <c r="SJ280" s="18"/>
      <c r="SK280" s="18"/>
      <c r="SL280" s="18"/>
      <c r="SM280" s="18"/>
      <c r="SN280" s="18"/>
      <c r="SO280" s="18"/>
      <c r="SP280" s="18"/>
      <c r="SQ280" s="18"/>
      <c r="SR280" s="18"/>
      <c r="SS280" s="18"/>
      <c r="ST280" s="18"/>
      <c r="SU280" s="18"/>
      <c r="SV280" s="18"/>
      <c r="SW280" s="18"/>
      <c r="SX280" s="18"/>
      <c r="SY280" s="18"/>
      <c r="SZ280" s="18"/>
      <c r="TA280" s="18"/>
      <c r="TB280" s="18"/>
      <c r="TC280" s="18"/>
      <c r="TD280" s="18"/>
      <c r="TE280" s="18"/>
      <c r="TF280" s="18"/>
      <c r="TG280" s="18"/>
      <c r="TH280" s="18"/>
      <c r="TI280" s="18"/>
      <c r="TJ280" s="18"/>
      <c r="TK280" s="18"/>
      <c r="TL280" s="18"/>
      <c r="TM280" s="18"/>
      <c r="TN280" s="18"/>
      <c r="TO280" s="18"/>
      <c r="TP280" s="18"/>
      <c r="TQ280" s="18"/>
      <c r="TR280" s="18"/>
      <c r="TS280" s="18"/>
      <c r="TT280" s="18"/>
      <c r="TU280" s="18"/>
      <c r="TV280" s="18"/>
      <c r="TW280" s="18"/>
      <c r="TX280" s="18"/>
      <c r="TY280" s="18"/>
      <c r="TZ280" s="18"/>
      <c r="UA280" s="18"/>
      <c r="UB280" s="18"/>
      <c r="UC280" s="18"/>
      <c r="UD280" s="18"/>
      <c r="UE280" s="18"/>
      <c r="UF280" s="18"/>
      <c r="UG280" s="18"/>
      <c r="UH280" s="18"/>
      <c r="UI280" s="18"/>
      <c r="UJ280" s="18"/>
      <c r="UK280" s="18"/>
      <c r="UL280" s="18"/>
      <c r="UM280" s="18"/>
      <c r="UN280" s="18"/>
      <c r="UO280" s="18"/>
      <c r="UP280" s="18"/>
      <c r="UQ280" s="18"/>
      <c r="UR280" s="18"/>
      <c r="US280" s="18"/>
      <c r="UT280" s="18"/>
      <c r="UU280" s="18"/>
      <c r="UV280" s="18"/>
      <c r="UW280" s="18"/>
      <c r="UX280" s="18"/>
      <c r="UY280" s="18"/>
      <c r="UZ280" s="18"/>
      <c r="VA280" s="18"/>
      <c r="VB280" s="18"/>
      <c r="VC280" s="18"/>
      <c r="VD280" s="18"/>
      <c r="VE280" s="18"/>
      <c r="VF280" s="18"/>
      <c r="VG280" s="18"/>
      <c r="VH280" s="18"/>
      <c r="VI280" s="18"/>
      <c r="VJ280" s="18"/>
      <c r="VK280" s="18"/>
      <c r="VL280" s="18"/>
      <c r="VM280" s="18"/>
      <c r="VN280" s="18"/>
      <c r="VO280" s="18"/>
      <c r="VP280" s="18"/>
      <c r="VQ280" s="18"/>
      <c r="VR280" s="18"/>
      <c r="VS280" s="18"/>
      <c r="VT280" s="18"/>
      <c r="VU280" s="18"/>
      <c r="VV280" s="18"/>
      <c r="VW280" s="18"/>
      <c r="VX280" s="18"/>
      <c r="VY280" s="18"/>
      <c r="VZ280" s="18"/>
      <c r="WA280" s="18"/>
      <c r="WB280" s="18"/>
      <c r="WC280" s="18"/>
      <c r="WD280" s="18"/>
      <c r="WE280" s="18"/>
      <c r="WF280" s="18"/>
      <c r="WG280" s="18"/>
      <c r="WH280" s="18"/>
      <c r="WI280" s="18"/>
      <c r="WJ280" s="18"/>
      <c r="WK280" s="18"/>
      <c r="WL280" s="18"/>
      <c r="WM280" s="18"/>
      <c r="WN280" s="18"/>
      <c r="WO280" s="18"/>
      <c r="WP280" s="18"/>
      <c r="WQ280" s="18"/>
      <c r="WR280" s="18"/>
      <c r="WS280" s="18"/>
      <c r="WT280" s="18"/>
      <c r="WU280" s="18"/>
      <c r="WV280" s="18"/>
      <c r="WW280" s="18"/>
      <c r="WX280" s="18"/>
      <c r="WY280" s="18"/>
      <c r="WZ280" s="18"/>
      <c r="XA280" s="18"/>
      <c r="XB280" s="18"/>
      <c r="XC280" s="18"/>
      <c r="XD280" s="18"/>
      <c r="XE280" s="18"/>
      <c r="XF280" s="18"/>
      <c r="XG280" s="18"/>
      <c r="XH280" s="18"/>
      <c r="XI280" s="18"/>
      <c r="XJ280" s="18"/>
      <c r="XK280" s="18"/>
      <c r="XL280" s="18"/>
      <c r="XM280" s="18"/>
      <c r="XN280" s="18"/>
      <c r="XO280" s="18"/>
      <c r="XP280" s="18"/>
      <c r="XQ280" s="18"/>
      <c r="XR280" s="18"/>
      <c r="XS280" s="18"/>
      <c r="XT280" s="18"/>
      <c r="XU280" s="18"/>
      <c r="XV280" s="18"/>
      <c r="XW280" s="18"/>
      <c r="XX280" s="18"/>
      <c r="XY280" s="18"/>
      <c r="XZ280" s="18"/>
      <c r="YA280" s="18"/>
      <c r="YB280" s="18"/>
      <c r="YC280" s="18"/>
      <c r="YD280" s="18"/>
      <c r="YE280" s="18"/>
      <c r="YF280" s="18"/>
      <c r="YG280" s="18"/>
      <c r="YH280" s="18"/>
      <c r="YI280" s="18"/>
      <c r="YJ280" s="18"/>
      <c r="YK280" s="18"/>
      <c r="YL280" s="18"/>
      <c r="YM280" s="18"/>
      <c r="YN280" s="18"/>
      <c r="YO280" s="18"/>
      <c r="YP280" s="18"/>
      <c r="YQ280" s="18"/>
      <c r="YR280" s="18"/>
      <c r="YS280" s="18"/>
      <c r="YT280" s="18"/>
      <c r="YU280" s="18"/>
      <c r="YV280" s="18"/>
      <c r="YW280" s="18"/>
      <c r="YX280" s="18"/>
      <c r="YY280" s="18"/>
      <c r="YZ280" s="18"/>
      <c r="ZA280" s="18"/>
      <c r="ZB280" s="18"/>
      <c r="ZC280" s="18"/>
      <c r="ZD280" s="18"/>
      <c r="ZE280" s="18"/>
      <c r="ZF280" s="18"/>
      <c r="ZG280" s="18"/>
      <c r="ZH280" s="18"/>
      <c r="ZI280" s="18"/>
      <c r="ZJ280" s="18"/>
      <c r="ZK280" s="18"/>
      <c r="ZL280" s="18"/>
      <c r="ZM280" s="18"/>
      <c r="ZN280" s="18"/>
      <c r="ZO280" s="18"/>
      <c r="ZP280" s="18"/>
      <c r="ZQ280" s="18"/>
      <c r="ZR280" s="18"/>
      <c r="ZS280" s="18"/>
      <c r="ZT280" s="18"/>
      <c r="ZU280" s="18"/>
      <c r="ZV280" s="18"/>
      <c r="ZW280" s="18"/>
      <c r="ZX280" s="18"/>
      <c r="ZY280" s="18"/>
      <c r="ZZ280" s="18"/>
      <c r="AAA280" s="18"/>
      <c r="AAB280" s="18"/>
      <c r="AAC280" s="18"/>
      <c r="AAD280" s="18"/>
      <c r="AAE280" s="18"/>
      <c r="AAF280" s="18"/>
      <c r="AAG280" s="18"/>
      <c r="AAH280" s="18"/>
      <c r="AAI280" s="18"/>
      <c r="AAJ280" s="18"/>
      <c r="AAK280" s="18"/>
      <c r="AAL280" s="18"/>
      <c r="AAM280" s="18"/>
      <c r="AAN280" s="18"/>
      <c r="AAO280" s="18"/>
      <c r="AAP280" s="18"/>
      <c r="AAQ280" s="18"/>
      <c r="AAR280" s="18"/>
      <c r="AAS280" s="18"/>
      <c r="AAT280" s="18"/>
      <c r="AAU280" s="18"/>
      <c r="AAV280" s="18"/>
      <c r="AAW280" s="18"/>
      <c r="AAX280" s="18"/>
      <c r="AAY280" s="18"/>
      <c r="AAZ280" s="18"/>
      <c r="ABA280" s="18"/>
      <c r="ABB280" s="18"/>
      <c r="ABC280" s="18"/>
      <c r="ABD280" s="18"/>
      <c r="ABE280" s="18"/>
      <c r="ABF280" s="18"/>
      <c r="ABG280" s="18"/>
      <c r="ABH280" s="18"/>
      <c r="ABI280" s="18"/>
      <c r="ABJ280" s="18"/>
      <c r="ABK280" s="18"/>
      <c r="ABL280" s="18"/>
      <c r="ABM280" s="18"/>
      <c r="ABN280" s="18"/>
      <c r="ABO280" s="18"/>
      <c r="ABP280" s="18"/>
      <c r="ABQ280" s="18"/>
      <c r="ABR280" s="18"/>
      <c r="ABS280" s="18"/>
      <c r="ABT280" s="18"/>
      <c r="ABU280" s="18"/>
      <c r="ABV280" s="18"/>
      <c r="ABW280" s="18"/>
      <c r="ABX280" s="18"/>
      <c r="ABY280" s="18"/>
      <c r="ABZ280" s="18"/>
      <c r="ACA280" s="18"/>
      <c r="ACB280" s="18"/>
      <c r="ACC280" s="18"/>
      <c r="ACD280" s="18"/>
      <c r="ACE280" s="18"/>
      <c r="ACF280" s="18"/>
      <c r="ACG280" s="18"/>
      <c r="ACH280" s="18"/>
      <c r="ACI280" s="18"/>
      <c r="ACJ280" s="18"/>
      <c r="ACK280" s="18"/>
      <c r="ACL280" s="18"/>
      <c r="ACM280" s="18"/>
      <c r="ACN280" s="18"/>
      <c r="ACO280" s="18"/>
      <c r="ACP280" s="18"/>
      <c r="ACQ280" s="18"/>
      <c r="ACR280" s="18"/>
      <c r="ACS280" s="18"/>
      <c r="ACT280" s="18"/>
      <c r="ACU280" s="18"/>
      <c r="ACV280" s="18"/>
      <c r="ACW280" s="18"/>
      <c r="ACX280" s="18"/>
      <c r="ACY280" s="18"/>
      <c r="ACZ280" s="18"/>
      <c r="ADA280" s="18"/>
      <c r="ADB280" s="18"/>
      <c r="ADC280" s="18"/>
      <c r="ADD280" s="18"/>
      <c r="ADE280" s="18"/>
      <c r="ADF280" s="18"/>
      <c r="ADG280" s="18"/>
      <c r="ADH280" s="18"/>
      <c r="ADI280" s="18"/>
      <c r="ADJ280" s="18"/>
      <c r="ADK280" s="18"/>
      <c r="ADL280" s="18"/>
      <c r="ADM280" s="18"/>
      <c r="ADN280" s="18"/>
      <c r="ADO280" s="18"/>
      <c r="ADP280" s="18"/>
      <c r="ADQ280" s="18"/>
      <c r="ADR280" s="18"/>
      <c r="ADS280" s="18"/>
      <c r="ADT280" s="18"/>
      <c r="ADU280" s="18"/>
      <c r="ADV280" s="18"/>
      <c r="ADW280" s="18"/>
      <c r="ADX280" s="18"/>
      <c r="ADY280" s="18"/>
      <c r="ADZ280" s="18"/>
      <c r="AEA280" s="18"/>
      <c r="AEB280" s="18"/>
      <c r="AEC280" s="18"/>
      <c r="AED280" s="18"/>
      <c r="AEE280" s="18"/>
      <c r="AEF280" s="18"/>
      <c r="AEG280" s="18"/>
      <c r="AEH280" s="18"/>
      <c r="AEI280" s="18"/>
      <c r="AEJ280" s="18"/>
      <c r="AEK280" s="18"/>
      <c r="AEL280" s="18"/>
      <c r="AEM280" s="18"/>
      <c r="AEN280" s="18"/>
      <c r="AEO280" s="18"/>
      <c r="AEP280" s="18"/>
      <c r="AEQ280" s="18"/>
      <c r="AER280" s="18"/>
      <c r="AES280" s="18"/>
      <c r="AET280" s="18"/>
      <c r="AEU280" s="18"/>
      <c r="AEV280" s="18"/>
      <c r="AEW280" s="18"/>
      <c r="AEX280" s="18"/>
      <c r="AEY280" s="18"/>
      <c r="AEZ280" s="18"/>
      <c r="AFA280" s="18"/>
      <c r="AFB280" s="18"/>
      <c r="AFC280" s="18"/>
      <c r="AFD280" s="18"/>
      <c r="AFE280" s="18"/>
      <c r="AFF280" s="18"/>
      <c r="AFG280" s="18"/>
      <c r="AFH280" s="18"/>
      <c r="AFI280" s="18"/>
      <c r="AFJ280" s="18"/>
      <c r="AFK280" s="18"/>
      <c r="AFL280" s="18"/>
      <c r="AFM280" s="18"/>
      <c r="AFN280" s="18"/>
      <c r="AFO280" s="18"/>
      <c r="AFP280" s="18"/>
      <c r="AFQ280" s="18"/>
      <c r="AFR280" s="18"/>
      <c r="AFS280" s="18"/>
      <c r="AFT280" s="18"/>
      <c r="AFU280" s="18"/>
      <c r="AFV280" s="18"/>
      <c r="AFW280" s="18"/>
      <c r="AFX280" s="18"/>
      <c r="AFY280" s="18"/>
      <c r="AFZ280" s="18"/>
      <c r="AGA280" s="18"/>
      <c r="AGB280" s="18"/>
      <c r="AGC280" s="18"/>
      <c r="AGD280" s="18"/>
      <c r="AGE280" s="18"/>
      <c r="AGF280" s="18"/>
      <c r="AGG280" s="18"/>
      <c r="AGH280" s="18"/>
      <c r="AGI280" s="18"/>
      <c r="AGJ280" s="18"/>
      <c r="AGK280" s="18"/>
      <c r="AGL280" s="18"/>
      <c r="AGM280" s="18"/>
      <c r="AGN280" s="18"/>
      <c r="AGO280" s="18"/>
      <c r="AGP280" s="18"/>
      <c r="AGQ280" s="18"/>
      <c r="AGR280" s="18"/>
      <c r="AGS280" s="18"/>
      <c r="AGT280" s="18"/>
      <c r="AGU280" s="18"/>
      <c r="AGV280" s="18"/>
      <c r="AGW280" s="18"/>
      <c r="AGX280" s="18"/>
      <c r="AGY280" s="18"/>
      <c r="AGZ280" s="18"/>
      <c r="AHA280" s="18"/>
      <c r="AHB280" s="18"/>
      <c r="AHC280" s="18"/>
      <c r="AHD280" s="18"/>
      <c r="AHE280" s="18"/>
      <c r="AHF280" s="18"/>
      <c r="AHG280" s="18"/>
      <c r="AHH280" s="18"/>
      <c r="AHI280" s="18"/>
      <c r="AHJ280" s="18"/>
      <c r="AHK280" s="18"/>
      <c r="AHL280" s="18"/>
      <c r="AHM280" s="18"/>
      <c r="AHN280" s="18"/>
      <c r="AHO280" s="18"/>
      <c r="AHP280" s="18"/>
      <c r="AHQ280" s="18"/>
      <c r="AHR280" s="18"/>
      <c r="AHS280" s="18"/>
      <c r="AHT280" s="18"/>
      <c r="AHU280" s="18"/>
      <c r="AHV280" s="18"/>
      <c r="AHW280" s="18"/>
      <c r="AHX280" s="18"/>
      <c r="AHY280" s="18"/>
      <c r="AHZ280" s="18"/>
      <c r="AIA280" s="18"/>
      <c r="AIB280" s="18"/>
      <c r="AIC280" s="18"/>
      <c r="AID280" s="18"/>
      <c r="AIE280" s="18"/>
      <c r="AIF280" s="18"/>
      <c r="AIG280" s="18"/>
      <c r="AIH280" s="18"/>
      <c r="AII280" s="18"/>
      <c r="AIJ280" s="18"/>
      <c r="AIK280" s="18"/>
      <c r="AIL280" s="18"/>
      <c r="AIM280" s="18"/>
      <c r="AIN280" s="18"/>
      <c r="AIO280" s="18"/>
      <c r="AIP280" s="18"/>
      <c r="AIQ280" s="18"/>
      <c r="AIR280" s="18"/>
      <c r="AIS280" s="18"/>
      <c r="AIT280" s="18"/>
      <c r="AIU280" s="18"/>
      <c r="AIV280" s="18"/>
      <c r="AIW280" s="18"/>
      <c r="AIX280" s="18"/>
      <c r="AIY280" s="18"/>
      <c r="AIZ280" s="18"/>
      <c r="AJA280" s="18"/>
      <c r="AJB280" s="18"/>
      <c r="AJC280" s="18"/>
      <c r="AJD280" s="18"/>
      <c r="AJE280" s="18"/>
      <c r="AJF280" s="18"/>
      <c r="AJG280" s="18"/>
      <c r="AJH280" s="18"/>
      <c r="AJI280" s="18"/>
      <c r="AJJ280" s="18"/>
      <c r="AJK280" s="18"/>
      <c r="AJL280" s="18"/>
      <c r="AJM280" s="18"/>
      <c r="AJN280" s="18"/>
      <c r="AJO280" s="18"/>
      <c r="AJP280" s="18"/>
      <c r="AJQ280" s="18"/>
      <c r="AJR280" s="18"/>
      <c r="AJS280" s="18"/>
      <c r="AJT280" s="18"/>
      <c r="AJU280" s="18"/>
      <c r="AJV280" s="18"/>
      <c r="AJW280" s="18"/>
      <c r="AJX280" s="18"/>
      <c r="AJY280" s="18"/>
      <c r="AJZ280" s="18"/>
      <c r="AKA280" s="18"/>
      <c r="AKB280" s="18"/>
      <c r="AKC280" s="18"/>
      <c r="AKD280" s="18"/>
      <c r="AKE280" s="18"/>
      <c r="AKF280" s="18"/>
      <c r="AKG280" s="18"/>
      <c r="AKH280" s="18"/>
      <c r="AKI280" s="18"/>
      <c r="AKJ280" s="18"/>
      <c r="AKK280" s="18"/>
      <c r="AKL280" s="18"/>
      <c r="AKM280" s="18"/>
      <c r="AKN280" s="18"/>
      <c r="AKO280" s="18"/>
      <c r="AKP280" s="18"/>
      <c r="AKQ280" s="18"/>
      <c r="AKR280" s="18"/>
      <c r="AKS280" s="18"/>
      <c r="AKT280" s="18"/>
      <c r="AKU280" s="18"/>
      <c r="AKV280" s="18"/>
      <c r="AKW280" s="18"/>
      <c r="AKX280" s="18"/>
      <c r="AKY280" s="18"/>
      <c r="AKZ280" s="18"/>
      <c r="ALA280" s="18"/>
      <c r="ALB280" s="18"/>
      <c r="ALC280" s="18"/>
      <c r="ALD280" s="18"/>
      <c r="ALE280" s="18"/>
      <c r="ALF280" s="18"/>
      <c r="ALG280" s="18"/>
      <c r="ALH280" s="18"/>
      <c r="ALI280" s="18"/>
      <c r="ALJ280" s="18"/>
      <c r="ALK280" s="18"/>
      <c r="ALL280" s="18"/>
      <c r="ALM280" s="18"/>
      <c r="ALN280" s="18"/>
      <c r="ALO280" s="18"/>
      <c r="ALP280" s="18"/>
      <c r="ALQ280" s="18"/>
      <c r="ALR280" s="18"/>
      <c r="ALS280" s="18"/>
      <c r="ALT280" s="18"/>
      <c r="ALU280" s="18"/>
      <c r="ALV280" s="18"/>
      <c r="ALW280" s="18"/>
      <c r="ALX280" s="18"/>
      <c r="ALY280" s="18"/>
      <c r="ALZ280" s="18"/>
      <c r="AMA280" s="18"/>
      <c r="AMB280" s="18"/>
      <c r="AMC280" s="18"/>
      <c r="AMD280" s="18"/>
      <c r="AME280" s="18"/>
      <c r="AMF280" s="18"/>
      <c r="AMG280" s="18"/>
      <c r="AMH280" s="18"/>
      <c r="AMI280" s="18"/>
      <c r="AMJ280" s="18"/>
      <c r="AMK280" s="18"/>
      <c r="AML280" s="18"/>
    </row>
    <row r="281" spans="1:1027" s="18" customFormat="1" x14ac:dyDescent="0.2">
      <c r="A281" s="1" t="s">
        <v>504</v>
      </c>
      <c r="B281" s="1" t="s">
        <v>866</v>
      </c>
      <c r="C281" s="1"/>
      <c r="D281" s="1">
        <v>15</v>
      </c>
      <c r="E281" s="10" t="s">
        <v>506</v>
      </c>
      <c r="F281" s="10" t="s">
        <v>508</v>
      </c>
      <c r="G281" s="11" t="s">
        <v>508</v>
      </c>
      <c r="H281" s="10" t="s">
        <v>507</v>
      </c>
      <c r="I281" s="10"/>
      <c r="J281" s="10" t="s">
        <v>507</v>
      </c>
      <c r="K281" s="12"/>
      <c r="L281" s="18" t="s">
        <v>509</v>
      </c>
      <c r="M281" s="1"/>
      <c r="N281" s="1" t="s">
        <v>542</v>
      </c>
      <c r="O281" s="1"/>
      <c r="P281" s="1"/>
      <c r="Q281" s="1"/>
      <c r="R281" s="1"/>
      <c r="S281" s="13"/>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31"/>
      <c r="BY281" s="31"/>
      <c r="BZ281" s="31"/>
      <c r="CA281" s="31"/>
      <c r="CB281" s="31"/>
      <c r="CC281" s="31"/>
      <c r="CD281" s="31"/>
      <c r="CE281" s="31"/>
      <c r="CF281" s="31"/>
      <c r="CG281" s="31"/>
      <c r="CH281" s="31"/>
      <c r="CI281" s="31"/>
      <c r="CJ281" s="31"/>
      <c r="CK281" s="31"/>
      <c r="CL281" s="31"/>
      <c r="CM281" s="31"/>
      <c r="CN281" s="31"/>
      <c r="CO281" s="31"/>
      <c r="CP281" s="31"/>
      <c r="CQ281" s="31"/>
      <c r="CR281" s="31"/>
      <c r="CS281" s="31"/>
      <c r="CT281" s="31"/>
      <c r="CU281" s="31"/>
      <c r="CV281" s="31"/>
      <c r="CW281" s="31"/>
      <c r="CX281" s="31"/>
      <c r="CY281" s="31"/>
      <c r="CZ281" s="31"/>
      <c r="DA281" s="31"/>
      <c r="DB281" s="31"/>
      <c r="DC281" s="31"/>
      <c r="DD281" s="31"/>
      <c r="DE281" s="31"/>
      <c r="DF281" s="31"/>
      <c r="DG281" s="31"/>
      <c r="DH281" s="31"/>
      <c r="DI281" s="31"/>
      <c r="DJ281" s="31"/>
      <c r="DK281" s="31"/>
      <c r="DL281" s="31"/>
      <c r="DM281" s="31"/>
      <c r="DN281" s="31"/>
      <c r="DO281" s="31"/>
      <c r="DP281" s="31"/>
      <c r="DQ281" s="31"/>
      <c r="DR281" s="31"/>
      <c r="DS281" s="31"/>
      <c r="DT281" s="31"/>
      <c r="DU281" s="31"/>
      <c r="DV281" s="31"/>
      <c r="DW281" s="31"/>
      <c r="DX281" s="31"/>
      <c r="DY281" s="31"/>
      <c r="DZ281" s="31"/>
      <c r="EA281" s="31"/>
      <c r="EB281" s="31"/>
      <c r="EC281" s="31"/>
      <c r="ED281" s="31"/>
      <c r="EE281" s="31"/>
      <c r="EF281" s="31"/>
      <c r="EG281" s="31"/>
      <c r="EH281" s="31"/>
      <c r="EI281" s="31"/>
      <c r="EJ281" s="31"/>
      <c r="EK281" s="31"/>
      <c r="EL281" s="31"/>
      <c r="EM281" s="31"/>
      <c r="EN281" s="31"/>
      <c r="EO281" s="31"/>
      <c r="EP281" s="31"/>
      <c r="EQ281" s="31"/>
      <c r="ER281" s="31"/>
      <c r="ES281" s="31"/>
      <c r="ET281" s="31"/>
      <c r="EU281" s="31"/>
      <c r="EV281" s="31"/>
      <c r="EW281" s="31"/>
      <c r="EX281" s="31"/>
      <c r="EY281" s="31"/>
      <c r="EZ281" s="31"/>
      <c r="FA281" s="31"/>
      <c r="FB281" s="31"/>
      <c r="FC281" s="31"/>
      <c r="FD281" s="31"/>
      <c r="FE281" s="31"/>
      <c r="FF281" s="31"/>
      <c r="FG281" s="31"/>
      <c r="FH281" s="31"/>
      <c r="FI281" s="31"/>
      <c r="FJ281" s="31"/>
      <c r="FK281" s="31"/>
      <c r="FL281" s="31"/>
      <c r="FM281" s="31"/>
      <c r="FN281" s="31"/>
      <c r="FO281" s="31"/>
      <c r="FP281" s="31"/>
      <c r="FQ281" s="31"/>
      <c r="FR281" s="31"/>
      <c r="FS281" s="31"/>
      <c r="FT281" s="31"/>
      <c r="FU281" s="31"/>
      <c r="FV281" s="31"/>
      <c r="FW281" s="31"/>
      <c r="FX281" s="31"/>
      <c r="FY281" s="31"/>
      <c r="FZ281" s="31"/>
      <c r="GA281" s="31"/>
      <c r="GB281" s="31"/>
      <c r="GC281" s="31"/>
      <c r="GD281" s="31"/>
      <c r="GE281" s="31"/>
      <c r="GF281" s="31"/>
      <c r="GG281" s="31"/>
      <c r="GH281" s="31"/>
      <c r="GI281" s="31"/>
      <c r="GJ281" s="31"/>
      <c r="GK281" s="31"/>
      <c r="GL281" s="31"/>
      <c r="GM281" s="31"/>
      <c r="GN281" s="31"/>
      <c r="GO281" s="31"/>
      <c r="GP281" s="31"/>
      <c r="GQ281" s="31"/>
      <c r="GR281" s="31"/>
      <c r="GS281" s="31"/>
      <c r="GT281" s="31"/>
      <c r="GU281" s="31"/>
      <c r="GV281" s="31"/>
      <c r="GW281" s="31"/>
      <c r="GX281" s="31"/>
      <c r="GY281" s="31"/>
      <c r="GZ281" s="31"/>
      <c r="HA281" s="31"/>
      <c r="HB281" s="31"/>
      <c r="HC281" s="31"/>
      <c r="HD281" s="31"/>
      <c r="HE281" s="31"/>
      <c r="HF281" s="31"/>
      <c r="HG281" s="31"/>
      <c r="HH281" s="31"/>
      <c r="HI281" s="31"/>
      <c r="HJ281" s="31"/>
      <c r="HK281" s="31"/>
      <c r="HL281" s="31"/>
      <c r="HM281" s="31"/>
      <c r="HN281" s="31"/>
      <c r="HO281" s="31"/>
      <c r="HP281" s="31"/>
      <c r="HQ281" s="31"/>
      <c r="HR281" s="31"/>
      <c r="HS281" s="31"/>
      <c r="HT281" s="31"/>
      <c r="HU281" s="31"/>
      <c r="HV281" s="31"/>
      <c r="HW281" s="31"/>
      <c r="HX281" s="31"/>
      <c r="HY281" s="31"/>
      <c r="HZ281" s="31"/>
      <c r="IA281" s="31"/>
      <c r="IB281" s="31"/>
      <c r="IC281" s="31"/>
      <c r="ID281" s="31"/>
      <c r="IE281" s="31"/>
      <c r="IF281" s="31"/>
      <c r="IG281" s="31"/>
      <c r="IH281" s="31"/>
      <c r="II281" s="31"/>
      <c r="IJ281" s="31"/>
      <c r="IK281" s="31"/>
      <c r="IL281" s="31"/>
      <c r="IM281" s="31"/>
      <c r="IN281" s="31"/>
      <c r="IO281" s="31"/>
      <c r="IP281" s="31"/>
      <c r="IQ281" s="31"/>
      <c r="IR281" s="31"/>
      <c r="IS281" s="31"/>
      <c r="IT281" s="31"/>
      <c r="IU281" s="31"/>
      <c r="IV281" s="31"/>
      <c r="IW281" s="31"/>
      <c r="IX281" s="31"/>
      <c r="IY281" s="31"/>
      <c r="IZ281" s="31"/>
      <c r="JA281" s="31"/>
      <c r="JB281" s="31"/>
      <c r="JC281" s="31"/>
      <c r="JD281" s="31"/>
      <c r="JE281" s="31"/>
      <c r="JF281" s="31"/>
      <c r="JG281" s="31"/>
      <c r="JH281" s="31"/>
      <c r="JI281" s="31"/>
      <c r="JJ281" s="31"/>
      <c r="JK281" s="31"/>
      <c r="JL281" s="31"/>
      <c r="JM281" s="31"/>
      <c r="JN281" s="31"/>
      <c r="JO281" s="31"/>
      <c r="JP281" s="31"/>
      <c r="JQ281" s="31"/>
      <c r="JR281" s="31"/>
      <c r="JS281" s="31"/>
      <c r="JT281" s="31"/>
      <c r="JU281" s="31"/>
      <c r="JV281" s="31"/>
      <c r="JW281" s="31"/>
      <c r="JX281" s="31"/>
      <c r="JY281" s="31"/>
      <c r="JZ281" s="31"/>
      <c r="KA281" s="31"/>
      <c r="KB281" s="31"/>
      <c r="KC281" s="31"/>
      <c r="KD281" s="31"/>
      <c r="KE281" s="31"/>
      <c r="KF281" s="31"/>
      <c r="KG281" s="31"/>
      <c r="KH281" s="31"/>
      <c r="KI281" s="31"/>
      <c r="KJ281" s="31"/>
      <c r="KK281" s="31"/>
      <c r="KL281" s="31"/>
      <c r="KM281" s="31"/>
      <c r="KN281" s="31"/>
      <c r="KO281" s="31"/>
      <c r="KP281" s="31"/>
      <c r="KQ281" s="31"/>
      <c r="KR281" s="31"/>
      <c r="KS281" s="31"/>
      <c r="KT281" s="31"/>
      <c r="KU281" s="31"/>
      <c r="KV281" s="31"/>
      <c r="KW281" s="31"/>
      <c r="KX281" s="31"/>
      <c r="KY281" s="31"/>
      <c r="KZ281" s="31"/>
      <c r="LA281" s="31"/>
      <c r="LB281" s="31"/>
      <c r="LC281" s="31"/>
      <c r="LD281" s="31"/>
      <c r="LE281" s="31"/>
      <c r="LF281" s="31"/>
      <c r="LG281" s="31"/>
      <c r="LH281" s="31"/>
      <c r="LI281" s="31"/>
      <c r="LJ281" s="31"/>
      <c r="LK281" s="31"/>
      <c r="LL281" s="31"/>
      <c r="LM281" s="31"/>
      <c r="LN281" s="31"/>
      <c r="LO281" s="31"/>
      <c r="LP281" s="31"/>
      <c r="LQ281" s="31"/>
      <c r="LR281" s="31"/>
      <c r="LS281" s="31"/>
      <c r="LT281" s="31"/>
      <c r="LU281" s="31"/>
      <c r="LV281" s="31"/>
      <c r="LW281" s="31"/>
      <c r="LX281" s="31"/>
      <c r="LY281" s="31"/>
      <c r="LZ281" s="31"/>
      <c r="MA281" s="31"/>
      <c r="MB281" s="31"/>
      <c r="MC281" s="31"/>
      <c r="MD281" s="31"/>
      <c r="ME281" s="31"/>
      <c r="MF281" s="31"/>
      <c r="MG281" s="31"/>
      <c r="MH281" s="31"/>
      <c r="MI281" s="31"/>
      <c r="MJ281" s="31"/>
      <c r="MK281" s="31"/>
      <c r="ML281" s="31"/>
      <c r="MM281" s="31"/>
      <c r="MN281" s="31"/>
      <c r="MO281" s="31"/>
      <c r="MP281" s="31"/>
      <c r="MQ281" s="31"/>
      <c r="MR281" s="31"/>
      <c r="MS281" s="31"/>
      <c r="MT281" s="31"/>
      <c r="MU281" s="31"/>
      <c r="MV281" s="31"/>
      <c r="MW281" s="31"/>
      <c r="MX281" s="31"/>
      <c r="MY281" s="31"/>
      <c r="MZ281" s="31"/>
      <c r="NA281" s="31"/>
      <c r="NB281" s="31"/>
      <c r="NC281" s="31"/>
      <c r="ND281" s="31"/>
      <c r="NE281" s="31"/>
      <c r="NF281" s="31"/>
      <c r="NG281" s="31"/>
      <c r="NH281" s="31"/>
      <c r="NI281" s="31"/>
      <c r="NJ281" s="31"/>
      <c r="NK281" s="31"/>
      <c r="NL281" s="31"/>
      <c r="NM281" s="31"/>
      <c r="NN281" s="31"/>
      <c r="NO281" s="31"/>
      <c r="NP281" s="31"/>
      <c r="NQ281" s="31"/>
      <c r="NR281" s="31"/>
      <c r="NS281" s="31"/>
      <c r="NT281" s="31"/>
      <c r="NU281" s="31"/>
      <c r="NV281" s="31"/>
      <c r="NW281" s="31"/>
      <c r="NX281" s="31"/>
      <c r="NY281" s="31"/>
      <c r="NZ281" s="31"/>
      <c r="OA281" s="31"/>
      <c r="OB281" s="31"/>
      <c r="OC281" s="31"/>
      <c r="OD281" s="31"/>
      <c r="OE281" s="31"/>
      <c r="OF281" s="31"/>
      <c r="OG281" s="31"/>
      <c r="OH281" s="31"/>
      <c r="OI281" s="31"/>
      <c r="OJ281" s="31"/>
      <c r="OK281" s="31"/>
      <c r="OL281" s="31"/>
      <c r="OM281" s="31"/>
      <c r="ON281" s="31"/>
      <c r="OO281" s="31"/>
      <c r="OP281" s="31"/>
      <c r="OQ281" s="31"/>
      <c r="OR281" s="31"/>
      <c r="OS281" s="31"/>
      <c r="OT281" s="31"/>
      <c r="OU281" s="31"/>
      <c r="OV281" s="31"/>
      <c r="OW281" s="31"/>
      <c r="OX281" s="31"/>
      <c r="OY281" s="31"/>
      <c r="OZ281" s="31"/>
      <c r="PA281" s="31"/>
      <c r="PB281" s="31"/>
      <c r="PC281" s="31"/>
      <c r="PD281" s="31"/>
      <c r="PE281" s="31"/>
      <c r="PF281" s="31"/>
      <c r="PG281" s="31"/>
      <c r="PH281" s="31"/>
      <c r="PI281" s="31"/>
      <c r="PJ281" s="31"/>
      <c r="PK281" s="31"/>
      <c r="PL281" s="31"/>
      <c r="PM281" s="31"/>
      <c r="PN281" s="31"/>
      <c r="PO281" s="31"/>
      <c r="PP281" s="31"/>
      <c r="PQ281" s="31"/>
      <c r="PR281" s="31"/>
      <c r="PS281" s="31"/>
      <c r="PT281" s="31"/>
      <c r="PU281" s="31"/>
      <c r="PV281" s="31"/>
      <c r="PW281" s="31"/>
      <c r="PX281" s="31"/>
      <c r="PY281" s="31"/>
      <c r="PZ281" s="31"/>
      <c r="QA281" s="31"/>
      <c r="QB281" s="31"/>
      <c r="QC281" s="31"/>
      <c r="QD281" s="31"/>
      <c r="QE281" s="31"/>
      <c r="QF281" s="31"/>
      <c r="QG281" s="31"/>
      <c r="QH281" s="31"/>
      <c r="QI281" s="31"/>
      <c r="QJ281" s="31"/>
      <c r="QK281" s="31"/>
      <c r="QL281" s="31"/>
      <c r="QM281" s="31"/>
      <c r="QN281" s="31"/>
      <c r="QO281" s="31"/>
      <c r="QP281" s="31"/>
      <c r="QQ281" s="31"/>
      <c r="QR281" s="31"/>
      <c r="QS281" s="31"/>
      <c r="QT281" s="31"/>
      <c r="QU281" s="31"/>
      <c r="QV281" s="31"/>
      <c r="QW281" s="31"/>
      <c r="QX281" s="31"/>
      <c r="QY281" s="31"/>
      <c r="QZ281" s="31"/>
      <c r="RA281" s="31"/>
      <c r="RB281" s="31"/>
      <c r="RC281" s="31"/>
      <c r="RD281" s="31"/>
      <c r="RE281" s="31"/>
      <c r="RF281" s="31"/>
      <c r="RG281" s="31"/>
      <c r="RH281" s="31"/>
      <c r="RI281" s="31"/>
      <c r="RJ281" s="31"/>
      <c r="RK281" s="31"/>
      <c r="RL281" s="31"/>
      <c r="RM281" s="31"/>
      <c r="RN281" s="31"/>
      <c r="RO281" s="31"/>
      <c r="RP281" s="31"/>
      <c r="RQ281" s="31"/>
      <c r="RR281" s="31"/>
      <c r="RS281" s="31"/>
      <c r="RT281" s="31"/>
      <c r="RU281" s="31"/>
      <c r="RV281" s="31"/>
      <c r="RW281" s="31"/>
      <c r="RX281" s="31"/>
      <c r="RY281" s="31"/>
      <c r="RZ281" s="31"/>
      <c r="SA281" s="31"/>
      <c r="SB281" s="31"/>
      <c r="SC281" s="31"/>
      <c r="SD281" s="31"/>
      <c r="SE281" s="31"/>
      <c r="SF281" s="31"/>
      <c r="SG281" s="31"/>
      <c r="SH281" s="31"/>
      <c r="SI281" s="31"/>
      <c r="SJ281" s="31"/>
      <c r="SK281" s="31"/>
      <c r="SL281" s="31"/>
      <c r="SM281" s="31"/>
      <c r="SN281" s="31"/>
      <c r="SO281" s="31"/>
      <c r="SP281" s="31"/>
      <c r="SQ281" s="31"/>
      <c r="SR281" s="31"/>
      <c r="SS281" s="31"/>
      <c r="ST281" s="31"/>
      <c r="SU281" s="31"/>
      <c r="SV281" s="31"/>
      <c r="SW281" s="31"/>
      <c r="SX281" s="31"/>
      <c r="SY281" s="31"/>
      <c r="SZ281" s="31"/>
      <c r="TA281" s="31"/>
      <c r="TB281" s="31"/>
      <c r="TC281" s="31"/>
      <c r="TD281" s="31"/>
      <c r="TE281" s="31"/>
      <c r="TF281" s="31"/>
      <c r="TG281" s="31"/>
      <c r="TH281" s="31"/>
      <c r="TI281" s="31"/>
      <c r="TJ281" s="31"/>
      <c r="TK281" s="31"/>
      <c r="TL281" s="31"/>
      <c r="TM281" s="31"/>
      <c r="TN281" s="31"/>
      <c r="TO281" s="31"/>
      <c r="TP281" s="31"/>
      <c r="TQ281" s="31"/>
      <c r="TR281" s="31"/>
      <c r="TS281" s="31"/>
      <c r="TT281" s="31"/>
      <c r="TU281" s="31"/>
      <c r="TV281" s="31"/>
      <c r="TW281" s="31"/>
      <c r="TX281" s="31"/>
      <c r="TY281" s="31"/>
      <c r="TZ281" s="31"/>
      <c r="UA281" s="31"/>
      <c r="UB281" s="31"/>
      <c r="UC281" s="31"/>
      <c r="UD281" s="31"/>
      <c r="UE281" s="31"/>
      <c r="UF281" s="31"/>
      <c r="UG281" s="31"/>
      <c r="UH281" s="31"/>
      <c r="UI281" s="31"/>
      <c r="UJ281" s="31"/>
      <c r="UK281" s="31"/>
      <c r="UL281" s="31"/>
      <c r="UM281" s="31"/>
      <c r="UN281" s="31"/>
      <c r="UO281" s="31"/>
      <c r="UP281" s="31"/>
      <c r="UQ281" s="31"/>
      <c r="UR281" s="31"/>
      <c r="US281" s="31"/>
      <c r="UT281" s="31"/>
      <c r="UU281" s="31"/>
      <c r="UV281" s="31"/>
      <c r="UW281" s="31"/>
      <c r="UX281" s="31"/>
      <c r="UY281" s="31"/>
      <c r="UZ281" s="31"/>
      <c r="VA281" s="31"/>
      <c r="VB281" s="31"/>
      <c r="VC281" s="31"/>
      <c r="VD281" s="31"/>
      <c r="VE281" s="31"/>
      <c r="VF281" s="31"/>
      <c r="VG281" s="31"/>
      <c r="VH281" s="31"/>
      <c r="VI281" s="31"/>
      <c r="VJ281" s="31"/>
      <c r="VK281" s="31"/>
      <c r="VL281" s="31"/>
      <c r="VM281" s="31"/>
      <c r="VN281" s="31"/>
      <c r="VO281" s="31"/>
      <c r="VP281" s="31"/>
      <c r="VQ281" s="31"/>
      <c r="VR281" s="31"/>
      <c r="VS281" s="31"/>
      <c r="VT281" s="31"/>
      <c r="VU281" s="31"/>
      <c r="VV281" s="31"/>
      <c r="VW281" s="31"/>
      <c r="VX281" s="31"/>
      <c r="VY281" s="31"/>
      <c r="VZ281" s="31"/>
      <c r="WA281" s="31"/>
      <c r="WB281" s="31"/>
      <c r="WC281" s="31"/>
      <c r="WD281" s="31"/>
      <c r="WE281" s="31"/>
      <c r="WF281" s="31"/>
      <c r="WG281" s="31"/>
      <c r="WH281" s="31"/>
      <c r="WI281" s="31"/>
      <c r="WJ281" s="31"/>
      <c r="WK281" s="31"/>
      <c r="WL281" s="31"/>
      <c r="WM281" s="31"/>
      <c r="WN281" s="31"/>
      <c r="WO281" s="31"/>
      <c r="WP281" s="31"/>
      <c r="WQ281" s="31"/>
      <c r="WR281" s="31"/>
      <c r="WS281" s="31"/>
      <c r="WT281" s="31"/>
      <c r="WU281" s="31"/>
      <c r="WV281" s="31"/>
      <c r="WW281" s="31"/>
      <c r="WX281" s="31"/>
      <c r="WY281" s="31"/>
      <c r="WZ281" s="31"/>
      <c r="XA281" s="31"/>
      <c r="XB281" s="31"/>
      <c r="XC281" s="31"/>
      <c r="XD281" s="31"/>
      <c r="XE281" s="31"/>
      <c r="XF281" s="31"/>
      <c r="XG281" s="31"/>
      <c r="XH281" s="31"/>
      <c r="XI281" s="31"/>
      <c r="XJ281" s="31"/>
      <c r="XK281" s="31"/>
      <c r="XL281" s="31"/>
      <c r="XM281" s="31"/>
      <c r="XN281" s="31"/>
      <c r="XO281" s="31"/>
      <c r="XP281" s="31"/>
      <c r="XQ281" s="31"/>
      <c r="XR281" s="31"/>
      <c r="XS281" s="31"/>
      <c r="XT281" s="31"/>
      <c r="XU281" s="31"/>
      <c r="XV281" s="31"/>
      <c r="XW281" s="31"/>
      <c r="XX281" s="31"/>
      <c r="XY281" s="31"/>
      <c r="XZ281" s="31"/>
      <c r="YA281" s="31"/>
      <c r="YB281" s="31"/>
      <c r="YC281" s="31"/>
      <c r="YD281" s="31"/>
      <c r="YE281" s="31"/>
      <c r="YF281" s="31"/>
      <c r="YG281" s="31"/>
      <c r="YH281" s="31"/>
      <c r="YI281" s="31"/>
      <c r="YJ281" s="31"/>
      <c r="YK281" s="31"/>
      <c r="YL281" s="31"/>
      <c r="YM281" s="31"/>
      <c r="YN281" s="31"/>
      <c r="YO281" s="31"/>
      <c r="YP281" s="31"/>
      <c r="YQ281" s="31"/>
      <c r="YR281" s="31"/>
      <c r="YS281" s="31"/>
      <c r="YT281" s="31"/>
      <c r="YU281" s="31"/>
      <c r="YV281" s="31"/>
      <c r="YW281" s="31"/>
      <c r="YX281" s="31"/>
      <c r="YY281" s="31"/>
      <c r="YZ281" s="31"/>
      <c r="ZA281" s="31"/>
      <c r="ZB281" s="31"/>
      <c r="ZC281" s="31"/>
      <c r="ZD281" s="31"/>
      <c r="ZE281" s="31"/>
      <c r="ZF281" s="31"/>
      <c r="ZG281" s="31"/>
      <c r="ZH281" s="31"/>
      <c r="ZI281" s="31"/>
      <c r="ZJ281" s="31"/>
      <c r="ZK281" s="31"/>
      <c r="ZL281" s="31"/>
      <c r="ZM281" s="31"/>
      <c r="ZN281" s="31"/>
      <c r="ZO281" s="31"/>
      <c r="ZP281" s="31"/>
      <c r="ZQ281" s="31"/>
      <c r="ZR281" s="31"/>
      <c r="ZS281" s="31"/>
      <c r="ZT281" s="31"/>
      <c r="ZU281" s="31"/>
      <c r="ZV281" s="31"/>
      <c r="ZW281" s="31"/>
      <c r="ZX281" s="31"/>
      <c r="ZY281" s="31"/>
      <c r="ZZ281" s="31"/>
      <c r="AAA281" s="31"/>
      <c r="AAB281" s="31"/>
      <c r="AAC281" s="31"/>
      <c r="AAD281" s="31"/>
      <c r="AAE281" s="31"/>
      <c r="AAF281" s="31"/>
      <c r="AAG281" s="31"/>
      <c r="AAH281" s="31"/>
      <c r="AAI281" s="31"/>
      <c r="AAJ281" s="31"/>
      <c r="AAK281" s="31"/>
      <c r="AAL281" s="31"/>
      <c r="AAM281" s="31"/>
      <c r="AAN281" s="31"/>
      <c r="AAO281" s="31"/>
      <c r="AAP281" s="31"/>
      <c r="AAQ281" s="31"/>
      <c r="AAR281" s="31"/>
      <c r="AAS281" s="31"/>
      <c r="AAT281" s="31"/>
      <c r="AAU281" s="31"/>
      <c r="AAV281" s="31"/>
      <c r="AAW281" s="31"/>
      <c r="AAX281" s="31"/>
      <c r="AAY281" s="31"/>
      <c r="AAZ281" s="31"/>
      <c r="ABA281" s="31"/>
      <c r="ABB281" s="31"/>
      <c r="ABC281" s="31"/>
      <c r="ABD281" s="31"/>
      <c r="ABE281" s="31"/>
      <c r="ABF281" s="31"/>
      <c r="ABG281" s="31"/>
      <c r="ABH281" s="31"/>
      <c r="ABI281" s="31"/>
      <c r="ABJ281" s="31"/>
      <c r="ABK281" s="31"/>
      <c r="ABL281" s="31"/>
      <c r="ABM281" s="31"/>
      <c r="ABN281" s="31"/>
      <c r="ABO281" s="31"/>
      <c r="ABP281" s="31"/>
      <c r="ABQ281" s="31"/>
      <c r="ABR281" s="31"/>
      <c r="ABS281" s="31"/>
      <c r="ABT281" s="31"/>
      <c r="ABU281" s="31"/>
      <c r="ABV281" s="31"/>
      <c r="ABW281" s="31"/>
      <c r="ABX281" s="31"/>
      <c r="ABY281" s="31"/>
      <c r="ABZ281" s="31"/>
      <c r="ACA281" s="31"/>
      <c r="ACB281" s="31"/>
      <c r="ACC281" s="31"/>
      <c r="ACD281" s="31"/>
      <c r="ACE281" s="31"/>
      <c r="ACF281" s="31"/>
      <c r="ACG281" s="31"/>
      <c r="ACH281" s="31"/>
      <c r="ACI281" s="31"/>
      <c r="ACJ281" s="31"/>
      <c r="ACK281" s="31"/>
      <c r="ACL281" s="31"/>
      <c r="ACM281" s="31"/>
      <c r="ACN281" s="31"/>
      <c r="ACO281" s="31"/>
      <c r="ACP281" s="31"/>
      <c r="ACQ281" s="31"/>
      <c r="ACR281" s="31"/>
      <c r="ACS281" s="31"/>
      <c r="ACT281" s="31"/>
      <c r="ACU281" s="31"/>
      <c r="ACV281" s="31"/>
      <c r="ACW281" s="31"/>
      <c r="ACX281" s="31"/>
      <c r="ACY281" s="31"/>
      <c r="ACZ281" s="31"/>
      <c r="ADA281" s="31"/>
      <c r="ADB281" s="31"/>
      <c r="ADC281" s="31"/>
      <c r="ADD281" s="31"/>
      <c r="ADE281" s="31"/>
      <c r="ADF281" s="31"/>
      <c r="ADG281" s="31"/>
      <c r="ADH281" s="31"/>
      <c r="ADI281" s="31"/>
      <c r="ADJ281" s="31"/>
      <c r="ADK281" s="31"/>
      <c r="ADL281" s="31"/>
      <c r="ADM281" s="31"/>
      <c r="ADN281" s="31"/>
      <c r="ADO281" s="31"/>
      <c r="ADP281" s="31"/>
      <c r="ADQ281" s="31"/>
      <c r="ADR281" s="31"/>
      <c r="ADS281" s="31"/>
      <c r="ADT281" s="31"/>
      <c r="ADU281" s="31"/>
      <c r="ADV281" s="31"/>
      <c r="ADW281" s="31"/>
      <c r="ADX281" s="31"/>
      <c r="ADY281" s="31"/>
      <c r="ADZ281" s="31"/>
      <c r="AEA281" s="31"/>
      <c r="AEB281" s="31"/>
      <c r="AEC281" s="31"/>
      <c r="AED281" s="31"/>
      <c r="AEE281" s="31"/>
      <c r="AEF281" s="31"/>
      <c r="AEG281" s="31"/>
      <c r="AEH281" s="31"/>
      <c r="AEI281" s="31"/>
      <c r="AEJ281" s="31"/>
      <c r="AEK281" s="31"/>
      <c r="AEL281" s="31"/>
      <c r="AEM281" s="31"/>
      <c r="AEN281" s="31"/>
      <c r="AEO281" s="31"/>
      <c r="AEP281" s="31"/>
      <c r="AEQ281" s="31"/>
      <c r="AER281" s="31"/>
      <c r="AES281" s="31"/>
      <c r="AET281" s="31"/>
      <c r="AEU281" s="31"/>
      <c r="AEV281" s="31"/>
      <c r="AEW281" s="31"/>
      <c r="AEX281" s="31"/>
      <c r="AEY281" s="31"/>
      <c r="AEZ281" s="31"/>
      <c r="AFA281" s="31"/>
      <c r="AFB281" s="31"/>
      <c r="AFC281" s="31"/>
      <c r="AFD281" s="31"/>
      <c r="AFE281" s="31"/>
      <c r="AFF281" s="31"/>
      <c r="AFG281" s="31"/>
      <c r="AFH281" s="31"/>
      <c r="AFI281" s="31"/>
      <c r="AFJ281" s="31"/>
      <c r="AFK281" s="31"/>
      <c r="AFL281" s="31"/>
      <c r="AFM281" s="31"/>
      <c r="AFN281" s="31"/>
      <c r="AFO281" s="31"/>
      <c r="AFP281" s="31"/>
      <c r="AFQ281" s="31"/>
      <c r="AFR281" s="31"/>
      <c r="AFS281" s="31"/>
      <c r="AFT281" s="31"/>
      <c r="AFU281" s="31"/>
      <c r="AFV281" s="31"/>
      <c r="AFW281" s="31"/>
      <c r="AFX281" s="31"/>
      <c r="AFY281" s="31"/>
      <c r="AFZ281" s="31"/>
      <c r="AGA281" s="31"/>
      <c r="AGB281" s="31"/>
      <c r="AGC281" s="31"/>
      <c r="AGD281" s="31"/>
      <c r="AGE281" s="31"/>
      <c r="AGF281" s="31"/>
      <c r="AGG281" s="31"/>
      <c r="AGH281" s="31"/>
      <c r="AGI281" s="31"/>
      <c r="AGJ281" s="31"/>
      <c r="AGK281" s="31"/>
      <c r="AGL281" s="31"/>
      <c r="AGM281" s="31"/>
      <c r="AGN281" s="31"/>
      <c r="AGO281" s="31"/>
      <c r="AGP281" s="31"/>
      <c r="AGQ281" s="31"/>
      <c r="AGR281" s="31"/>
      <c r="AGS281" s="31"/>
      <c r="AGT281" s="31"/>
      <c r="AGU281" s="31"/>
      <c r="AGV281" s="31"/>
      <c r="AGW281" s="31"/>
      <c r="AGX281" s="31"/>
      <c r="AGY281" s="31"/>
      <c r="AGZ281" s="31"/>
      <c r="AHA281" s="31"/>
      <c r="AHB281" s="31"/>
      <c r="AHC281" s="31"/>
      <c r="AHD281" s="31"/>
      <c r="AHE281" s="31"/>
      <c r="AHF281" s="31"/>
      <c r="AHG281" s="31"/>
      <c r="AHH281" s="31"/>
      <c r="AHI281" s="31"/>
      <c r="AHJ281" s="31"/>
      <c r="AHK281" s="31"/>
      <c r="AHL281" s="31"/>
      <c r="AHM281" s="31"/>
      <c r="AHN281" s="31"/>
      <c r="AHO281" s="31"/>
      <c r="AHP281" s="31"/>
      <c r="AHQ281" s="31"/>
      <c r="AHR281" s="31"/>
      <c r="AHS281" s="31"/>
      <c r="AHT281" s="31"/>
      <c r="AHU281" s="31"/>
      <c r="AHV281" s="31"/>
      <c r="AHW281" s="31"/>
      <c r="AHX281" s="31"/>
      <c r="AHY281" s="31"/>
      <c r="AHZ281" s="31"/>
      <c r="AIA281" s="31"/>
      <c r="AIB281" s="31"/>
      <c r="AIC281" s="31"/>
      <c r="AID281" s="31"/>
      <c r="AIE281" s="31"/>
      <c r="AIF281" s="31"/>
      <c r="AIG281" s="31"/>
      <c r="AIH281" s="31"/>
      <c r="AII281" s="31"/>
      <c r="AIJ281" s="31"/>
      <c r="AIK281" s="31"/>
      <c r="AIL281" s="31"/>
      <c r="AIM281" s="31"/>
      <c r="AIN281" s="31"/>
      <c r="AIO281" s="31"/>
      <c r="AIP281" s="31"/>
      <c r="AIQ281" s="31"/>
      <c r="AIR281" s="31"/>
      <c r="AIS281" s="31"/>
      <c r="AIT281" s="31"/>
      <c r="AIU281" s="31"/>
      <c r="AIV281" s="31"/>
      <c r="AIW281" s="31"/>
      <c r="AIX281" s="31"/>
      <c r="AIY281" s="31"/>
      <c r="AIZ281" s="31"/>
      <c r="AJA281" s="31"/>
      <c r="AJB281" s="31"/>
      <c r="AJC281" s="31"/>
      <c r="AJD281" s="31"/>
      <c r="AJE281" s="31"/>
      <c r="AJF281" s="31"/>
      <c r="AJG281" s="31"/>
      <c r="AJH281" s="31"/>
      <c r="AJI281" s="31"/>
      <c r="AJJ281" s="31"/>
      <c r="AJK281" s="31"/>
      <c r="AJL281" s="31"/>
      <c r="AJM281" s="31"/>
      <c r="AJN281" s="31"/>
      <c r="AJO281" s="31"/>
      <c r="AJP281" s="31"/>
      <c r="AJQ281" s="31"/>
      <c r="AJR281" s="31"/>
      <c r="AJS281" s="31"/>
      <c r="AJT281" s="31"/>
      <c r="AJU281" s="31"/>
      <c r="AJV281" s="31"/>
      <c r="AJW281" s="31"/>
      <c r="AJX281" s="31"/>
      <c r="AJY281" s="31"/>
      <c r="AJZ281" s="31"/>
      <c r="AKA281" s="31"/>
      <c r="AKB281" s="31"/>
      <c r="AKC281" s="31"/>
      <c r="AKD281" s="31"/>
      <c r="AKE281" s="31"/>
      <c r="AKF281" s="31"/>
      <c r="AKG281" s="31"/>
      <c r="AKH281" s="31"/>
      <c r="AKI281" s="31"/>
      <c r="AKJ281" s="31"/>
      <c r="AKK281" s="31"/>
      <c r="AKL281" s="31"/>
      <c r="AKM281" s="31"/>
      <c r="AKN281" s="31"/>
      <c r="AKO281" s="31"/>
      <c r="AKP281" s="31"/>
      <c r="AKQ281" s="31"/>
      <c r="AKR281" s="31"/>
      <c r="AKS281" s="31"/>
      <c r="AKT281" s="31"/>
      <c r="AKU281" s="31"/>
      <c r="AKV281" s="31"/>
      <c r="AKW281" s="31"/>
      <c r="AKX281" s="31"/>
      <c r="AKY281" s="31"/>
      <c r="AKZ281" s="31"/>
      <c r="ALA281" s="31"/>
      <c r="ALB281" s="31"/>
      <c r="ALC281" s="31"/>
      <c r="ALD281" s="31"/>
      <c r="ALE281" s="31"/>
      <c r="ALF281" s="31"/>
      <c r="ALG281" s="31"/>
      <c r="ALH281" s="31"/>
      <c r="ALI281" s="31"/>
      <c r="ALJ281" s="31"/>
      <c r="ALK281" s="31"/>
      <c r="ALL281" s="31"/>
      <c r="ALM281" s="31"/>
      <c r="ALN281" s="31"/>
      <c r="ALO281" s="31"/>
      <c r="ALP281" s="31"/>
      <c r="ALQ281" s="31"/>
      <c r="ALR281" s="31"/>
      <c r="ALS281" s="31"/>
      <c r="ALT281" s="31"/>
      <c r="ALU281" s="31"/>
      <c r="ALV281" s="31"/>
      <c r="ALW281" s="31"/>
      <c r="ALX281" s="31"/>
      <c r="ALY281" s="31"/>
      <c r="ALZ281" s="31"/>
      <c r="AMA281" s="31"/>
      <c r="AMB281" s="31"/>
      <c r="AMC281" s="31"/>
      <c r="AMD281" s="31"/>
      <c r="AME281" s="31"/>
      <c r="AMF281" s="31"/>
      <c r="AMG281" s="31"/>
      <c r="AMH281" s="31"/>
      <c r="AMI281" s="31"/>
      <c r="AMJ281" s="31"/>
      <c r="AMK281" s="31"/>
      <c r="AML281" s="31"/>
    </row>
    <row r="282" spans="1:1027" x14ac:dyDescent="0.2">
      <c r="A282" s="18">
        <v>4</v>
      </c>
      <c r="B282" s="28" t="s">
        <v>867</v>
      </c>
      <c r="C282" s="28" t="s">
        <v>868</v>
      </c>
      <c r="D282" s="28">
        <v>259</v>
      </c>
      <c r="E282" s="42" t="s">
        <v>507</v>
      </c>
      <c r="F282" s="42" t="s">
        <v>507</v>
      </c>
      <c r="G282" s="43" t="s">
        <v>540</v>
      </c>
      <c r="H282" s="42" t="s">
        <v>507</v>
      </c>
      <c r="I282" s="42"/>
      <c r="J282" s="67" t="s">
        <v>507</v>
      </c>
      <c r="K282" s="72" t="s">
        <v>509</v>
      </c>
      <c r="L282" s="28"/>
      <c r="M282" s="33" t="s">
        <v>542</v>
      </c>
      <c r="N282" s="33"/>
      <c r="O282" s="28"/>
      <c r="P282" s="28"/>
      <c r="Q282" s="28"/>
      <c r="R282" s="28"/>
      <c r="T282" s="6"/>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c r="DV282" s="18"/>
      <c r="DW282" s="18"/>
      <c r="DX282" s="18"/>
      <c r="DY282" s="18"/>
      <c r="DZ282" s="18"/>
      <c r="EA282" s="18"/>
      <c r="EB282" s="18"/>
      <c r="EC282" s="18"/>
      <c r="ED282" s="18"/>
      <c r="EE282" s="18"/>
      <c r="EF282" s="18"/>
      <c r="EG282" s="18"/>
      <c r="EH282" s="18"/>
      <c r="EI282" s="18"/>
      <c r="EJ282" s="18"/>
      <c r="EK282" s="18"/>
      <c r="EL282" s="18"/>
      <c r="EM282" s="18"/>
      <c r="EN282" s="18"/>
      <c r="EO282" s="18"/>
      <c r="EP282" s="18"/>
      <c r="EQ282" s="18"/>
      <c r="ER282" s="18"/>
      <c r="ES282" s="18"/>
      <c r="ET282" s="18"/>
      <c r="EU282" s="18"/>
      <c r="EV282" s="18"/>
      <c r="EW282" s="18"/>
      <c r="EX282" s="18"/>
      <c r="EY282" s="18"/>
      <c r="EZ282" s="18"/>
      <c r="FA282" s="18"/>
      <c r="FB282" s="18"/>
      <c r="FC282" s="18"/>
      <c r="FD282" s="18"/>
      <c r="FE282" s="18"/>
      <c r="FF282" s="18"/>
      <c r="FG282" s="18"/>
      <c r="FH282" s="18"/>
      <c r="FI282" s="18"/>
      <c r="FJ282" s="18"/>
      <c r="FK282" s="18"/>
      <c r="FL282" s="18"/>
      <c r="FM282" s="18"/>
      <c r="FN282" s="18"/>
      <c r="FO282" s="18"/>
      <c r="FP282" s="18"/>
      <c r="FQ282" s="18"/>
      <c r="FR282" s="18"/>
      <c r="FS282" s="18"/>
      <c r="FT282" s="18"/>
      <c r="FU282" s="18"/>
      <c r="FV282" s="18"/>
      <c r="FW282" s="18"/>
      <c r="FX282" s="18"/>
      <c r="FY282" s="18"/>
      <c r="FZ282" s="18"/>
      <c r="GA282" s="18"/>
      <c r="GB282" s="18"/>
      <c r="GC282" s="18"/>
      <c r="GD282" s="18"/>
      <c r="GE282" s="18"/>
      <c r="GF282" s="18"/>
      <c r="GG282" s="18"/>
      <c r="GH282" s="18"/>
      <c r="GI282" s="18"/>
      <c r="GJ282" s="18"/>
      <c r="GK282" s="18"/>
      <c r="GL282" s="18"/>
      <c r="GM282" s="18"/>
      <c r="GN282" s="18"/>
      <c r="GO282" s="18"/>
      <c r="GP282" s="18"/>
      <c r="GQ282" s="18"/>
      <c r="GR282" s="18"/>
      <c r="GS282" s="18"/>
      <c r="GT282" s="18"/>
      <c r="GU282" s="18"/>
      <c r="GV282" s="18"/>
      <c r="GW282" s="18"/>
      <c r="GX282" s="18"/>
      <c r="GY282" s="18"/>
      <c r="GZ282" s="18"/>
      <c r="HA282" s="18"/>
      <c r="HB282" s="18"/>
      <c r="HC282" s="18"/>
      <c r="HD282" s="18"/>
      <c r="HE282" s="18"/>
      <c r="HF282" s="18"/>
      <c r="HG282" s="18"/>
      <c r="HH282" s="18"/>
      <c r="HI282" s="18"/>
      <c r="HJ282" s="18"/>
      <c r="HK282" s="18"/>
      <c r="HL282" s="18"/>
      <c r="HM282" s="18"/>
      <c r="HN282" s="18"/>
      <c r="HO282" s="18"/>
      <c r="HP282" s="18"/>
      <c r="HQ282" s="18"/>
      <c r="HR282" s="18"/>
      <c r="HS282" s="18"/>
      <c r="HT282" s="18"/>
      <c r="HU282" s="18"/>
      <c r="HV282" s="18"/>
      <c r="HW282" s="18"/>
      <c r="HX282" s="18"/>
      <c r="HY282" s="18"/>
      <c r="HZ282" s="18"/>
      <c r="IA282" s="18"/>
      <c r="IB282" s="18"/>
      <c r="IC282" s="18"/>
      <c r="ID282" s="18"/>
      <c r="IE282" s="18"/>
      <c r="IF282" s="18"/>
      <c r="IG282" s="18"/>
      <c r="IH282" s="18"/>
      <c r="II282" s="18"/>
      <c r="IJ282" s="18"/>
      <c r="IK282" s="18"/>
      <c r="IL282" s="18"/>
      <c r="IM282" s="18"/>
      <c r="IN282" s="18"/>
      <c r="IO282" s="18"/>
      <c r="IP282" s="18"/>
      <c r="IQ282" s="18"/>
      <c r="IR282" s="18"/>
      <c r="IS282" s="18"/>
      <c r="IT282" s="18"/>
      <c r="IU282" s="18"/>
      <c r="IV282" s="18"/>
      <c r="IW282" s="18"/>
      <c r="IX282" s="18"/>
      <c r="IY282" s="18"/>
      <c r="IZ282" s="18"/>
      <c r="JA282" s="18"/>
      <c r="JB282" s="18"/>
      <c r="JC282" s="18"/>
      <c r="JD282" s="18"/>
      <c r="JE282" s="18"/>
      <c r="JF282" s="18"/>
      <c r="JG282" s="18"/>
      <c r="JH282" s="18"/>
      <c r="JI282" s="18"/>
      <c r="JJ282" s="18"/>
      <c r="JK282" s="18"/>
      <c r="JL282" s="18"/>
      <c r="JM282" s="18"/>
      <c r="JN282" s="18"/>
      <c r="JO282" s="18"/>
      <c r="JP282" s="18"/>
      <c r="JQ282" s="18"/>
      <c r="JR282" s="18"/>
      <c r="JS282" s="18"/>
      <c r="JT282" s="18"/>
      <c r="JU282" s="18"/>
      <c r="JV282" s="18"/>
      <c r="JW282" s="18"/>
      <c r="JX282" s="18"/>
      <c r="JY282" s="18"/>
      <c r="JZ282" s="18"/>
      <c r="KA282" s="18"/>
      <c r="KB282" s="18"/>
      <c r="KC282" s="18"/>
      <c r="KD282" s="18"/>
      <c r="KE282" s="18"/>
      <c r="KF282" s="18"/>
      <c r="KG282" s="18"/>
      <c r="KH282" s="18"/>
      <c r="KI282" s="18"/>
      <c r="KJ282" s="18"/>
      <c r="KK282" s="18"/>
      <c r="KL282" s="18"/>
      <c r="KM282" s="18"/>
      <c r="KN282" s="18"/>
      <c r="KO282" s="18"/>
      <c r="KP282" s="18"/>
      <c r="KQ282" s="18"/>
      <c r="KR282" s="18"/>
      <c r="KS282" s="18"/>
      <c r="KT282" s="18"/>
      <c r="KU282" s="18"/>
      <c r="KV282" s="18"/>
      <c r="KW282" s="18"/>
      <c r="KX282" s="18"/>
      <c r="KY282" s="18"/>
      <c r="KZ282" s="18"/>
      <c r="LA282" s="18"/>
      <c r="LB282" s="18"/>
      <c r="LC282" s="18"/>
      <c r="LD282" s="18"/>
      <c r="LE282" s="18"/>
      <c r="LF282" s="18"/>
      <c r="LG282" s="18"/>
      <c r="LH282" s="18"/>
      <c r="LI282" s="18"/>
      <c r="LJ282" s="18"/>
      <c r="LK282" s="18"/>
      <c r="LL282" s="18"/>
      <c r="LM282" s="18"/>
      <c r="LN282" s="18"/>
      <c r="LO282" s="18"/>
      <c r="LP282" s="18"/>
      <c r="LQ282" s="18"/>
      <c r="LR282" s="18"/>
      <c r="LS282" s="18"/>
      <c r="LT282" s="18"/>
      <c r="LU282" s="18"/>
      <c r="LV282" s="18"/>
      <c r="LW282" s="18"/>
      <c r="LX282" s="18"/>
      <c r="LY282" s="18"/>
      <c r="LZ282" s="18"/>
      <c r="MA282" s="18"/>
      <c r="MB282" s="18"/>
      <c r="MC282" s="18"/>
      <c r="MD282" s="18"/>
      <c r="ME282" s="18"/>
      <c r="MF282" s="18"/>
      <c r="MG282" s="18"/>
      <c r="MH282" s="18"/>
      <c r="MI282" s="18"/>
      <c r="MJ282" s="18"/>
      <c r="MK282" s="18"/>
      <c r="ML282" s="18"/>
      <c r="MM282" s="18"/>
      <c r="MN282" s="18"/>
      <c r="MO282" s="18"/>
      <c r="MP282" s="18"/>
      <c r="MQ282" s="18"/>
      <c r="MR282" s="18"/>
      <c r="MS282" s="18"/>
      <c r="MT282" s="18"/>
      <c r="MU282" s="18"/>
      <c r="MV282" s="18"/>
      <c r="MW282" s="18"/>
      <c r="MX282" s="18"/>
      <c r="MY282" s="18"/>
      <c r="MZ282" s="18"/>
      <c r="NA282" s="18"/>
      <c r="NB282" s="18"/>
      <c r="NC282" s="18"/>
      <c r="ND282" s="18"/>
      <c r="NE282" s="18"/>
      <c r="NF282" s="18"/>
      <c r="NG282" s="18"/>
      <c r="NH282" s="18"/>
      <c r="NI282" s="18"/>
      <c r="NJ282" s="18"/>
      <c r="NK282" s="18"/>
      <c r="NL282" s="18"/>
      <c r="NM282" s="18"/>
      <c r="NN282" s="18"/>
      <c r="NO282" s="18"/>
      <c r="NP282" s="18"/>
      <c r="NQ282" s="18"/>
      <c r="NR282" s="18"/>
      <c r="NS282" s="18"/>
      <c r="NT282" s="18"/>
      <c r="NU282" s="18"/>
      <c r="NV282" s="18"/>
      <c r="NW282" s="18"/>
      <c r="NX282" s="18"/>
      <c r="NY282" s="18"/>
      <c r="NZ282" s="18"/>
      <c r="OA282" s="18"/>
      <c r="OB282" s="18"/>
      <c r="OC282" s="18"/>
      <c r="OD282" s="18"/>
      <c r="OE282" s="18"/>
      <c r="OF282" s="18"/>
      <c r="OG282" s="18"/>
      <c r="OH282" s="18"/>
      <c r="OI282" s="18"/>
      <c r="OJ282" s="18"/>
      <c r="OK282" s="18"/>
      <c r="OL282" s="18"/>
      <c r="OM282" s="18"/>
      <c r="ON282" s="18"/>
      <c r="OO282" s="18"/>
      <c r="OP282" s="18"/>
      <c r="OQ282" s="18"/>
      <c r="OR282" s="18"/>
      <c r="OS282" s="18"/>
      <c r="OT282" s="18"/>
      <c r="OU282" s="18"/>
      <c r="OV282" s="18"/>
      <c r="OW282" s="18"/>
      <c r="OX282" s="18"/>
      <c r="OY282" s="18"/>
      <c r="OZ282" s="18"/>
      <c r="PA282" s="18"/>
      <c r="PB282" s="18"/>
      <c r="PC282" s="18"/>
      <c r="PD282" s="18"/>
      <c r="PE282" s="18"/>
      <c r="PF282" s="18"/>
      <c r="PG282" s="18"/>
      <c r="PH282" s="18"/>
      <c r="PI282" s="18"/>
      <c r="PJ282" s="18"/>
      <c r="PK282" s="18"/>
      <c r="PL282" s="18"/>
      <c r="PM282" s="18"/>
      <c r="PN282" s="18"/>
      <c r="PO282" s="18"/>
      <c r="PP282" s="18"/>
      <c r="PQ282" s="18"/>
      <c r="PR282" s="18"/>
      <c r="PS282" s="18"/>
      <c r="PT282" s="18"/>
      <c r="PU282" s="18"/>
      <c r="PV282" s="18"/>
      <c r="PW282" s="18"/>
      <c r="PX282" s="18"/>
      <c r="PY282" s="18"/>
      <c r="PZ282" s="18"/>
      <c r="QA282" s="18"/>
      <c r="QB282" s="18"/>
      <c r="QC282" s="18"/>
      <c r="QD282" s="18"/>
      <c r="QE282" s="18"/>
      <c r="QF282" s="18"/>
      <c r="QG282" s="18"/>
      <c r="QH282" s="18"/>
      <c r="QI282" s="18"/>
      <c r="QJ282" s="18"/>
      <c r="QK282" s="18"/>
      <c r="QL282" s="18"/>
      <c r="QM282" s="18"/>
      <c r="QN282" s="18"/>
      <c r="QO282" s="18"/>
      <c r="QP282" s="18"/>
      <c r="QQ282" s="18"/>
      <c r="QR282" s="18"/>
      <c r="QS282" s="18"/>
      <c r="QT282" s="18"/>
      <c r="QU282" s="18"/>
      <c r="QV282" s="18"/>
      <c r="QW282" s="18"/>
      <c r="QX282" s="18"/>
      <c r="QY282" s="18"/>
      <c r="QZ282" s="18"/>
      <c r="RA282" s="18"/>
      <c r="RB282" s="18"/>
      <c r="RC282" s="18"/>
      <c r="RD282" s="18"/>
      <c r="RE282" s="18"/>
      <c r="RF282" s="18"/>
      <c r="RG282" s="18"/>
      <c r="RH282" s="18"/>
      <c r="RI282" s="18"/>
      <c r="RJ282" s="18"/>
      <c r="RK282" s="18"/>
      <c r="RL282" s="18"/>
      <c r="RM282" s="18"/>
      <c r="RN282" s="18"/>
      <c r="RO282" s="18"/>
      <c r="RP282" s="18"/>
      <c r="RQ282" s="18"/>
      <c r="RR282" s="18"/>
      <c r="RS282" s="18"/>
      <c r="RT282" s="18"/>
      <c r="RU282" s="18"/>
      <c r="RV282" s="18"/>
      <c r="RW282" s="18"/>
      <c r="RX282" s="18"/>
      <c r="RY282" s="18"/>
      <c r="RZ282" s="18"/>
      <c r="SA282" s="18"/>
      <c r="SB282" s="18"/>
      <c r="SC282" s="18"/>
      <c r="SD282" s="18"/>
      <c r="SE282" s="18"/>
      <c r="SF282" s="18"/>
      <c r="SG282" s="18"/>
      <c r="SH282" s="18"/>
      <c r="SI282" s="18"/>
      <c r="SJ282" s="18"/>
      <c r="SK282" s="18"/>
      <c r="SL282" s="18"/>
      <c r="SM282" s="18"/>
      <c r="SN282" s="18"/>
      <c r="SO282" s="18"/>
      <c r="SP282" s="18"/>
      <c r="SQ282" s="18"/>
      <c r="SR282" s="18"/>
      <c r="SS282" s="18"/>
      <c r="ST282" s="18"/>
      <c r="SU282" s="18"/>
      <c r="SV282" s="18"/>
      <c r="SW282" s="18"/>
      <c r="SX282" s="18"/>
      <c r="SY282" s="18"/>
      <c r="SZ282" s="18"/>
      <c r="TA282" s="18"/>
      <c r="TB282" s="18"/>
      <c r="TC282" s="18"/>
      <c r="TD282" s="18"/>
      <c r="TE282" s="18"/>
      <c r="TF282" s="18"/>
      <c r="TG282" s="18"/>
      <c r="TH282" s="18"/>
      <c r="TI282" s="18"/>
      <c r="TJ282" s="18"/>
      <c r="TK282" s="18"/>
      <c r="TL282" s="18"/>
      <c r="TM282" s="18"/>
      <c r="TN282" s="18"/>
      <c r="TO282" s="18"/>
      <c r="TP282" s="18"/>
      <c r="TQ282" s="18"/>
      <c r="TR282" s="18"/>
      <c r="TS282" s="18"/>
      <c r="TT282" s="18"/>
      <c r="TU282" s="18"/>
      <c r="TV282" s="18"/>
      <c r="TW282" s="18"/>
      <c r="TX282" s="18"/>
      <c r="TY282" s="18"/>
      <c r="TZ282" s="18"/>
      <c r="UA282" s="18"/>
      <c r="UB282" s="18"/>
      <c r="UC282" s="18"/>
      <c r="UD282" s="18"/>
      <c r="UE282" s="18"/>
      <c r="UF282" s="18"/>
      <c r="UG282" s="18"/>
      <c r="UH282" s="18"/>
      <c r="UI282" s="18"/>
      <c r="UJ282" s="18"/>
      <c r="UK282" s="18"/>
      <c r="UL282" s="18"/>
      <c r="UM282" s="18"/>
      <c r="UN282" s="18"/>
      <c r="UO282" s="18"/>
      <c r="UP282" s="18"/>
      <c r="UQ282" s="18"/>
      <c r="UR282" s="18"/>
      <c r="US282" s="18"/>
      <c r="UT282" s="18"/>
      <c r="UU282" s="18"/>
      <c r="UV282" s="18"/>
      <c r="UW282" s="18"/>
      <c r="UX282" s="18"/>
      <c r="UY282" s="18"/>
      <c r="UZ282" s="18"/>
      <c r="VA282" s="18"/>
      <c r="VB282" s="18"/>
      <c r="VC282" s="18"/>
      <c r="VD282" s="18"/>
      <c r="VE282" s="18"/>
      <c r="VF282" s="18"/>
      <c r="VG282" s="18"/>
      <c r="VH282" s="18"/>
      <c r="VI282" s="18"/>
      <c r="VJ282" s="18"/>
      <c r="VK282" s="18"/>
      <c r="VL282" s="18"/>
      <c r="VM282" s="18"/>
      <c r="VN282" s="18"/>
      <c r="VO282" s="18"/>
      <c r="VP282" s="18"/>
      <c r="VQ282" s="18"/>
      <c r="VR282" s="18"/>
      <c r="VS282" s="18"/>
      <c r="VT282" s="18"/>
      <c r="VU282" s="18"/>
      <c r="VV282" s="18"/>
      <c r="VW282" s="18"/>
      <c r="VX282" s="18"/>
      <c r="VY282" s="18"/>
      <c r="VZ282" s="18"/>
      <c r="WA282" s="18"/>
      <c r="WB282" s="18"/>
      <c r="WC282" s="18"/>
      <c r="WD282" s="18"/>
      <c r="WE282" s="18"/>
      <c r="WF282" s="18"/>
      <c r="WG282" s="18"/>
      <c r="WH282" s="18"/>
      <c r="WI282" s="18"/>
      <c r="WJ282" s="18"/>
      <c r="WK282" s="18"/>
      <c r="WL282" s="18"/>
      <c r="WM282" s="18"/>
      <c r="WN282" s="18"/>
      <c r="WO282" s="18"/>
      <c r="WP282" s="18"/>
      <c r="WQ282" s="18"/>
      <c r="WR282" s="18"/>
      <c r="WS282" s="18"/>
      <c r="WT282" s="18"/>
      <c r="WU282" s="18"/>
      <c r="WV282" s="18"/>
      <c r="WW282" s="18"/>
      <c r="WX282" s="18"/>
      <c r="WY282" s="18"/>
      <c r="WZ282" s="18"/>
      <c r="XA282" s="18"/>
      <c r="XB282" s="18"/>
      <c r="XC282" s="18"/>
      <c r="XD282" s="18"/>
      <c r="XE282" s="18"/>
      <c r="XF282" s="18"/>
      <c r="XG282" s="18"/>
      <c r="XH282" s="18"/>
      <c r="XI282" s="18"/>
      <c r="XJ282" s="18"/>
      <c r="XK282" s="18"/>
      <c r="XL282" s="18"/>
      <c r="XM282" s="18"/>
      <c r="XN282" s="18"/>
      <c r="XO282" s="18"/>
      <c r="XP282" s="18"/>
      <c r="XQ282" s="18"/>
      <c r="XR282" s="18"/>
      <c r="XS282" s="18"/>
      <c r="XT282" s="18"/>
      <c r="XU282" s="18"/>
      <c r="XV282" s="18"/>
      <c r="XW282" s="18"/>
      <c r="XX282" s="18"/>
      <c r="XY282" s="18"/>
      <c r="XZ282" s="18"/>
      <c r="YA282" s="18"/>
      <c r="YB282" s="18"/>
      <c r="YC282" s="18"/>
      <c r="YD282" s="18"/>
      <c r="YE282" s="18"/>
      <c r="YF282" s="18"/>
      <c r="YG282" s="18"/>
      <c r="YH282" s="18"/>
      <c r="YI282" s="18"/>
      <c r="YJ282" s="18"/>
      <c r="YK282" s="18"/>
      <c r="YL282" s="18"/>
      <c r="YM282" s="18"/>
      <c r="YN282" s="18"/>
      <c r="YO282" s="18"/>
      <c r="YP282" s="18"/>
      <c r="YQ282" s="18"/>
      <c r="YR282" s="18"/>
      <c r="YS282" s="18"/>
      <c r="YT282" s="18"/>
      <c r="YU282" s="18"/>
      <c r="YV282" s="18"/>
      <c r="YW282" s="18"/>
      <c r="YX282" s="18"/>
      <c r="YY282" s="18"/>
      <c r="YZ282" s="18"/>
      <c r="ZA282" s="18"/>
      <c r="ZB282" s="18"/>
      <c r="ZC282" s="18"/>
      <c r="ZD282" s="18"/>
      <c r="ZE282" s="18"/>
      <c r="ZF282" s="18"/>
      <c r="ZG282" s="18"/>
      <c r="ZH282" s="18"/>
      <c r="ZI282" s="18"/>
      <c r="ZJ282" s="18"/>
      <c r="ZK282" s="18"/>
      <c r="ZL282" s="18"/>
      <c r="ZM282" s="18"/>
      <c r="ZN282" s="18"/>
      <c r="ZO282" s="18"/>
      <c r="ZP282" s="18"/>
      <c r="ZQ282" s="18"/>
      <c r="ZR282" s="18"/>
      <c r="ZS282" s="18"/>
      <c r="ZT282" s="18"/>
      <c r="ZU282" s="18"/>
      <c r="ZV282" s="18"/>
      <c r="ZW282" s="18"/>
      <c r="ZX282" s="18"/>
      <c r="ZY282" s="18"/>
      <c r="ZZ282" s="18"/>
      <c r="AAA282" s="18"/>
      <c r="AAB282" s="18"/>
      <c r="AAC282" s="18"/>
      <c r="AAD282" s="18"/>
      <c r="AAE282" s="18"/>
      <c r="AAF282" s="18"/>
      <c r="AAG282" s="18"/>
      <c r="AAH282" s="18"/>
      <c r="AAI282" s="18"/>
      <c r="AAJ282" s="18"/>
      <c r="AAK282" s="18"/>
      <c r="AAL282" s="18"/>
      <c r="AAM282" s="18"/>
      <c r="AAN282" s="18"/>
      <c r="AAO282" s="18"/>
      <c r="AAP282" s="18"/>
      <c r="AAQ282" s="18"/>
      <c r="AAR282" s="18"/>
      <c r="AAS282" s="18"/>
      <c r="AAT282" s="18"/>
      <c r="AAU282" s="18"/>
      <c r="AAV282" s="18"/>
      <c r="AAW282" s="18"/>
      <c r="AAX282" s="18"/>
      <c r="AAY282" s="18"/>
      <c r="AAZ282" s="18"/>
      <c r="ABA282" s="18"/>
      <c r="ABB282" s="18"/>
      <c r="ABC282" s="18"/>
      <c r="ABD282" s="18"/>
      <c r="ABE282" s="18"/>
      <c r="ABF282" s="18"/>
      <c r="ABG282" s="18"/>
      <c r="ABH282" s="18"/>
      <c r="ABI282" s="18"/>
      <c r="ABJ282" s="18"/>
      <c r="ABK282" s="18"/>
      <c r="ABL282" s="18"/>
      <c r="ABM282" s="18"/>
      <c r="ABN282" s="18"/>
      <c r="ABO282" s="18"/>
      <c r="ABP282" s="18"/>
      <c r="ABQ282" s="18"/>
      <c r="ABR282" s="18"/>
      <c r="ABS282" s="18"/>
      <c r="ABT282" s="18"/>
      <c r="ABU282" s="18"/>
      <c r="ABV282" s="18"/>
      <c r="ABW282" s="18"/>
      <c r="ABX282" s="18"/>
      <c r="ABY282" s="18"/>
      <c r="ABZ282" s="18"/>
      <c r="ACA282" s="18"/>
      <c r="ACB282" s="18"/>
      <c r="ACC282" s="18"/>
      <c r="ACD282" s="18"/>
      <c r="ACE282" s="18"/>
      <c r="ACF282" s="18"/>
      <c r="ACG282" s="18"/>
      <c r="ACH282" s="18"/>
      <c r="ACI282" s="18"/>
      <c r="ACJ282" s="18"/>
      <c r="ACK282" s="18"/>
      <c r="ACL282" s="18"/>
      <c r="ACM282" s="18"/>
      <c r="ACN282" s="18"/>
      <c r="ACO282" s="18"/>
      <c r="ACP282" s="18"/>
      <c r="ACQ282" s="18"/>
      <c r="ACR282" s="18"/>
      <c r="ACS282" s="18"/>
      <c r="ACT282" s="18"/>
      <c r="ACU282" s="18"/>
      <c r="ACV282" s="18"/>
      <c r="ACW282" s="18"/>
      <c r="ACX282" s="18"/>
      <c r="ACY282" s="18"/>
      <c r="ACZ282" s="18"/>
      <c r="ADA282" s="18"/>
      <c r="ADB282" s="18"/>
      <c r="ADC282" s="18"/>
      <c r="ADD282" s="18"/>
      <c r="ADE282" s="18"/>
      <c r="ADF282" s="18"/>
      <c r="ADG282" s="18"/>
      <c r="ADH282" s="18"/>
      <c r="ADI282" s="18"/>
      <c r="ADJ282" s="18"/>
      <c r="ADK282" s="18"/>
      <c r="ADL282" s="18"/>
      <c r="ADM282" s="18"/>
      <c r="ADN282" s="18"/>
      <c r="ADO282" s="18"/>
      <c r="ADP282" s="18"/>
      <c r="ADQ282" s="18"/>
      <c r="ADR282" s="18"/>
      <c r="ADS282" s="18"/>
      <c r="ADT282" s="18"/>
      <c r="ADU282" s="18"/>
      <c r="ADV282" s="18"/>
      <c r="ADW282" s="18"/>
      <c r="ADX282" s="18"/>
      <c r="ADY282" s="18"/>
      <c r="ADZ282" s="18"/>
      <c r="AEA282" s="18"/>
      <c r="AEB282" s="18"/>
      <c r="AEC282" s="18"/>
      <c r="AED282" s="18"/>
      <c r="AEE282" s="18"/>
      <c r="AEF282" s="18"/>
      <c r="AEG282" s="18"/>
      <c r="AEH282" s="18"/>
      <c r="AEI282" s="18"/>
      <c r="AEJ282" s="18"/>
      <c r="AEK282" s="18"/>
      <c r="AEL282" s="18"/>
      <c r="AEM282" s="18"/>
      <c r="AEN282" s="18"/>
      <c r="AEO282" s="18"/>
      <c r="AEP282" s="18"/>
      <c r="AEQ282" s="18"/>
      <c r="AER282" s="18"/>
      <c r="AES282" s="18"/>
      <c r="AET282" s="18"/>
      <c r="AEU282" s="18"/>
      <c r="AEV282" s="18"/>
      <c r="AEW282" s="18"/>
      <c r="AEX282" s="18"/>
      <c r="AEY282" s="18"/>
      <c r="AEZ282" s="18"/>
      <c r="AFA282" s="18"/>
      <c r="AFB282" s="18"/>
      <c r="AFC282" s="18"/>
      <c r="AFD282" s="18"/>
      <c r="AFE282" s="18"/>
      <c r="AFF282" s="18"/>
      <c r="AFG282" s="18"/>
      <c r="AFH282" s="18"/>
      <c r="AFI282" s="18"/>
      <c r="AFJ282" s="18"/>
      <c r="AFK282" s="18"/>
      <c r="AFL282" s="18"/>
      <c r="AFM282" s="18"/>
      <c r="AFN282" s="18"/>
      <c r="AFO282" s="18"/>
      <c r="AFP282" s="18"/>
      <c r="AFQ282" s="18"/>
      <c r="AFR282" s="18"/>
      <c r="AFS282" s="18"/>
      <c r="AFT282" s="18"/>
      <c r="AFU282" s="18"/>
      <c r="AFV282" s="18"/>
      <c r="AFW282" s="18"/>
      <c r="AFX282" s="18"/>
      <c r="AFY282" s="18"/>
      <c r="AFZ282" s="18"/>
      <c r="AGA282" s="18"/>
      <c r="AGB282" s="18"/>
      <c r="AGC282" s="18"/>
      <c r="AGD282" s="18"/>
      <c r="AGE282" s="18"/>
      <c r="AGF282" s="18"/>
      <c r="AGG282" s="18"/>
      <c r="AGH282" s="18"/>
      <c r="AGI282" s="18"/>
      <c r="AGJ282" s="18"/>
      <c r="AGK282" s="18"/>
      <c r="AGL282" s="18"/>
      <c r="AGM282" s="18"/>
      <c r="AGN282" s="18"/>
      <c r="AGO282" s="18"/>
      <c r="AGP282" s="18"/>
      <c r="AGQ282" s="18"/>
      <c r="AGR282" s="18"/>
      <c r="AGS282" s="18"/>
      <c r="AGT282" s="18"/>
      <c r="AGU282" s="18"/>
      <c r="AGV282" s="18"/>
      <c r="AGW282" s="18"/>
      <c r="AGX282" s="18"/>
      <c r="AGY282" s="18"/>
      <c r="AGZ282" s="18"/>
      <c r="AHA282" s="18"/>
      <c r="AHB282" s="18"/>
      <c r="AHC282" s="18"/>
      <c r="AHD282" s="18"/>
      <c r="AHE282" s="18"/>
      <c r="AHF282" s="18"/>
      <c r="AHG282" s="18"/>
      <c r="AHH282" s="18"/>
      <c r="AHI282" s="18"/>
      <c r="AHJ282" s="18"/>
      <c r="AHK282" s="18"/>
      <c r="AHL282" s="18"/>
      <c r="AHM282" s="18"/>
      <c r="AHN282" s="18"/>
      <c r="AHO282" s="18"/>
      <c r="AHP282" s="18"/>
      <c r="AHQ282" s="18"/>
      <c r="AHR282" s="18"/>
      <c r="AHS282" s="18"/>
      <c r="AHT282" s="18"/>
      <c r="AHU282" s="18"/>
      <c r="AHV282" s="18"/>
      <c r="AHW282" s="18"/>
      <c r="AHX282" s="18"/>
      <c r="AHY282" s="18"/>
      <c r="AHZ282" s="18"/>
      <c r="AIA282" s="18"/>
      <c r="AIB282" s="18"/>
      <c r="AIC282" s="18"/>
      <c r="AID282" s="18"/>
      <c r="AIE282" s="18"/>
      <c r="AIF282" s="18"/>
      <c r="AIG282" s="18"/>
      <c r="AIH282" s="18"/>
      <c r="AII282" s="18"/>
      <c r="AIJ282" s="18"/>
      <c r="AIK282" s="18"/>
      <c r="AIL282" s="18"/>
      <c r="AIM282" s="18"/>
      <c r="AIN282" s="18"/>
      <c r="AIO282" s="18"/>
      <c r="AIP282" s="18"/>
      <c r="AIQ282" s="18"/>
      <c r="AIR282" s="18"/>
      <c r="AIS282" s="18"/>
      <c r="AIT282" s="18"/>
      <c r="AIU282" s="18"/>
      <c r="AIV282" s="18"/>
      <c r="AIW282" s="18"/>
      <c r="AIX282" s="18"/>
      <c r="AIY282" s="18"/>
      <c r="AIZ282" s="18"/>
      <c r="AJA282" s="18"/>
      <c r="AJB282" s="18"/>
      <c r="AJC282" s="18"/>
      <c r="AJD282" s="18"/>
      <c r="AJE282" s="18"/>
      <c r="AJF282" s="18"/>
      <c r="AJG282" s="18"/>
      <c r="AJH282" s="18"/>
      <c r="AJI282" s="18"/>
      <c r="AJJ282" s="18"/>
      <c r="AJK282" s="18"/>
      <c r="AJL282" s="18"/>
      <c r="AJM282" s="18"/>
      <c r="AJN282" s="18"/>
      <c r="AJO282" s="18"/>
      <c r="AJP282" s="18"/>
      <c r="AJQ282" s="18"/>
      <c r="AJR282" s="18"/>
      <c r="AJS282" s="18"/>
      <c r="AJT282" s="18"/>
      <c r="AJU282" s="18"/>
      <c r="AJV282" s="18"/>
      <c r="AJW282" s="18"/>
      <c r="AJX282" s="18"/>
      <c r="AJY282" s="18"/>
      <c r="AJZ282" s="18"/>
      <c r="AKA282" s="18"/>
      <c r="AKB282" s="18"/>
      <c r="AKC282" s="18"/>
      <c r="AKD282" s="18"/>
      <c r="AKE282" s="18"/>
      <c r="AKF282" s="18"/>
      <c r="AKG282" s="18"/>
      <c r="AKH282" s="18"/>
      <c r="AKI282" s="18"/>
      <c r="AKJ282" s="18"/>
      <c r="AKK282" s="18"/>
      <c r="AKL282" s="18"/>
      <c r="AKM282" s="18"/>
      <c r="AKN282" s="18"/>
      <c r="AKO282" s="18"/>
      <c r="AKP282" s="18"/>
      <c r="AKQ282" s="18"/>
      <c r="AKR282" s="18"/>
      <c r="AKS282" s="18"/>
      <c r="AKT282" s="18"/>
      <c r="AKU282" s="18"/>
      <c r="AKV282" s="18"/>
      <c r="AKW282" s="18"/>
      <c r="AKX282" s="18"/>
      <c r="AKY282" s="18"/>
      <c r="AKZ282" s="18"/>
      <c r="ALA282" s="18"/>
      <c r="ALB282" s="18"/>
      <c r="ALC282" s="18"/>
      <c r="ALD282" s="18"/>
      <c r="ALE282" s="18"/>
      <c r="ALF282" s="18"/>
      <c r="ALG282" s="18"/>
      <c r="ALH282" s="18"/>
      <c r="ALI282" s="18"/>
      <c r="ALJ282" s="18"/>
      <c r="ALK282" s="18"/>
      <c r="ALL282" s="18"/>
      <c r="ALM282" s="18"/>
      <c r="ALN282" s="18"/>
      <c r="ALO282" s="18"/>
      <c r="ALP282" s="18"/>
      <c r="ALQ282" s="18"/>
      <c r="ALR282" s="18"/>
      <c r="ALS282" s="18"/>
      <c r="ALT282" s="18"/>
      <c r="ALU282" s="18"/>
      <c r="ALV282" s="18"/>
      <c r="ALW282" s="18"/>
      <c r="ALX282" s="18"/>
      <c r="ALY282" s="18"/>
      <c r="ALZ282" s="18"/>
      <c r="AMA282" s="18"/>
      <c r="AMB282" s="18"/>
      <c r="AMC282" s="18"/>
      <c r="AMD282" s="18"/>
      <c r="AME282" s="18"/>
      <c r="AMF282" s="18"/>
      <c r="AMG282" s="18"/>
      <c r="AMH282" s="18"/>
      <c r="AMI282" s="18"/>
      <c r="AMJ282" s="18"/>
      <c r="AMK282" s="18"/>
      <c r="AML282" s="18"/>
      <c r="AMM282" s="31"/>
    </row>
    <row r="283" spans="1:1027" s="18" customFormat="1" x14ac:dyDescent="0.2">
      <c r="A283" s="18">
        <v>4</v>
      </c>
      <c r="B283" s="18" t="s">
        <v>869</v>
      </c>
      <c r="C283" s="18" t="s">
        <v>870</v>
      </c>
      <c r="D283" s="18">
        <v>265</v>
      </c>
      <c r="E283" s="19" t="s">
        <v>507</v>
      </c>
      <c r="F283" s="19" t="s">
        <v>507</v>
      </c>
      <c r="G283" s="20" t="s">
        <v>508</v>
      </c>
      <c r="H283" s="19" t="s">
        <v>507</v>
      </c>
      <c r="I283" s="19"/>
      <c r="J283" s="19" t="s">
        <v>507</v>
      </c>
      <c r="K283" s="21" t="s">
        <v>509</v>
      </c>
      <c r="M283" s="1" t="s">
        <v>708</v>
      </c>
      <c r="N283" s="1"/>
      <c r="S283" s="13" t="s">
        <v>871</v>
      </c>
      <c r="T283" s="6"/>
      <c r="U283" s="1"/>
      <c r="V283" s="1"/>
      <c r="W283" s="1"/>
      <c r="X283" s="1"/>
      <c r="Y283" s="1"/>
      <c r="Z283" s="1"/>
      <c r="AA283" s="30"/>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c r="ADD283" s="1"/>
      <c r="ADE283" s="1"/>
      <c r="ADF283" s="1"/>
      <c r="ADG283" s="1"/>
      <c r="ADH283" s="1"/>
      <c r="ADI283" s="1"/>
      <c r="ADJ283" s="1"/>
      <c r="ADK283" s="1"/>
      <c r="ADL283" s="1"/>
      <c r="ADM283" s="1"/>
      <c r="ADN283" s="1"/>
      <c r="ADO283" s="1"/>
      <c r="ADP283" s="1"/>
      <c r="ADQ283" s="1"/>
      <c r="ADR283" s="1"/>
      <c r="ADS283" s="1"/>
      <c r="ADT283" s="1"/>
      <c r="ADU283" s="1"/>
      <c r="ADV283" s="1"/>
      <c r="ADW283" s="1"/>
      <c r="ADX283" s="1"/>
      <c r="ADY283" s="1"/>
      <c r="ADZ283" s="1"/>
      <c r="AEA283" s="1"/>
      <c r="AEB283" s="1"/>
      <c r="AEC283" s="1"/>
      <c r="AED283" s="1"/>
      <c r="AEE283" s="1"/>
      <c r="AEF283" s="1"/>
      <c r="AEG283" s="1"/>
      <c r="AEH283" s="1"/>
      <c r="AEI283" s="1"/>
      <c r="AEJ283" s="1"/>
      <c r="AEK283" s="1"/>
      <c r="AEL283" s="1"/>
      <c r="AEM283" s="1"/>
      <c r="AEN283" s="1"/>
      <c r="AEO283" s="1"/>
      <c r="AEP283" s="1"/>
      <c r="AEQ283" s="1"/>
      <c r="AER283" s="1"/>
      <c r="AES283" s="1"/>
      <c r="AET283" s="1"/>
      <c r="AEU283" s="1"/>
      <c r="AEV283" s="1"/>
      <c r="AEW283" s="1"/>
      <c r="AEX283" s="1"/>
      <c r="AEY283" s="1"/>
      <c r="AEZ283" s="1"/>
      <c r="AFA283" s="1"/>
      <c r="AFB283" s="1"/>
      <c r="AFC283" s="1"/>
      <c r="AFD283" s="1"/>
      <c r="AFE283" s="1"/>
      <c r="AFF283" s="1"/>
      <c r="AFG283" s="1"/>
      <c r="AFH283" s="1"/>
      <c r="AFI283" s="1"/>
      <c r="AFJ283" s="1"/>
      <c r="AFK283" s="1"/>
      <c r="AFL283" s="1"/>
      <c r="AFM283" s="1"/>
      <c r="AFN283" s="1"/>
      <c r="AFO283" s="1"/>
      <c r="AFP283" s="1"/>
      <c r="AFQ283" s="1"/>
      <c r="AFR283" s="1"/>
      <c r="AFS283" s="1"/>
      <c r="AFT283" s="1"/>
      <c r="AFU283" s="1"/>
      <c r="AFV283" s="1"/>
      <c r="AFW283" s="1"/>
      <c r="AFX283" s="1"/>
      <c r="AFY283" s="1"/>
      <c r="AFZ283" s="1"/>
      <c r="AGA283" s="1"/>
      <c r="AGB283" s="1"/>
      <c r="AGC283" s="1"/>
      <c r="AGD283" s="1"/>
      <c r="AGE283" s="1"/>
      <c r="AGF283" s="1"/>
      <c r="AGG283" s="1"/>
      <c r="AGH283" s="1"/>
      <c r="AGI283" s="1"/>
      <c r="AGJ283" s="1"/>
      <c r="AGK283" s="1"/>
      <c r="AGL283" s="1"/>
      <c r="AGM283" s="1"/>
      <c r="AGN283" s="1"/>
      <c r="AGO283" s="1"/>
      <c r="AGP283" s="1"/>
      <c r="AGQ283" s="1"/>
      <c r="AGR283" s="1"/>
      <c r="AGS283" s="1"/>
      <c r="AGT283" s="1"/>
      <c r="AGU283" s="1"/>
      <c r="AGV283" s="1"/>
      <c r="AGW283" s="1"/>
      <c r="AGX283" s="1"/>
      <c r="AGY283" s="1"/>
      <c r="AGZ283" s="1"/>
      <c r="AHA283" s="1"/>
      <c r="AHB283" s="1"/>
      <c r="AHC283" s="1"/>
      <c r="AHD283" s="1"/>
      <c r="AHE283" s="1"/>
      <c r="AHF283" s="1"/>
      <c r="AHG283" s="1"/>
      <c r="AHH283" s="1"/>
      <c r="AHI283" s="1"/>
      <c r="AHJ283" s="1"/>
      <c r="AHK283" s="1"/>
      <c r="AHL283" s="1"/>
      <c r="AHM283" s="1"/>
      <c r="AHN283" s="1"/>
      <c r="AHO283" s="1"/>
      <c r="AHP283" s="1"/>
      <c r="AHQ283" s="1"/>
      <c r="AHR283" s="1"/>
      <c r="AHS283" s="1"/>
      <c r="AHT283" s="1"/>
      <c r="AHU283" s="1"/>
      <c r="AHV283" s="1"/>
      <c r="AHW283" s="1"/>
      <c r="AHX283" s="1"/>
      <c r="AHY283" s="1"/>
      <c r="AHZ283" s="1"/>
      <c r="AIA283" s="1"/>
      <c r="AIB283" s="1"/>
      <c r="AIC283" s="1"/>
      <c r="AID283" s="1"/>
      <c r="AIE283" s="1"/>
      <c r="AIF283" s="1"/>
      <c r="AIG283" s="1"/>
      <c r="AIH283" s="1"/>
      <c r="AII283" s="1"/>
      <c r="AIJ283" s="1"/>
      <c r="AIK283" s="1"/>
      <c r="AIL283" s="1"/>
      <c r="AIM283" s="1"/>
      <c r="AIN283" s="1"/>
      <c r="AIO283" s="1"/>
      <c r="AIP283" s="1"/>
      <c r="AIQ283" s="1"/>
      <c r="AIR283" s="1"/>
      <c r="AIS283" s="1"/>
      <c r="AIT283" s="1"/>
      <c r="AIU283" s="1"/>
      <c r="AIV283" s="1"/>
      <c r="AIW283" s="1"/>
      <c r="AIX283" s="1"/>
      <c r="AIY283" s="1"/>
      <c r="AIZ283" s="1"/>
      <c r="AJA283" s="1"/>
      <c r="AJB283" s="1"/>
      <c r="AJC283" s="1"/>
      <c r="AJD283" s="1"/>
      <c r="AJE283" s="1"/>
      <c r="AJF283" s="1"/>
      <c r="AJG283" s="1"/>
      <c r="AJH283" s="1"/>
      <c r="AJI283" s="1"/>
      <c r="AJJ283" s="1"/>
      <c r="AJK283" s="1"/>
      <c r="AJL283" s="1"/>
      <c r="AJM283" s="1"/>
      <c r="AJN283" s="1"/>
      <c r="AJO283" s="1"/>
      <c r="AJP283" s="1"/>
      <c r="AJQ283" s="1"/>
      <c r="AJR283" s="1"/>
      <c r="AJS283" s="1"/>
      <c r="AJT283" s="1"/>
      <c r="AJU283" s="1"/>
      <c r="AJV283" s="1"/>
      <c r="AJW283" s="1"/>
      <c r="AJX283" s="1"/>
      <c r="AJY283" s="1"/>
      <c r="AJZ283" s="1"/>
      <c r="AKA283" s="1"/>
      <c r="AKB283" s="1"/>
      <c r="AKC283" s="1"/>
      <c r="AKD283" s="1"/>
      <c r="AKE283" s="1"/>
      <c r="AKF283" s="1"/>
      <c r="AKG283" s="1"/>
      <c r="AKH283" s="1"/>
      <c r="AKI283" s="1"/>
      <c r="AKJ283" s="1"/>
      <c r="AKK283" s="1"/>
      <c r="AKL283" s="1"/>
      <c r="AKM283" s="1"/>
      <c r="AKN283" s="1"/>
      <c r="AKO283" s="1"/>
      <c r="AKP283" s="1"/>
      <c r="AKQ283" s="1"/>
      <c r="AKR283" s="1"/>
      <c r="AKS283" s="1"/>
      <c r="AKT283" s="1"/>
      <c r="AKU283" s="1"/>
      <c r="AKV283" s="1"/>
      <c r="AKW283" s="1"/>
      <c r="AKX283" s="1"/>
      <c r="AKY283" s="1"/>
      <c r="AKZ283" s="1"/>
      <c r="ALA283" s="1"/>
      <c r="ALB283" s="1"/>
      <c r="ALC283" s="1"/>
      <c r="ALD283" s="1"/>
      <c r="ALE283" s="1"/>
      <c r="ALF283" s="1"/>
      <c r="ALG283" s="1"/>
      <c r="ALH283" s="1"/>
      <c r="ALI283" s="1"/>
      <c r="ALJ283" s="1"/>
      <c r="ALK283" s="1"/>
      <c r="ALL283" s="1"/>
      <c r="ALM283" s="1"/>
      <c r="ALN283" s="1"/>
      <c r="ALO283" s="1"/>
      <c r="ALP283" s="1"/>
      <c r="ALQ283" s="1"/>
      <c r="ALR283" s="1"/>
      <c r="ALS283" s="1"/>
      <c r="ALT283" s="1"/>
      <c r="ALU283" s="1"/>
      <c r="ALV283" s="1"/>
      <c r="ALW283" s="1"/>
      <c r="ALX283" s="1"/>
      <c r="ALY283" s="1"/>
      <c r="ALZ283" s="1"/>
      <c r="AMA283" s="1"/>
      <c r="AMB283" s="1"/>
      <c r="AMC283" s="1"/>
      <c r="AMD283" s="1"/>
      <c r="AME283" s="1"/>
      <c r="AMF283" s="1"/>
      <c r="AMG283" s="1"/>
      <c r="AMH283" s="1"/>
      <c r="AMI283" s="1"/>
      <c r="AMJ283" s="1"/>
      <c r="AMK283" s="1"/>
    </row>
    <row r="284" spans="1:1027" s="31" customFormat="1" x14ac:dyDescent="0.2">
      <c r="A284" s="18">
        <v>3</v>
      </c>
      <c r="B284" s="18" t="s">
        <v>872</v>
      </c>
      <c r="C284" s="18" t="s">
        <v>873</v>
      </c>
      <c r="D284" s="18">
        <v>340</v>
      </c>
      <c r="E284" s="42" t="s">
        <v>507</v>
      </c>
      <c r="F284" s="42" t="s">
        <v>507</v>
      </c>
      <c r="G284" s="43" t="s">
        <v>508</v>
      </c>
      <c r="H284" s="42" t="s">
        <v>507</v>
      </c>
      <c r="I284" s="42"/>
      <c r="J284" s="80" t="s">
        <v>507</v>
      </c>
      <c r="K284" s="21" t="s">
        <v>509</v>
      </c>
      <c r="L284" s="18"/>
      <c r="M284" s="1" t="s">
        <v>598</v>
      </c>
      <c r="N284" s="1"/>
      <c r="O284" s="18"/>
      <c r="P284" s="18"/>
      <c r="Q284" s="18"/>
      <c r="R284" s="18"/>
      <c r="S284" s="13" t="s">
        <v>874</v>
      </c>
      <c r="T284" s="6"/>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c r="DV284" s="18"/>
      <c r="DW284" s="18"/>
      <c r="DX284" s="18"/>
      <c r="DY284" s="18"/>
      <c r="DZ284" s="18"/>
      <c r="EA284" s="18"/>
      <c r="EB284" s="18"/>
      <c r="EC284" s="18"/>
      <c r="ED284" s="18"/>
      <c r="EE284" s="18"/>
      <c r="EF284" s="18"/>
      <c r="EG284" s="18"/>
      <c r="EH284" s="18"/>
      <c r="EI284" s="18"/>
      <c r="EJ284" s="18"/>
      <c r="EK284" s="18"/>
      <c r="EL284" s="18"/>
      <c r="EM284" s="18"/>
      <c r="EN284" s="18"/>
      <c r="EO284" s="18"/>
      <c r="EP284" s="18"/>
      <c r="EQ284" s="18"/>
      <c r="ER284" s="18"/>
      <c r="ES284" s="18"/>
      <c r="ET284" s="18"/>
      <c r="EU284" s="18"/>
      <c r="EV284" s="18"/>
      <c r="EW284" s="18"/>
      <c r="EX284" s="18"/>
      <c r="EY284" s="18"/>
      <c r="EZ284" s="18"/>
      <c r="FA284" s="18"/>
      <c r="FB284" s="18"/>
      <c r="FC284" s="18"/>
      <c r="FD284" s="18"/>
      <c r="FE284" s="18"/>
      <c r="FF284" s="18"/>
      <c r="FG284" s="18"/>
      <c r="FH284" s="18"/>
      <c r="FI284" s="18"/>
      <c r="FJ284" s="18"/>
      <c r="FK284" s="18"/>
      <c r="FL284" s="18"/>
      <c r="FM284" s="18"/>
      <c r="FN284" s="18"/>
      <c r="FO284" s="18"/>
      <c r="FP284" s="18"/>
      <c r="FQ284" s="18"/>
      <c r="FR284" s="18"/>
      <c r="FS284" s="18"/>
      <c r="FT284" s="18"/>
      <c r="FU284" s="18"/>
      <c r="FV284" s="18"/>
      <c r="FW284" s="18"/>
      <c r="FX284" s="18"/>
      <c r="FY284" s="18"/>
      <c r="FZ284" s="18"/>
      <c r="GA284" s="18"/>
      <c r="GB284" s="18"/>
      <c r="GC284" s="18"/>
      <c r="GD284" s="18"/>
      <c r="GE284" s="18"/>
      <c r="GF284" s="18"/>
      <c r="GG284" s="18"/>
      <c r="GH284" s="18"/>
      <c r="GI284" s="18"/>
      <c r="GJ284" s="18"/>
      <c r="GK284" s="18"/>
      <c r="GL284" s="18"/>
      <c r="GM284" s="18"/>
      <c r="GN284" s="18"/>
      <c r="GO284" s="18"/>
      <c r="GP284" s="18"/>
      <c r="GQ284" s="18"/>
      <c r="GR284" s="18"/>
      <c r="GS284" s="18"/>
      <c r="GT284" s="18"/>
      <c r="GU284" s="18"/>
      <c r="GV284" s="18"/>
      <c r="GW284" s="18"/>
      <c r="GX284" s="18"/>
      <c r="GY284" s="18"/>
      <c r="GZ284" s="18"/>
      <c r="HA284" s="18"/>
      <c r="HB284" s="18"/>
      <c r="HC284" s="18"/>
      <c r="HD284" s="18"/>
      <c r="HE284" s="18"/>
      <c r="HF284" s="18"/>
      <c r="HG284" s="18"/>
      <c r="HH284" s="18"/>
      <c r="HI284" s="18"/>
      <c r="HJ284" s="18"/>
      <c r="HK284" s="18"/>
      <c r="HL284" s="18"/>
      <c r="HM284" s="18"/>
      <c r="HN284" s="18"/>
      <c r="HO284" s="18"/>
      <c r="HP284" s="18"/>
      <c r="HQ284" s="18"/>
      <c r="HR284" s="18"/>
      <c r="HS284" s="18"/>
      <c r="HT284" s="18"/>
      <c r="HU284" s="18"/>
      <c r="HV284" s="18"/>
      <c r="HW284" s="18"/>
      <c r="HX284" s="18"/>
      <c r="HY284" s="18"/>
      <c r="HZ284" s="18"/>
      <c r="IA284" s="18"/>
      <c r="IB284" s="18"/>
      <c r="IC284" s="18"/>
      <c r="ID284" s="18"/>
      <c r="IE284" s="18"/>
      <c r="IF284" s="18"/>
      <c r="IG284" s="18"/>
      <c r="IH284" s="18"/>
      <c r="II284" s="18"/>
      <c r="IJ284" s="18"/>
      <c r="IK284" s="18"/>
      <c r="IL284" s="18"/>
      <c r="IM284" s="18"/>
      <c r="IN284" s="18"/>
      <c r="IO284" s="18"/>
      <c r="IP284" s="18"/>
      <c r="IQ284" s="18"/>
      <c r="IR284" s="18"/>
      <c r="IS284" s="18"/>
      <c r="IT284" s="18"/>
      <c r="IU284" s="18"/>
      <c r="IV284" s="18"/>
      <c r="IW284" s="18"/>
      <c r="IX284" s="18"/>
      <c r="IY284" s="18"/>
      <c r="IZ284" s="18"/>
      <c r="JA284" s="18"/>
      <c r="JB284" s="18"/>
      <c r="JC284" s="18"/>
      <c r="JD284" s="18"/>
      <c r="JE284" s="18"/>
      <c r="JF284" s="18"/>
      <c r="JG284" s="18"/>
      <c r="JH284" s="18"/>
      <c r="JI284" s="18"/>
      <c r="JJ284" s="18"/>
      <c r="JK284" s="18"/>
      <c r="JL284" s="18"/>
      <c r="JM284" s="18"/>
      <c r="JN284" s="18"/>
      <c r="JO284" s="18"/>
      <c r="JP284" s="18"/>
      <c r="JQ284" s="18"/>
      <c r="JR284" s="18"/>
      <c r="JS284" s="18"/>
      <c r="JT284" s="18"/>
      <c r="JU284" s="18"/>
      <c r="JV284" s="18"/>
      <c r="JW284" s="18"/>
      <c r="JX284" s="18"/>
      <c r="JY284" s="18"/>
      <c r="JZ284" s="18"/>
      <c r="KA284" s="18"/>
      <c r="KB284" s="18"/>
      <c r="KC284" s="18"/>
      <c r="KD284" s="18"/>
      <c r="KE284" s="18"/>
      <c r="KF284" s="18"/>
      <c r="KG284" s="18"/>
      <c r="KH284" s="18"/>
      <c r="KI284" s="18"/>
      <c r="KJ284" s="18"/>
      <c r="KK284" s="18"/>
      <c r="KL284" s="18"/>
      <c r="KM284" s="18"/>
      <c r="KN284" s="18"/>
      <c r="KO284" s="18"/>
      <c r="KP284" s="18"/>
      <c r="KQ284" s="18"/>
      <c r="KR284" s="18"/>
      <c r="KS284" s="18"/>
      <c r="KT284" s="18"/>
      <c r="KU284" s="18"/>
      <c r="KV284" s="18"/>
      <c r="KW284" s="18"/>
      <c r="KX284" s="18"/>
      <c r="KY284" s="18"/>
      <c r="KZ284" s="18"/>
      <c r="LA284" s="18"/>
      <c r="LB284" s="18"/>
      <c r="LC284" s="18"/>
      <c r="LD284" s="18"/>
      <c r="LE284" s="18"/>
      <c r="LF284" s="18"/>
      <c r="LG284" s="18"/>
      <c r="LH284" s="18"/>
      <c r="LI284" s="18"/>
      <c r="LJ284" s="18"/>
      <c r="LK284" s="18"/>
      <c r="LL284" s="18"/>
      <c r="LM284" s="18"/>
      <c r="LN284" s="18"/>
      <c r="LO284" s="18"/>
      <c r="LP284" s="18"/>
      <c r="LQ284" s="18"/>
      <c r="LR284" s="18"/>
      <c r="LS284" s="18"/>
      <c r="LT284" s="18"/>
      <c r="LU284" s="18"/>
      <c r="LV284" s="18"/>
      <c r="LW284" s="18"/>
      <c r="LX284" s="18"/>
      <c r="LY284" s="18"/>
      <c r="LZ284" s="18"/>
      <c r="MA284" s="18"/>
      <c r="MB284" s="18"/>
      <c r="MC284" s="18"/>
      <c r="MD284" s="18"/>
      <c r="ME284" s="18"/>
      <c r="MF284" s="18"/>
      <c r="MG284" s="18"/>
      <c r="MH284" s="18"/>
      <c r="MI284" s="18"/>
      <c r="MJ284" s="18"/>
      <c r="MK284" s="18"/>
      <c r="ML284" s="18"/>
      <c r="MM284" s="18"/>
      <c r="MN284" s="18"/>
      <c r="MO284" s="18"/>
      <c r="MP284" s="18"/>
      <c r="MQ284" s="18"/>
      <c r="MR284" s="18"/>
      <c r="MS284" s="18"/>
      <c r="MT284" s="18"/>
      <c r="MU284" s="18"/>
      <c r="MV284" s="18"/>
      <c r="MW284" s="18"/>
      <c r="MX284" s="18"/>
      <c r="MY284" s="18"/>
      <c r="MZ284" s="18"/>
      <c r="NA284" s="18"/>
      <c r="NB284" s="18"/>
      <c r="NC284" s="18"/>
      <c r="ND284" s="18"/>
      <c r="NE284" s="18"/>
      <c r="NF284" s="18"/>
      <c r="NG284" s="18"/>
      <c r="NH284" s="18"/>
      <c r="NI284" s="18"/>
      <c r="NJ284" s="18"/>
      <c r="NK284" s="18"/>
      <c r="NL284" s="18"/>
      <c r="NM284" s="18"/>
      <c r="NN284" s="18"/>
      <c r="NO284" s="18"/>
      <c r="NP284" s="18"/>
      <c r="NQ284" s="18"/>
      <c r="NR284" s="18"/>
      <c r="NS284" s="18"/>
      <c r="NT284" s="18"/>
      <c r="NU284" s="18"/>
      <c r="NV284" s="18"/>
      <c r="NW284" s="18"/>
      <c r="NX284" s="18"/>
      <c r="NY284" s="18"/>
      <c r="NZ284" s="18"/>
      <c r="OA284" s="18"/>
      <c r="OB284" s="18"/>
      <c r="OC284" s="18"/>
      <c r="OD284" s="18"/>
      <c r="OE284" s="18"/>
      <c r="OF284" s="18"/>
      <c r="OG284" s="18"/>
      <c r="OH284" s="18"/>
      <c r="OI284" s="18"/>
      <c r="OJ284" s="18"/>
      <c r="OK284" s="18"/>
      <c r="OL284" s="18"/>
      <c r="OM284" s="18"/>
      <c r="ON284" s="18"/>
      <c r="OO284" s="18"/>
      <c r="OP284" s="18"/>
      <c r="OQ284" s="18"/>
      <c r="OR284" s="18"/>
      <c r="OS284" s="18"/>
      <c r="OT284" s="18"/>
      <c r="OU284" s="18"/>
      <c r="OV284" s="18"/>
      <c r="OW284" s="18"/>
      <c r="OX284" s="18"/>
      <c r="OY284" s="18"/>
      <c r="OZ284" s="18"/>
      <c r="PA284" s="18"/>
      <c r="PB284" s="18"/>
      <c r="PC284" s="18"/>
      <c r="PD284" s="18"/>
      <c r="PE284" s="18"/>
      <c r="PF284" s="18"/>
      <c r="PG284" s="18"/>
      <c r="PH284" s="18"/>
      <c r="PI284" s="18"/>
      <c r="PJ284" s="18"/>
      <c r="PK284" s="18"/>
      <c r="PL284" s="18"/>
      <c r="PM284" s="18"/>
      <c r="PN284" s="18"/>
      <c r="PO284" s="18"/>
      <c r="PP284" s="18"/>
      <c r="PQ284" s="18"/>
      <c r="PR284" s="18"/>
      <c r="PS284" s="18"/>
      <c r="PT284" s="18"/>
      <c r="PU284" s="18"/>
      <c r="PV284" s="18"/>
      <c r="PW284" s="18"/>
      <c r="PX284" s="18"/>
      <c r="PY284" s="18"/>
      <c r="PZ284" s="18"/>
      <c r="QA284" s="18"/>
      <c r="QB284" s="18"/>
      <c r="QC284" s="18"/>
      <c r="QD284" s="18"/>
      <c r="QE284" s="18"/>
      <c r="QF284" s="18"/>
      <c r="QG284" s="18"/>
      <c r="QH284" s="18"/>
      <c r="QI284" s="18"/>
      <c r="QJ284" s="18"/>
      <c r="QK284" s="18"/>
      <c r="QL284" s="18"/>
      <c r="QM284" s="18"/>
      <c r="QN284" s="18"/>
      <c r="QO284" s="18"/>
      <c r="QP284" s="18"/>
      <c r="QQ284" s="18"/>
      <c r="QR284" s="18"/>
      <c r="QS284" s="18"/>
      <c r="QT284" s="18"/>
      <c r="QU284" s="18"/>
      <c r="QV284" s="18"/>
      <c r="QW284" s="18"/>
      <c r="QX284" s="18"/>
      <c r="QY284" s="18"/>
      <c r="QZ284" s="18"/>
      <c r="RA284" s="18"/>
      <c r="RB284" s="18"/>
      <c r="RC284" s="18"/>
      <c r="RD284" s="18"/>
      <c r="RE284" s="18"/>
      <c r="RF284" s="18"/>
      <c r="RG284" s="18"/>
      <c r="RH284" s="18"/>
      <c r="RI284" s="18"/>
      <c r="RJ284" s="18"/>
      <c r="RK284" s="18"/>
      <c r="RL284" s="18"/>
      <c r="RM284" s="18"/>
      <c r="RN284" s="18"/>
      <c r="RO284" s="18"/>
      <c r="RP284" s="18"/>
      <c r="RQ284" s="18"/>
      <c r="RR284" s="18"/>
      <c r="RS284" s="18"/>
      <c r="RT284" s="18"/>
      <c r="RU284" s="18"/>
      <c r="RV284" s="18"/>
      <c r="RW284" s="18"/>
      <c r="RX284" s="18"/>
      <c r="RY284" s="18"/>
      <c r="RZ284" s="18"/>
      <c r="SA284" s="18"/>
      <c r="SB284" s="18"/>
      <c r="SC284" s="18"/>
      <c r="SD284" s="18"/>
      <c r="SE284" s="18"/>
      <c r="SF284" s="18"/>
      <c r="SG284" s="18"/>
      <c r="SH284" s="18"/>
      <c r="SI284" s="18"/>
      <c r="SJ284" s="18"/>
      <c r="SK284" s="18"/>
      <c r="SL284" s="18"/>
      <c r="SM284" s="18"/>
      <c r="SN284" s="18"/>
      <c r="SO284" s="18"/>
      <c r="SP284" s="18"/>
      <c r="SQ284" s="18"/>
      <c r="SR284" s="18"/>
      <c r="SS284" s="18"/>
      <c r="ST284" s="18"/>
      <c r="SU284" s="18"/>
      <c r="SV284" s="18"/>
      <c r="SW284" s="18"/>
      <c r="SX284" s="18"/>
      <c r="SY284" s="18"/>
      <c r="SZ284" s="18"/>
      <c r="TA284" s="18"/>
      <c r="TB284" s="18"/>
      <c r="TC284" s="18"/>
      <c r="TD284" s="18"/>
      <c r="TE284" s="18"/>
      <c r="TF284" s="18"/>
      <c r="TG284" s="18"/>
      <c r="TH284" s="18"/>
      <c r="TI284" s="18"/>
      <c r="TJ284" s="18"/>
      <c r="TK284" s="18"/>
      <c r="TL284" s="18"/>
      <c r="TM284" s="18"/>
      <c r="TN284" s="18"/>
      <c r="TO284" s="18"/>
      <c r="TP284" s="18"/>
      <c r="TQ284" s="18"/>
      <c r="TR284" s="18"/>
      <c r="TS284" s="18"/>
      <c r="TT284" s="18"/>
      <c r="TU284" s="18"/>
      <c r="TV284" s="18"/>
      <c r="TW284" s="18"/>
      <c r="TX284" s="18"/>
      <c r="TY284" s="18"/>
      <c r="TZ284" s="18"/>
      <c r="UA284" s="18"/>
      <c r="UB284" s="18"/>
      <c r="UC284" s="18"/>
      <c r="UD284" s="18"/>
      <c r="UE284" s="18"/>
      <c r="UF284" s="18"/>
      <c r="UG284" s="18"/>
      <c r="UH284" s="18"/>
      <c r="UI284" s="18"/>
      <c r="UJ284" s="18"/>
      <c r="UK284" s="18"/>
      <c r="UL284" s="18"/>
      <c r="UM284" s="18"/>
      <c r="UN284" s="18"/>
      <c r="UO284" s="18"/>
      <c r="UP284" s="18"/>
      <c r="UQ284" s="18"/>
      <c r="UR284" s="18"/>
      <c r="US284" s="18"/>
      <c r="UT284" s="18"/>
      <c r="UU284" s="18"/>
      <c r="UV284" s="18"/>
      <c r="UW284" s="18"/>
      <c r="UX284" s="18"/>
      <c r="UY284" s="18"/>
      <c r="UZ284" s="18"/>
      <c r="VA284" s="18"/>
      <c r="VB284" s="18"/>
      <c r="VC284" s="18"/>
      <c r="VD284" s="18"/>
      <c r="VE284" s="18"/>
      <c r="VF284" s="18"/>
      <c r="VG284" s="18"/>
      <c r="VH284" s="18"/>
      <c r="VI284" s="18"/>
      <c r="VJ284" s="18"/>
      <c r="VK284" s="18"/>
      <c r="VL284" s="18"/>
      <c r="VM284" s="18"/>
      <c r="VN284" s="18"/>
      <c r="VO284" s="18"/>
      <c r="VP284" s="18"/>
      <c r="VQ284" s="18"/>
      <c r="VR284" s="18"/>
      <c r="VS284" s="18"/>
      <c r="VT284" s="18"/>
      <c r="VU284" s="18"/>
      <c r="VV284" s="18"/>
      <c r="VW284" s="18"/>
      <c r="VX284" s="18"/>
      <c r="VY284" s="18"/>
      <c r="VZ284" s="18"/>
      <c r="WA284" s="18"/>
      <c r="WB284" s="18"/>
      <c r="WC284" s="18"/>
      <c r="WD284" s="18"/>
      <c r="WE284" s="18"/>
      <c r="WF284" s="18"/>
      <c r="WG284" s="18"/>
      <c r="WH284" s="18"/>
      <c r="WI284" s="18"/>
      <c r="WJ284" s="18"/>
      <c r="WK284" s="18"/>
      <c r="WL284" s="18"/>
      <c r="WM284" s="18"/>
      <c r="WN284" s="18"/>
      <c r="WO284" s="18"/>
      <c r="WP284" s="18"/>
      <c r="WQ284" s="18"/>
      <c r="WR284" s="18"/>
      <c r="WS284" s="18"/>
      <c r="WT284" s="18"/>
      <c r="WU284" s="18"/>
      <c r="WV284" s="18"/>
      <c r="WW284" s="18"/>
      <c r="WX284" s="18"/>
      <c r="WY284" s="18"/>
      <c r="WZ284" s="18"/>
      <c r="XA284" s="18"/>
      <c r="XB284" s="18"/>
      <c r="XC284" s="18"/>
      <c r="XD284" s="18"/>
      <c r="XE284" s="18"/>
      <c r="XF284" s="18"/>
      <c r="XG284" s="18"/>
      <c r="XH284" s="18"/>
      <c r="XI284" s="18"/>
      <c r="XJ284" s="18"/>
      <c r="XK284" s="18"/>
      <c r="XL284" s="18"/>
      <c r="XM284" s="18"/>
      <c r="XN284" s="18"/>
      <c r="XO284" s="18"/>
      <c r="XP284" s="18"/>
      <c r="XQ284" s="18"/>
      <c r="XR284" s="18"/>
      <c r="XS284" s="18"/>
      <c r="XT284" s="18"/>
      <c r="XU284" s="18"/>
      <c r="XV284" s="18"/>
      <c r="XW284" s="18"/>
      <c r="XX284" s="18"/>
      <c r="XY284" s="18"/>
      <c r="XZ284" s="18"/>
      <c r="YA284" s="18"/>
      <c r="YB284" s="18"/>
      <c r="YC284" s="18"/>
      <c r="YD284" s="18"/>
      <c r="YE284" s="18"/>
      <c r="YF284" s="18"/>
      <c r="YG284" s="18"/>
      <c r="YH284" s="18"/>
      <c r="YI284" s="18"/>
      <c r="YJ284" s="18"/>
      <c r="YK284" s="18"/>
      <c r="YL284" s="18"/>
      <c r="YM284" s="18"/>
      <c r="YN284" s="18"/>
      <c r="YO284" s="18"/>
      <c r="YP284" s="18"/>
      <c r="YQ284" s="18"/>
      <c r="YR284" s="18"/>
      <c r="YS284" s="18"/>
      <c r="YT284" s="18"/>
      <c r="YU284" s="18"/>
      <c r="YV284" s="18"/>
      <c r="YW284" s="18"/>
      <c r="YX284" s="18"/>
      <c r="YY284" s="18"/>
      <c r="YZ284" s="18"/>
      <c r="ZA284" s="18"/>
      <c r="ZB284" s="18"/>
      <c r="ZC284" s="18"/>
      <c r="ZD284" s="18"/>
      <c r="ZE284" s="18"/>
      <c r="ZF284" s="18"/>
      <c r="ZG284" s="18"/>
      <c r="ZH284" s="18"/>
      <c r="ZI284" s="18"/>
      <c r="ZJ284" s="18"/>
      <c r="ZK284" s="18"/>
      <c r="ZL284" s="18"/>
      <c r="ZM284" s="18"/>
      <c r="ZN284" s="18"/>
      <c r="ZO284" s="18"/>
      <c r="ZP284" s="18"/>
      <c r="ZQ284" s="18"/>
      <c r="ZR284" s="18"/>
      <c r="ZS284" s="18"/>
      <c r="ZT284" s="18"/>
      <c r="ZU284" s="18"/>
      <c r="ZV284" s="18"/>
      <c r="ZW284" s="18"/>
      <c r="ZX284" s="18"/>
      <c r="ZY284" s="18"/>
      <c r="ZZ284" s="18"/>
      <c r="AAA284" s="18"/>
      <c r="AAB284" s="18"/>
      <c r="AAC284" s="18"/>
      <c r="AAD284" s="18"/>
      <c r="AAE284" s="18"/>
      <c r="AAF284" s="18"/>
      <c r="AAG284" s="18"/>
      <c r="AAH284" s="18"/>
      <c r="AAI284" s="18"/>
      <c r="AAJ284" s="18"/>
      <c r="AAK284" s="18"/>
      <c r="AAL284" s="18"/>
      <c r="AAM284" s="18"/>
      <c r="AAN284" s="18"/>
      <c r="AAO284" s="18"/>
      <c r="AAP284" s="18"/>
      <c r="AAQ284" s="18"/>
      <c r="AAR284" s="18"/>
      <c r="AAS284" s="18"/>
      <c r="AAT284" s="18"/>
      <c r="AAU284" s="18"/>
      <c r="AAV284" s="18"/>
      <c r="AAW284" s="18"/>
      <c r="AAX284" s="18"/>
      <c r="AAY284" s="18"/>
      <c r="AAZ284" s="18"/>
      <c r="ABA284" s="18"/>
      <c r="ABB284" s="18"/>
      <c r="ABC284" s="18"/>
      <c r="ABD284" s="18"/>
      <c r="ABE284" s="18"/>
      <c r="ABF284" s="18"/>
      <c r="ABG284" s="18"/>
      <c r="ABH284" s="18"/>
      <c r="ABI284" s="18"/>
      <c r="ABJ284" s="18"/>
      <c r="ABK284" s="18"/>
      <c r="ABL284" s="18"/>
      <c r="ABM284" s="18"/>
      <c r="ABN284" s="18"/>
      <c r="ABO284" s="18"/>
      <c r="ABP284" s="18"/>
      <c r="ABQ284" s="18"/>
      <c r="ABR284" s="18"/>
      <c r="ABS284" s="18"/>
      <c r="ABT284" s="18"/>
      <c r="ABU284" s="18"/>
      <c r="ABV284" s="18"/>
      <c r="ABW284" s="18"/>
      <c r="ABX284" s="18"/>
      <c r="ABY284" s="18"/>
      <c r="ABZ284" s="18"/>
      <c r="ACA284" s="18"/>
      <c r="ACB284" s="18"/>
      <c r="ACC284" s="18"/>
      <c r="ACD284" s="18"/>
      <c r="ACE284" s="18"/>
      <c r="ACF284" s="18"/>
      <c r="ACG284" s="18"/>
      <c r="ACH284" s="18"/>
      <c r="ACI284" s="18"/>
      <c r="ACJ284" s="18"/>
      <c r="ACK284" s="18"/>
      <c r="ACL284" s="18"/>
      <c r="ACM284" s="18"/>
      <c r="ACN284" s="18"/>
      <c r="ACO284" s="18"/>
      <c r="ACP284" s="18"/>
      <c r="ACQ284" s="18"/>
      <c r="ACR284" s="18"/>
      <c r="ACS284" s="18"/>
      <c r="ACT284" s="18"/>
      <c r="ACU284" s="18"/>
      <c r="ACV284" s="18"/>
      <c r="ACW284" s="18"/>
      <c r="ACX284" s="18"/>
      <c r="ACY284" s="18"/>
      <c r="ACZ284" s="18"/>
      <c r="ADA284" s="18"/>
      <c r="ADB284" s="18"/>
      <c r="ADC284" s="18"/>
      <c r="ADD284" s="18"/>
      <c r="ADE284" s="18"/>
      <c r="ADF284" s="18"/>
      <c r="ADG284" s="18"/>
      <c r="ADH284" s="18"/>
      <c r="ADI284" s="18"/>
      <c r="ADJ284" s="18"/>
      <c r="ADK284" s="18"/>
      <c r="ADL284" s="18"/>
      <c r="ADM284" s="18"/>
      <c r="ADN284" s="18"/>
      <c r="ADO284" s="18"/>
      <c r="ADP284" s="18"/>
      <c r="ADQ284" s="18"/>
      <c r="ADR284" s="18"/>
      <c r="ADS284" s="18"/>
      <c r="ADT284" s="18"/>
      <c r="ADU284" s="18"/>
      <c r="ADV284" s="18"/>
      <c r="ADW284" s="18"/>
      <c r="ADX284" s="18"/>
      <c r="ADY284" s="18"/>
      <c r="ADZ284" s="18"/>
      <c r="AEA284" s="18"/>
      <c r="AEB284" s="18"/>
      <c r="AEC284" s="18"/>
      <c r="AED284" s="18"/>
      <c r="AEE284" s="18"/>
      <c r="AEF284" s="18"/>
      <c r="AEG284" s="18"/>
      <c r="AEH284" s="18"/>
      <c r="AEI284" s="18"/>
      <c r="AEJ284" s="18"/>
      <c r="AEK284" s="18"/>
      <c r="AEL284" s="18"/>
      <c r="AEM284" s="18"/>
      <c r="AEN284" s="18"/>
      <c r="AEO284" s="18"/>
      <c r="AEP284" s="18"/>
      <c r="AEQ284" s="18"/>
      <c r="AER284" s="18"/>
      <c r="AES284" s="18"/>
      <c r="AET284" s="18"/>
      <c r="AEU284" s="18"/>
      <c r="AEV284" s="18"/>
      <c r="AEW284" s="18"/>
      <c r="AEX284" s="18"/>
      <c r="AEY284" s="18"/>
      <c r="AEZ284" s="18"/>
      <c r="AFA284" s="18"/>
      <c r="AFB284" s="18"/>
      <c r="AFC284" s="18"/>
      <c r="AFD284" s="18"/>
      <c r="AFE284" s="18"/>
      <c r="AFF284" s="18"/>
      <c r="AFG284" s="18"/>
      <c r="AFH284" s="18"/>
      <c r="AFI284" s="18"/>
      <c r="AFJ284" s="18"/>
      <c r="AFK284" s="18"/>
      <c r="AFL284" s="18"/>
      <c r="AFM284" s="18"/>
      <c r="AFN284" s="18"/>
      <c r="AFO284" s="18"/>
      <c r="AFP284" s="18"/>
      <c r="AFQ284" s="18"/>
      <c r="AFR284" s="18"/>
      <c r="AFS284" s="18"/>
      <c r="AFT284" s="18"/>
      <c r="AFU284" s="18"/>
      <c r="AFV284" s="18"/>
      <c r="AFW284" s="18"/>
      <c r="AFX284" s="18"/>
      <c r="AFY284" s="18"/>
      <c r="AFZ284" s="18"/>
      <c r="AGA284" s="18"/>
      <c r="AGB284" s="18"/>
      <c r="AGC284" s="18"/>
      <c r="AGD284" s="18"/>
      <c r="AGE284" s="18"/>
      <c r="AGF284" s="18"/>
      <c r="AGG284" s="18"/>
      <c r="AGH284" s="18"/>
      <c r="AGI284" s="18"/>
      <c r="AGJ284" s="18"/>
      <c r="AGK284" s="18"/>
      <c r="AGL284" s="18"/>
      <c r="AGM284" s="18"/>
      <c r="AGN284" s="18"/>
      <c r="AGO284" s="18"/>
      <c r="AGP284" s="18"/>
      <c r="AGQ284" s="18"/>
      <c r="AGR284" s="18"/>
      <c r="AGS284" s="18"/>
      <c r="AGT284" s="18"/>
      <c r="AGU284" s="18"/>
      <c r="AGV284" s="18"/>
      <c r="AGW284" s="18"/>
      <c r="AGX284" s="18"/>
      <c r="AGY284" s="18"/>
      <c r="AGZ284" s="18"/>
      <c r="AHA284" s="18"/>
      <c r="AHB284" s="18"/>
      <c r="AHC284" s="18"/>
      <c r="AHD284" s="18"/>
      <c r="AHE284" s="18"/>
      <c r="AHF284" s="18"/>
      <c r="AHG284" s="18"/>
      <c r="AHH284" s="18"/>
      <c r="AHI284" s="18"/>
      <c r="AHJ284" s="18"/>
      <c r="AHK284" s="18"/>
      <c r="AHL284" s="18"/>
      <c r="AHM284" s="18"/>
      <c r="AHN284" s="18"/>
      <c r="AHO284" s="18"/>
      <c r="AHP284" s="18"/>
      <c r="AHQ284" s="18"/>
      <c r="AHR284" s="18"/>
      <c r="AHS284" s="18"/>
      <c r="AHT284" s="18"/>
      <c r="AHU284" s="18"/>
      <c r="AHV284" s="18"/>
      <c r="AHW284" s="18"/>
      <c r="AHX284" s="18"/>
      <c r="AHY284" s="18"/>
      <c r="AHZ284" s="18"/>
      <c r="AIA284" s="18"/>
      <c r="AIB284" s="18"/>
      <c r="AIC284" s="18"/>
      <c r="AID284" s="18"/>
      <c r="AIE284" s="18"/>
      <c r="AIF284" s="18"/>
      <c r="AIG284" s="18"/>
      <c r="AIH284" s="18"/>
      <c r="AII284" s="18"/>
      <c r="AIJ284" s="18"/>
      <c r="AIK284" s="18"/>
      <c r="AIL284" s="18"/>
      <c r="AIM284" s="18"/>
      <c r="AIN284" s="18"/>
      <c r="AIO284" s="18"/>
      <c r="AIP284" s="18"/>
      <c r="AIQ284" s="18"/>
      <c r="AIR284" s="18"/>
      <c r="AIS284" s="18"/>
      <c r="AIT284" s="18"/>
      <c r="AIU284" s="18"/>
      <c r="AIV284" s="18"/>
      <c r="AIW284" s="18"/>
      <c r="AIX284" s="18"/>
      <c r="AIY284" s="18"/>
      <c r="AIZ284" s="18"/>
      <c r="AJA284" s="18"/>
      <c r="AJB284" s="18"/>
      <c r="AJC284" s="18"/>
      <c r="AJD284" s="18"/>
      <c r="AJE284" s="18"/>
      <c r="AJF284" s="18"/>
      <c r="AJG284" s="18"/>
      <c r="AJH284" s="18"/>
      <c r="AJI284" s="18"/>
      <c r="AJJ284" s="18"/>
      <c r="AJK284" s="18"/>
      <c r="AJL284" s="18"/>
      <c r="AJM284" s="18"/>
      <c r="AJN284" s="18"/>
      <c r="AJO284" s="18"/>
      <c r="AJP284" s="18"/>
      <c r="AJQ284" s="18"/>
      <c r="AJR284" s="18"/>
      <c r="AJS284" s="18"/>
      <c r="AJT284" s="18"/>
      <c r="AJU284" s="18"/>
      <c r="AJV284" s="18"/>
      <c r="AJW284" s="18"/>
      <c r="AJX284" s="18"/>
      <c r="AJY284" s="18"/>
      <c r="AJZ284" s="18"/>
      <c r="AKA284" s="18"/>
      <c r="AKB284" s="18"/>
      <c r="AKC284" s="18"/>
      <c r="AKD284" s="18"/>
      <c r="AKE284" s="18"/>
      <c r="AKF284" s="18"/>
      <c r="AKG284" s="18"/>
      <c r="AKH284" s="18"/>
      <c r="AKI284" s="18"/>
      <c r="AKJ284" s="18"/>
      <c r="AKK284" s="18"/>
      <c r="AKL284" s="18"/>
      <c r="AKM284" s="18"/>
      <c r="AKN284" s="18"/>
      <c r="AKO284" s="18"/>
      <c r="AKP284" s="18"/>
      <c r="AKQ284" s="18"/>
      <c r="AKR284" s="18"/>
      <c r="AKS284" s="18"/>
      <c r="AKT284" s="18"/>
      <c r="AKU284" s="18"/>
      <c r="AKV284" s="18"/>
      <c r="AKW284" s="18"/>
      <c r="AKX284" s="18"/>
      <c r="AKY284" s="18"/>
      <c r="AKZ284" s="18"/>
      <c r="ALA284" s="18"/>
      <c r="ALB284" s="18"/>
      <c r="ALC284" s="18"/>
      <c r="ALD284" s="18"/>
      <c r="ALE284" s="18"/>
      <c r="ALF284" s="18"/>
      <c r="ALG284" s="18"/>
      <c r="ALH284" s="18"/>
      <c r="ALI284" s="18"/>
      <c r="ALJ284" s="18"/>
      <c r="ALK284" s="18"/>
      <c r="ALL284" s="18"/>
      <c r="ALM284" s="18"/>
      <c r="ALN284" s="18"/>
      <c r="ALO284" s="18"/>
      <c r="ALP284" s="18"/>
      <c r="ALQ284" s="18"/>
      <c r="ALR284" s="18"/>
      <c r="ALS284" s="18"/>
      <c r="ALT284" s="18"/>
      <c r="ALU284" s="18"/>
      <c r="ALV284" s="18"/>
      <c r="ALW284" s="18"/>
      <c r="ALX284" s="18"/>
      <c r="ALY284" s="18"/>
      <c r="ALZ284" s="18"/>
      <c r="AMA284" s="18"/>
      <c r="AMB284" s="18"/>
      <c r="AMC284" s="18"/>
      <c r="AMD284" s="18"/>
      <c r="AME284" s="18"/>
      <c r="AMF284" s="18"/>
      <c r="AMG284" s="18"/>
      <c r="AMH284" s="18"/>
      <c r="AMI284" s="18"/>
      <c r="AMJ284" s="18"/>
      <c r="AMK284" s="18"/>
      <c r="AML284" s="18"/>
    </row>
    <row r="285" spans="1:1027" s="31" customFormat="1" x14ac:dyDescent="0.2">
      <c r="A285" s="18">
        <v>4</v>
      </c>
      <c r="B285" s="18" t="s">
        <v>875</v>
      </c>
      <c r="C285" s="18" t="s">
        <v>876</v>
      </c>
      <c r="D285" s="18">
        <v>148</v>
      </c>
      <c r="E285" s="19" t="s">
        <v>507</v>
      </c>
      <c r="F285" s="19" t="s">
        <v>507</v>
      </c>
      <c r="G285" s="20" t="s">
        <v>508</v>
      </c>
      <c r="H285" s="19" t="s">
        <v>507</v>
      </c>
      <c r="I285" s="19"/>
      <c r="J285" s="19" t="s">
        <v>507</v>
      </c>
      <c r="K285" s="21" t="s">
        <v>509</v>
      </c>
      <c r="L285" s="18"/>
      <c r="M285" s="1" t="s">
        <v>598</v>
      </c>
      <c r="N285" s="1"/>
      <c r="O285" s="18"/>
      <c r="P285" s="18"/>
      <c r="Q285" s="18"/>
      <c r="R285" s="18"/>
      <c r="S285" s="13" t="s">
        <v>874</v>
      </c>
      <c r="T285" s="6"/>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AMM285" s="18"/>
    </row>
    <row r="286" spans="1:1027" s="31" customFormat="1" x14ac:dyDescent="0.2">
      <c r="A286" s="18">
        <v>4</v>
      </c>
      <c r="B286" s="18" t="s">
        <v>877</v>
      </c>
      <c r="C286" s="18" t="s">
        <v>878</v>
      </c>
      <c r="D286" s="18">
        <v>292</v>
      </c>
      <c r="E286" s="19" t="s">
        <v>507</v>
      </c>
      <c r="F286" s="19" t="s">
        <v>507</v>
      </c>
      <c r="G286" s="20" t="s">
        <v>508</v>
      </c>
      <c r="H286" s="19" t="s">
        <v>507</v>
      </c>
      <c r="I286" s="19"/>
      <c r="J286" s="19" t="s">
        <v>507</v>
      </c>
      <c r="K286" s="21" t="s">
        <v>509</v>
      </c>
      <c r="L286" s="18"/>
      <c r="M286" s="1" t="s">
        <v>598</v>
      </c>
      <c r="N286" s="1"/>
      <c r="O286" s="18"/>
      <c r="P286" s="18"/>
      <c r="Q286" s="18"/>
      <c r="R286" s="18"/>
      <c r="S286" s="13" t="s">
        <v>874</v>
      </c>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row>
    <row r="287" spans="1:1027" s="31" customFormat="1" x14ac:dyDescent="0.2">
      <c r="A287" s="18">
        <v>4</v>
      </c>
      <c r="B287" s="18" t="s">
        <v>879</v>
      </c>
      <c r="C287" s="18" t="s">
        <v>880</v>
      </c>
      <c r="D287" s="18">
        <v>308</v>
      </c>
      <c r="E287" s="19" t="s">
        <v>507</v>
      </c>
      <c r="F287" s="19" t="s">
        <v>507</v>
      </c>
      <c r="G287" s="20" t="s">
        <v>508</v>
      </c>
      <c r="H287" s="19" t="s">
        <v>507</v>
      </c>
      <c r="I287" s="19"/>
      <c r="J287" s="19" t="s">
        <v>507</v>
      </c>
      <c r="K287" s="21" t="s">
        <v>509</v>
      </c>
      <c r="L287" s="18"/>
      <c r="M287" s="1" t="s">
        <v>598</v>
      </c>
      <c r="N287" s="1"/>
      <c r="O287" s="18"/>
      <c r="P287" s="18"/>
      <c r="Q287" s="18"/>
      <c r="R287" s="18"/>
      <c r="S287" s="13" t="s">
        <v>874</v>
      </c>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row>
    <row r="288" spans="1:1027" s="18" customFormat="1" x14ac:dyDescent="0.2">
      <c r="A288" s="1" t="s">
        <v>521</v>
      </c>
      <c r="B288" s="1" t="s">
        <v>881</v>
      </c>
      <c r="C288" s="1"/>
      <c r="D288" s="1">
        <v>470</v>
      </c>
      <c r="E288" s="24" t="s">
        <v>506</v>
      </c>
      <c r="F288" s="24" t="s">
        <v>508</v>
      </c>
      <c r="G288" s="25" t="s">
        <v>508</v>
      </c>
      <c r="H288" s="24" t="s">
        <v>507</v>
      </c>
      <c r="I288" s="24"/>
      <c r="J288" s="24" t="s">
        <v>507</v>
      </c>
      <c r="K288" s="12"/>
      <c r="L288" s="26"/>
      <c r="M288" s="1"/>
      <c r="N288" s="1"/>
      <c r="O288" s="1"/>
      <c r="P288" s="1"/>
      <c r="Q288" s="1"/>
      <c r="R288" s="1"/>
      <c r="S288" s="13"/>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31"/>
      <c r="BY288" s="31"/>
      <c r="BZ288" s="31"/>
      <c r="CA288" s="31"/>
      <c r="CB288" s="31"/>
      <c r="CC288" s="31"/>
      <c r="CD288" s="31"/>
      <c r="CE288" s="31"/>
      <c r="CF288" s="31"/>
      <c r="CG288" s="31"/>
      <c r="CH288" s="31"/>
      <c r="CI288" s="31"/>
      <c r="CJ288" s="31"/>
      <c r="CK288" s="31"/>
      <c r="CL288" s="31"/>
      <c r="CM288" s="31"/>
      <c r="CN288" s="31"/>
      <c r="CO288" s="31"/>
      <c r="CP288" s="31"/>
      <c r="CQ288" s="31"/>
      <c r="CR288" s="31"/>
      <c r="CS288" s="31"/>
      <c r="CT288" s="31"/>
      <c r="CU288" s="31"/>
      <c r="CV288" s="31"/>
      <c r="CW288" s="31"/>
      <c r="CX288" s="31"/>
      <c r="CY288" s="31"/>
      <c r="CZ288" s="31"/>
      <c r="DA288" s="31"/>
      <c r="DB288" s="31"/>
      <c r="DC288" s="31"/>
      <c r="DD288" s="31"/>
      <c r="DE288" s="31"/>
      <c r="DF288" s="31"/>
      <c r="DG288" s="31"/>
      <c r="DH288" s="31"/>
      <c r="DI288" s="31"/>
      <c r="DJ288" s="31"/>
      <c r="DK288" s="31"/>
      <c r="DL288" s="31"/>
      <c r="DM288" s="31"/>
      <c r="DN288" s="31"/>
      <c r="DO288" s="31"/>
      <c r="DP288" s="31"/>
      <c r="DQ288" s="31"/>
      <c r="DR288" s="31"/>
      <c r="DS288" s="31"/>
      <c r="DT288" s="31"/>
      <c r="DU288" s="31"/>
      <c r="DV288" s="31"/>
      <c r="DW288" s="31"/>
      <c r="DX288" s="31"/>
      <c r="DY288" s="31"/>
      <c r="DZ288" s="31"/>
      <c r="EA288" s="31"/>
      <c r="EB288" s="31"/>
      <c r="EC288" s="31"/>
      <c r="ED288" s="31"/>
      <c r="EE288" s="31"/>
      <c r="EF288" s="31"/>
      <c r="EG288" s="31"/>
      <c r="EH288" s="31"/>
      <c r="EI288" s="31"/>
      <c r="EJ288" s="31"/>
      <c r="EK288" s="31"/>
      <c r="EL288" s="31"/>
      <c r="EM288" s="31"/>
      <c r="EN288" s="31"/>
      <c r="EO288" s="31"/>
      <c r="EP288" s="31"/>
      <c r="EQ288" s="31"/>
      <c r="ER288" s="31"/>
      <c r="ES288" s="31"/>
      <c r="ET288" s="31"/>
      <c r="EU288" s="31"/>
      <c r="EV288" s="31"/>
      <c r="EW288" s="31"/>
      <c r="EX288" s="31"/>
      <c r="EY288" s="31"/>
      <c r="EZ288" s="31"/>
      <c r="FA288" s="31"/>
      <c r="FB288" s="31"/>
      <c r="FC288" s="31"/>
      <c r="FD288" s="31"/>
      <c r="FE288" s="31"/>
      <c r="FF288" s="31"/>
      <c r="FG288" s="31"/>
      <c r="FH288" s="31"/>
      <c r="FI288" s="31"/>
      <c r="FJ288" s="31"/>
      <c r="FK288" s="31"/>
      <c r="FL288" s="31"/>
      <c r="FM288" s="31"/>
      <c r="FN288" s="31"/>
      <c r="FO288" s="31"/>
      <c r="FP288" s="31"/>
      <c r="FQ288" s="31"/>
      <c r="FR288" s="31"/>
      <c r="FS288" s="31"/>
      <c r="FT288" s="31"/>
      <c r="FU288" s="31"/>
      <c r="FV288" s="31"/>
      <c r="FW288" s="31"/>
      <c r="FX288" s="31"/>
      <c r="FY288" s="31"/>
      <c r="FZ288" s="31"/>
      <c r="GA288" s="31"/>
      <c r="GB288" s="31"/>
      <c r="GC288" s="31"/>
      <c r="GD288" s="31"/>
      <c r="GE288" s="31"/>
      <c r="GF288" s="31"/>
      <c r="GG288" s="31"/>
      <c r="GH288" s="31"/>
      <c r="GI288" s="31"/>
      <c r="GJ288" s="31"/>
      <c r="GK288" s="31"/>
      <c r="GL288" s="31"/>
      <c r="GM288" s="31"/>
      <c r="GN288" s="31"/>
      <c r="GO288" s="31"/>
      <c r="GP288" s="31"/>
      <c r="GQ288" s="31"/>
      <c r="GR288" s="31"/>
      <c r="GS288" s="31"/>
      <c r="GT288" s="31"/>
      <c r="GU288" s="31"/>
      <c r="GV288" s="31"/>
      <c r="GW288" s="31"/>
      <c r="GX288" s="31"/>
      <c r="GY288" s="31"/>
      <c r="GZ288" s="31"/>
      <c r="HA288" s="31"/>
      <c r="HB288" s="31"/>
      <c r="HC288" s="31"/>
      <c r="HD288" s="31"/>
      <c r="HE288" s="31"/>
      <c r="HF288" s="31"/>
      <c r="HG288" s="31"/>
      <c r="HH288" s="31"/>
      <c r="HI288" s="31"/>
      <c r="HJ288" s="31"/>
      <c r="HK288" s="31"/>
      <c r="HL288" s="31"/>
      <c r="HM288" s="31"/>
      <c r="HN288" s="31"/>
      <c r="HO288" s="31"/>
      <c r="HP288" s="31"/>
      <c r="HQ288" s="31"/>
      <c r="HR288" s="31"/>
      <c r="HS288" s="31"/>
      <c r="HT288" s="31"/>
      <c r="HU288" s="31"/>
      <c r="HV288" s="31"/>
      <c r="HW288" s="31"/>
      <c r="HX288" s="31"/>
      <c r="HY288" s="31"/>
      <c r="HZ288" s="31"/>
      <c r="IA288" s="31"/>
      <c r="IB288" s="31"/>
      <c r="IC288" s="31"/>
      <c r="ID288" s="31"/>
      <c r="IE288" s="31"/>
      <c r="IF288" s="31"/>
      <c r="IG288" s="31"/>
      <c r="IH288" s="31"/>
      <c r="II288" s="31"/>
      <c r="IJ288" s="31"/>
      <c r="IK288" s="31"/>
      <c r="IL288" s="31"/>
      <c r="IM288" s="31"/>
      <c r="IN288" s="31"/>
      <c r="IO288" s="31"/>
      <c r="IP288" s="31"/>
      <c r="IQ288" s="31"/>
      <c r="IR288" s="31"/>
      <c r="IS288" s="31"/>
      <c r="IT288" s="31"/>
      <c r="IU288" s="31"/>
      <c r="IV288" s="31"/>
      <c r="IW288" s="31"/>
      <c r="IX288" s="31"/>
      <c r="IY288" s="31"/>
      <c r="IZ288" s="31"/>
      <c r="JA288" s="31"/>
      <c r="JB288" s="31"/>
      <c r="JC288" s="31"/>
      <c r="JD288" s="31"/>
      <c r="JE288" s="31"/>
      <c r="JF288" s="31"/>
      <c r="JG288" s="31"/>
      <c r="JH288" s="31"/>
      <c r="JI288" s="31"/>
      <c r="JJ288" s="31"/>
      <c r="JK288" s="31"/>
      <c r="JL288" s="31"/>
      <c r="JM288" s="31"/>
      <c r="JN288" s="31"/>
      <c r="JO288" s="31"/>
      <c r="JP288" s="31"/>
      <c r="JQ288" s="31"/>
      <c r="JR288" s="31"/>
      <c r="JS288" s="31"/>
      <c r="JT288" s="31"/>
      <c r="JU288" s="31"/>
      <c r="JV288" s="31"/>
      <c r="JW288" s="31"/>
      <c r="JX288" s="31"/>
      <c r="JY288" s="31"/>
      <c r="JZ288" s="31"/>
      <c r="KA288" s="31"/>
      <c r="KB288" s="31"/>
      <c r="KC288" s="31"/>
      <c r="KD288" s="31"/>
      <c r="KE288" s="31"/>
      <c r="KF288" s="31"/>
      <c r="KG288" s="31"/>
      <c r="KH288" s="31"/>
      <c r="KI288" s="31"/>
      <c r="KJ288" s="31"/>
      <c r="KK288" s="31"/>
      <c r="KL288" s="31"/>
      <c r="KM288" s="31"/>
      <c r="KN288" s="31"/>
      <c r="KO288" s="31"/>
      <c r="KP288" s="31"/>
      <c r="KQ288" s="31"/>
      <c r="KR288" s="31"/>
      <c r="KS288" s="31"/>
      <c r="KT288" s="31"/>
      <c r="KU288" s="31"/>
      <c r="KV288" s="31"/>
      <c r="KW288" s="31"/>
      <c r="KX288" s="31"/>
      <c r="KY288" s="31"/>
      <c r="KZ288" s="31"/>
      <c r="LA288" s="31"/>
      <c r="LB288" s="31"/>
      <c r="LC288" s="31"/>
      <c r="LD288" s="31"/>
      <c r="LE288" s="31"/>
      <c r="LF288" s="31"/>
      <c r="LG288" s="31"/>
      <c r="LH288" s="31"/>
      <c r="LI288" s="31"/>
      <c r="LJ288" s="31"/>
      <c r="LK288" s="31"/>
      <c r="LL288" s="31"/>
      <c r="LM288" s="31"/>
      <c r="LN288" s="31"/>
      <c r="LO288" s="31"/>
      <c r="LP288" s="31"/>
      <c r="LQ288" s="31"/>
      <c r="LR288" s="31"/>
      <c r="LS288" s="31"/>
      <c r="LT288" s="31"/>
      <c r="LU288" s="31"/>
      <c r="LV288" s="31"/>
      <c r="LW288" s="31"/>
      <c r="LX288" s="31"/>
      <c r="LY288" s="31"/>
      <c r="LZ288" s="31"/>
      <c r="MA288" s="31"/>
      <c r="MB288" s="31"/>
      <c r="MC288" s="31"/>
      <c r="MD288" s="31"/>
      <c r="ME288" s="31"/>
      <c r="MF288" s="31"/>
      <c r="MG288" s="31"/>
      <c r="MH288" s="31"/>
      <c r="MI288" s="31"/>
      <c r="MJ288" s="31"/>
      <c r="MK288" s="31"/>
      <c r="ML288" s="31"/>
      <c r="MM288" s="31"/>
      <c r="MN288" s="31"/>
      <c r="MO288" s="31"/>
      <c r="MP288" s="31"/>
      <c r="MQ288" s="31"/>
      <c r="MR288" s="31"/>
      <c r="MS288" s="31"/>
      <c r="MT288" s="31"/>
      <c r="MU288" s="31"/>
      <c r="MV288" s="31"/>
      <c r="MW288" s="31"/>
      <c r="MX288" s="31"/>
      <c r="MY288" s="31"/>
      <c r="MZ288" s="31"/>
      <c r="NA288" s="31"/>
      <c r="NB288" s="31"/>
      <c r="NC288" s="31"/>
      <c r="ND288" s="31"/>
      <c r="NE288" s="31"/>
      <c r="NF288" s="31"/>
      <c r="NG288" s="31"/>
      <c r="NH288" s="31"/>
      <c r="NI288" s="31"/>
      <c r="NJ288" s="31"/>
      <c r="NK288" s="31"/>
      <c r="NL288" s="31"/>
      <c r="NM288" s="31"/>
      <c r="NN288" s="31"/>
      <c r="NO288" s="31"/>
      <c r="NP288" s="31"/>
      <c r="NQ288" s="31"/>
      <c r="NR288" s="31"/>
      <c r="NS288" s="31"/>
      <c r="NT288" s="31"/>
      <c r="NU288" s="31"/>
      <c r="NV288" s="31"/>
      <c r="NW288" s="31"/>
      <c r="NX288" s="31"/>
      <c r="NY288" s="31"/>
      <c r="NZ288" s="31"/>
      <c r="OA288" s="31"/>
      <c r="OB288" s="31"/>
      <c r="OC288" s="31"/>
      <c r="OD288" s="31"/>
      <c r="OE288" s="31"/>
      <c r="OF288" s="31"/>
      <c r="OG288" s="31"/>
      <c r="OH288" s="31"/>
      <c r="OI288" s="31"/>
      <c r="OJ288" s="31"/>
      <c r="OK288" s="31"/>
      <c r="OL288" s="31"/>
      <c r="OM288" s="31"/>
      <c r="ON288" s="31"/>
      <c r="OO288" s="31"/>
      <c r="OP288" s="31"/>
      <c r="OQ288" s="31"/>
      <c r="OR288" s="31"/>
      <c r="OS288" s="31"/>
      <c r="OT288" s="31"/>
      <c r="OU288" s="31"/>
      <c r="OV288" s="31"/>
      <c r="OW288" s="31"/>
      <c r="OX288" s="31"/>
      <c r="OY288" s="31"/>
      <c r="OZ288" s="31"/>
      <c r="PA288" s="31"/>
      <c r="PB288" s="31"/>
      <c r="PC288" s="31"/>
      <c r="PD288" s="31"/>
      <c r="PE288" s="31"/>
      <c r="PF288" s="31"/>
      <c r="PG288" s="31"/>
      <c r="PH288" s="31"/>
      <c r="PI288" s="31"/>
      <c r="PJ288" s="31"/>
      <c r="PK288" s="31"/>
      <c r="PL288" s="31"/>
      <c r="PM288" s="31"/>
      <c r="PN288" s="31"/>
      <c r="PO288" s="31"/>
      <c r="PP288" s="31"/>
      <c r="PQ288" s="31"/>
      <c r="PR288" s="31"/>
      <c r="PS288" s="31"/>
      <c r="PT288" s="31"/>
      <c r="PU288" s="31"/>
      <c r="PV288" s="31"/>
      <c r="PW288" s="31"/>
      <c r="PX288" s="31"/>
      <c r="PY288" s="31"/>
      <c r="PZ288" s="31"/>
      <c r="QA288" s="31"/>
      <c r="QB288" s="31"/>
      <c r="QC288" s="31"/>
      <c r="QD288" s="31"/>
      <c r="QE288" s="31"/>
      <c r="QF288" s="31"/>
      <c r="QG288" s="31"/>
      <c r="QH288" s="31"/>
      <c r="QI288" s="31"/>
      <c r="QJ288" s="31"/>
      <c r="QK288" s="31"/>
      <c r="QL288" s="31"/>
      <c r="QM288" s="31"/>
      <c r="QN288" s="31"/>
      <c r="QO288" s="31"/>
      <c r="QP288" s="31"/>
      <c r="QQ288" s="31"/>
      <c r="QR288" s="31"/>
      <c r="QS288" s="31"/>
      <c r="QT288" s="31"/>
      <c r="QU288" s="31"/>
      <c r="QV288" s="31"/>
      <c r="QW288" s="31"/>
      <c r="QX288" s="31"/>
      <c r="QY288" s="31"/>
      <c r="QZ288" s="31"/>
      <c r="RA288" s="31"/>
      <c r="RB288" s="31"/>
      <c r="RC288" s="31"/>
      <c r="RD288" s="31"/>
      <c r="RE288" s="31"/>
      <c r="RF288" s="31"/>
      <c r="RG288" s="31"/>
      <c r="RH288" s="31"/>
      <c r="RI288" s="31"/>
      <c r="RJ288" s="31"/>
      <c r="RK288" s="31"/>
      <c r="RL288" s="31"/>
      <c r="RM288" s="31"/>
      <c r="RN288" s="31"/>
      <c r="RO288" s="31"/>
      <c r="RP288" s="31"/>
      <c r="RQ288" s="31"/>
      <c r="RR288" s="31"/>
      <c r="RS288" s="31"/>
      <c r="RT288" s="31"/>
      <c r="RU288" s="31"/>
      <c r="RV288" s="31"/>
      <c r="RW288" s="31"/>
      <c r="RX288" s="31"/>
      <c r="RY288" s="31"/>
      <c r="RZ288" s="31"/>
      <c r="SA288" s="31"/>
      <c r="SB288" s="31"/>
      <c r="SC288" s="31"/>
      <c r="SD288" s="31"/>
      <c r="SE288" s="31"/>
      <c r="SF288" s="31"/>
      <c r="SG288" s="31"/>
      <c r="SH288" s="31"/>
      <c r="SI288" s="31"/>
      <c r="SJ288" s="31"/>
      <c r="SK288" s="31"/>
      <c r="SL288" s="31"/>
      <c r="SM288" s="31"/>
      <c r="SN288" s="31"/>
      <c r="SO288" s="31"/>
      <c r="SP288" s="31"/>
      <c r="SQ288" s="31"/>
      <c r="SR288" s="31"/>
      <c r="SS288" s="31"/>
      <c r="ST288" s="31"/>
      <c r="SU288" s="31"/>
      <c r="SV288" s="31"/>
      <c r="SW288" s="31"/>
      <c r="SX288" s="31"/>
      <c r="SY288" s="31"/>
      <c r="SZ288" s="31"/>
      <c r="TA288" s="31"/>
      <c r="TB288" s="31"/>
      <c r="TC288" s="31"/>
      <c r="TD288" s="31"/>
      <c r="TE288" s="31"/>
      <c r="TF288" s="31"/>
      <c r="TG288" s="31"/>
      <c r="TH288" s="31"/>
      <c r="TI288" s="31"/>
      <c r="TJ288" s="31"/>
      <c r="TK288" s="31"/>
      <c r="TL288" s="31"/>
      <c r="TM288" s="31"/>
      <c r="TN288" s="31"/>
      <c r="TO288" s="31"/>
      <c r="TP288" s="31"/>
      <c r="TQ288" s="31"/>
      <c r="TR288" s="31"/>
      <c r="TS288" s="31"/>
      <c r="TT288" s="31"/>
      <c r="TU288" s="31"/>
      <c r="TV288" s="31"/>
      <c r="TW288" s="31"/>
      <c r="TX288" s="31"/>
      <c r="TY288" s="31"/>
      <c r="TZ288" s="31"/>
      <c r="UA288" s="31"/>
      <c r="UB288" s="31"/>
      <c r="UC288" s="31"/>
      <c r="UD288" s="31"/>
      <c r="UE288" s="31"/>
      <c r="UF288" s="31"/>
      <c r="UG288" s="31"/>
      <c r="UH288" s="31"/>
      <c r="UI288" s="31"/>
      <c r="UJ288" s="31"/>
      <c r="UK288" s="31"/>
      <c r="UL288" s="31"/>
      <c r="UM288" s="31"/>
      <c r="UN288" s="31"/>
      <c r="UO288" s="31"/>
      <c r="UP288" s="31"/>
      <c r="UQ288" s="31"/>
      <c r="UR288" s="31"/>
      <c r="US288" s="31"/>
      <c r="UT288" s="31"/>
      <c r="UU288" s="31"/>
      <c r="UV288" s="31"/>
      <c r="UW288" s="31"/>
      <c r="UX288" s="31"/>
      <c r="UY288" s="31"/>
      <c r="UZ288" s="31"/>
      <c r="VA288" s="31"/>
      <c r="VB288" s="31"/>
      <c r="VC288" s="31"/>
      <c r="VD288" s="31"/>
      <c r="VE288" s="31"/>
      <c r="VF288" s="31"/>
      <c r="VG288" s="31"/>
      <c r="VH288" s="31"/>
      <c r="VI288" s="31"/>
      <c r="VJ288" s="31"/>
      <c r="VK288" s="31"/>
      <c r="VL288" s="31"/>
      <c r="VM288" s="31"/>
      <c r="VN288" s="31"/>
      <c r="VO288" s="31"/>
      <c r="VP288" s="31"/>
      <c r="VQ288" s="31"/>
      <c r="VR288" s="31"/>
      <c r="VS288" s="31"/>
      <c r="VT288" s="31"/>
      <c r="VU288" s="31"/>
      <c r="VV288" s="31"/>
      <c r="VW288" s="31"/>
      <c r="VX288" s="31"/>
      <c r="VY288" s="31"/>
      <c r="VZ288" s="31"/>
      <c r="WA288" s="31"/>
      <c r="WB288" s="31"/>
      <c r="WC288" s="31"/>
      <c r="WD288" s="31"/>
      <c r="WE288" s="31"/>
      <c r="WF288" s="31"/>
      <c r="WG288" s="31"/>
      <c r="WH288" s="31"/>
      <c r="WI288" s="31"/>
      <c r="WJ288" s="31"/>
      <c r="WK288" s="31"/>
      <c r="WL288" s="31"/>
      <c r="WM288" s="31"/>
      <c r="WN288" s="31"/>
      <c r="WO288" s="31"/>
      <c r="WP288" s="31"/>
      <c r="WQ288" s="31"/>
      <c r="WR288" s="31"/>
      <c r="WS288" s="31"/>
      <c r="WT288" s="31"/>
      <c r="WU288" s="31"/>
      <c r="WV288" s="31"/>
      <c r="WW288" s="31"/>
      <c r="WX288" s="31"/>
      <c r="WY288" s="31"/>
      <c r="WZ288" s="31"/>
      <c r="XA288" s="31"/>
      <c r="XB288" s="31"/>
      <c r="XC288" s="31"/>
      <c r="XD288" s="31"/>
      <c r="XE288" s="31"/>
      <c r="XF288" s="31"/>
      <c r="XG288" s="31"/>
      <c r="XH288" s="31"/>
      <c r="XI288" s="31"/>
      <c r="XJ288" s="31"/>
      <c r="XK288" s="31"/>
      <c r="XL288" s="31"/>
      <c r="XM288" s="31"/>
      <c r="XN288" s="31"/>
      <c r="XO288" s="31"/>
      <c r="XP288" s="31"/>
      <c r="XQ288" s="31"/>
      <c r="XR288" s="31"/>
      <c r="XS288" s="31"/>
      <c r="XT288" s="31"/>
      <c r="XU288" s="31"/>
      <c r="XV288" s="31"/>
      <c r="XW288" s="31"/>
      <c r="XX288" s="31"/>
      <c r="XY288" s="31"/>
      <c r="XZ288" s="31"/>
      <c r="YA288" s="31"/>
      <c r="YB288" s="31"/>
      <c r="YC288" s="31"/>
      <c r="YD288" s="31"/>
      <c r="YE288" s="31"/>
      <c r="YF288" s="31"/>
      <c r="YG288" s="31"/>
      <c r="YH288" s="31"/>
      <c r="YI288" s="31"/>
      <c r="YJ288" s="31"/>
      <c r="YK288" s="31"/>
      <c r="YL288" s="31"/>
      <c r="YM288" s="31"/>
      <c r="YN288" s="31"/>
      <c r="YO288" s="31"/>
      <c r="YP288" s="31"/>
      <c r="YQ288" s="31"/>
      <c r="YR288" s="31"/>
      <c r="YS288" s="31"/>
      <c r="YT288" s="31"/>
      <c r="YU288" s="31"/>
      <c r="YV288" s="31"/>
      <c r="YW288" s="31"/>
      <c r="YX288" s="31"/>
      <c r="YY288" s="31"/>
      <c r="YZ288" s="31"/>
      <c r="ZA288" s="31"/>
      <c r="ZB288" s="31"/>
      <c r="ZC288" s="31"/>
      <c r="ZD288" s="31"/>
      <c r="ZE288" s="31"/>
      <c r="ZF288" s="31"/>
      <c r="ZG288" s="31"/>
      <c r="ZH288" s="31"/>
      <c r="ZI288" s="31"/>
      <c r="ZJ288" s="31"/>
      <c r="ZK288" s="31"/>
      <c r="ZL288" s="31"/>
      <c r="ZM288" s="31"/>
      <c r="ZN288" s="31"/>
      <c r="ZO288" s="31"/>
      <c r="ZP288" s="31"/>
      <c r="ZQ288" s="31"/>
      <c r="ZR288" s="31"/>
      <c r="ZS288" s="31"/>
      <c r="ZT288" s="31"/>
      <c r="ZU288" s="31"/>
      <c r="ZV288" s="31"/>
      <c r="ZW288" s="31"/>
      <c r="ZX288" s="31"/>
      <c r="ZY288" s="31"/>
      <c r="ZZ288" s="31"/>
      <c r="AAA288" s="31"/>
      <c r="AAB288" s="31"/>
      <c r="AAC288" s="31"/>
      <c r="AAD288" s="31"/>
      <c r="AAE288" s="31"/>
      <c r="AAF288" s="31"/>
      <c r="AAG288" s="31"/>
      <c r="AAH288" s="31"/>
      <c r="AAI288" s="31"/>
      <c r="AAJ288" s="31"/>
      <c r="AAK288" s="31"/>
      <c r="AAL288" s="31"/>
      <c r="AAM288" s="31"/>
      <c r="AAN288" s="31"/>
      <c r="AAO288" s="31"/>
      <c r="AAP288" s="31"/>
      <c r="AAQ288" s="31"/>
      <c r="AAR288" s="31"/>
      <c r="AAS288" s="31"/>
      <c r="AAT288" s="31"/>
      <c r="AAU288" s="31"/>
      <c r="AAV288" s="31"/>
      <c r="AAW288" s="31"/>
      <c r="AAX288" s="31"/>
      <c r="AAY288" s="31"/>
      <c r="AAZ288" s="31"/>
      <c r="ABA288" s="31"/>
      <c r="ABB288" s="31"/>
      <c r="ABC288" s="31"/>
      <c r="ABD288" s="31"/>
      <c r="ABE288" s="31"/>
      <c r="ABF288" s="31"/>
      <c r="ABG288" s="31"/>
      <c r="ABH288" s="31"/>
      <c r="ABI288" s="31"/>
      <c r="ABJ288" s="31"/>
      <c r="ABK288" s="31"/>
      <c r="ABL288" s="31"/>
      <c r="ABM288" s="31"/>
      <c r="ABN288" s="31"/>
      <c r="ABO288" s="31"/>
      <c r="ABP288" s="31"/>
      <c r="ABQ288" s="31"/>
      <c r="ABR288" s="31"/>
      <c r="ABS288" s="31"/>
      <c r="ABT288" s="31"/>
      <c r="ABU288" s="31"/>
      <c r="ABV288" s="31"/>
      <c r="ABW288" s="31"/>
      <c r="ABX288" s="31"/>
      <c r="ABY288" s="31"/>
      <c r="ABZ288" s="31"/>
      <c r="ACA288" s="31"/>
      <c r="ACB288" s="31"/>
      <c r="ACC288" s="31"/>
      <c r="ACD288" s="31"/>
      <c r="ACE288" s="31"/>
      <c r="ACF288" s="31"/>
      <c r="ACG288" s="31"/>
      <c r="ACH288" s="31"/>
      <c r="ACI288" s="31"/>
      <c r="ACJ288" s="31"/>
      <c r="ACK288" s="31"/>
      <c r="ACL288" s="31"/>
      <c r="ACM288" s="31"/>
      <c r="ACN288" s="31"/>
      <c r="ACO288" s="31"/>
      <c r="ACP288" s="31"/>
      <c r="ACQ288" s="31"/>
      <c r="ACR288" s="31"/>
      <c r="ACS288" s="31"/>
      <c r="ACT288" s="31"/>
      <c r="ACU288" s="31"/>
      <c r="ACV288" s="31"/>
      <c r="ACW288" s="31"/>
      <c r="ACX288" s="31"/>
      <c r="ACY288" s="31"/>
      <c r="ACZ288" s="31"/>
      <c r="ADA288" s="31"/>
      <c r="ADB288" s="31"/>
      <c r="ADC288" s="31"/>
      <c r="ADD288" s="31"/>
      <c r="ADE288" s="31"/>
      <c r="ADF288" s="31"/>
      <c r="ADG288" s="31"/>
      <c r="ADH288" s="31"/>
      <c r="ADI288" s="31"/>
      <c r="ADJ288" s="31"/>
      <c r="ADK288" s="31"/>
      <c r="ADL288" s="31"/>
      <c r="ADM288" s="31"/>
      <c r="ADN288" s="31"/>
      <c r="ADO288" s="31"/>
      <c r="ADP288" s="31"/>
      <c r="ADQ288" s="31"/>
      <c r="ADR288" s="31"/>
      <c r="ADS288" s="31"/>
      <c r="ADT288" s="31"/>
      <c r="ADU288" s="31"/>
      <c r="ADV288" s="31"/>
      <c r="ADW288" s="31"/>
      <c r="ADX288" s="31"/>
      <c r="ADY288" s="31"/>
      <c r="ADZ288" s="31"/>
      <c r="AEA288" s="31"/>
      <c r="AEB288" s="31"/>
      <c r="AEC288" s="31"/>
      <c r="AED288" s="31"/>
      <c r="AEE288" s="31"/>
      <c r="AEF288" s="31"/>
      <c r="AEG288" s="31"/>
      <c r="AEH288" s="31"/>
      <c r="AEI288" s="31"/>
      <c r="AEJ288" s="31"/>
      <c r="AEK288" s="31"/>
      <c r="AEL288" s="31"/>
      <c r="AEM288" s="31"/>
      <c r="AEN288" s="31"/>
      <c r="AEO288" s="31"/>
      <c r="AEP288" s="31"/>
      <c r="AEQ288" s="31"/>
      <c r="AER288" s="31"/>
      <c r="AES288" s="31"/>
      <c r="AET288" s="31"/>
      <c r="AEU288" s="31"/>
      <c r="AEV288" s="31"/>
      <c r="AEW288" s="31"/>
      <c r="AEX288" s="31"/>
      <c r="AEY288" s="31"/>
      <c r="AEZ288" s="31"/>
      <c r="AFA288" s="31"/>
      <c r="AFB288" s="31"/>
      <c r="AFC288" s="31"/>
      <c r="AFD288" s="31"/>
      <c r="AFE288" s="31"/>
      <c r="AFF288" s="31"/>
      <c r="AFG288" s="31"/>
      <c r="AFH288" s="31"/>
      <c r="AFI288" s="31"/>
      <c r="AFJ288" s="31"/>
      <c r="AFK288" s="31"/>
      <c r="AFL288" s="31"/>
      <c r="AFM288" s="31"/>
      <c r="AFN288" s="31"/>
      <c r="AFO288" s="31"/>
      <c r="AFP288" s="31"/>
      <c r="AFQ288" s="31"/>
      <c r="AFR288" s="31"/>
      <c r="AFS288" s="31"/>
      <c r="AFT288" s="31"/>
      <c r="AFU288" s="31"/>
      <c r="AFV288" s="31"/>
      <c r="AFW288" s="31"/>
      <c r="AFX288" s="31"/>
      <c r="AFY288" s="31"/>
      <c r="AFZ288" s="31"/>
      <c r="AGA288" s="31"/>
      <c r="AGB288" s="31"/>
      <c r="AGC288" s="31"/>
      <c r="AGD288" s="31"/>
      <c r="AGE288" s="31"/>
      <c r="AGF288" s="31"/>
      <c r="AGG288" s="31"/>
      <c r="AGH288" s="31"/>
      <c r="AGI288" s="31"/>
      <c r="AGJ288" s="31"/>
      <c r="AGK288" s="31"/>
      <c r="AGL288" s="31"/>
      <c r="AGM288" s="31"/>
      <c r="AGN288" s="31"/>
      <c r="AGO288" s="31"/>
      <c r="AGP288" s="31"/>
      <c r="AGQ288" s="31"/>
      <c r="AGR288" s="31"/>
      <c r="AGS288" s="31"/>
      <c r="AGT288" s="31"/>
      <c r="AGU288" s="31"/>
      <c r="AGV288" s="31"/>
      <c r="AGW288" s="31"/>
      <c r="AGX288" s="31"/>
      <c r="AGY288" s="31"/>
      <c r="AGZ288" s="31"/>
      <c r="AHA288" s="31"/>
      <c r="AHB288" s="31"/>
      <c r="AHC288" s="31"/>
      <c r="AHD288" s="31"/>
      <c r="AHE288" s="31"/>
      <c r="AHF288" s="31"/>
      <c r="AHG288" s="31"/>
      <c r="AHH288" s="31"/>
      <c r="AHI288" s="31"/>
      <c r="AHJ288" s="31"/>
      <c r="AHK288" s="31"/>
      <c r="AHL288" s="31"/>
      <c r="AHM288" s="31"/>
      <c r="AHN288" s="31"/>
      <c r="AHO288" s="31"/>
      <c r="AHP288" s="31"/>
      <c r="AHQ288" s="31"/>
      <c r="AHR288" s="31"/>
      <c r="AHS288" s="31"/>
      <c r="AHT288" s="31"/>
      <c r="AHU288" s="31"/>
      <c r="AHV288" s="31"/>
      <c r="AHW288" s="31"/>
      <c r="AHX288" s="31"/>
      <c r="AHY288" s="31"/>
      <c r="AHZ288" s="31"/>
      <c r="AIA288" s="31"/>
      <c r="AIB288" s="31"/>
      <c r="AIC288" s="31"/>
      <c r="AID288" s="31"/>
      <c r="AIE288" s="31"/>
      <c r="AIF288" s="31"/>
      <c r="AIG288" s="31"/>
      <c r="AIH288" s="31"/>
      <c r="AII288" s="31"/>
      <c r="AIJ288" s="31"/>
      <c r="AIK288" s="31"/>
      <c r="AIL288" s="31"/>
      <c r="AIM288" s="31"/>
      <c r="AIN288" s="31"/>
      <c r="AIO288" s="31"/>
      <c r="AIP288" s="31"/>
      <c r="AIQ288" s="31"/>
      <c r="AIR288" s="31"/>
      <c r="AIS288" s="31"/>
      <c r="AIT288" s="31"/>
      <c r="AIU288" s="31"/>
      <c r="AIV288" s="31"/>
      <c r="AIW288" s="31"/>
      <c r="AIX288" s="31"/>
      <c r="AIY288" s="31"/>
      <c r="AIZ288" s="31"/>
      <c r="AJA288" s="31"/>
      <c r="AJB288" s="31"/>
      <c r="AJC288" s="31"/>
      <c r="AJD288" s="31"/>
      <c r="AJE288" s="31"/>
      <c r="AJF288" s="31"/>
      <c r="AJG288" s="31"/>
      <c r="AJH288" s="31"/>
      <c r="AJI288" s="31"/>
      <c r="AJJ288" s="31"/>
      <c r="AJK288" s="31"/>
      <c r="AJL288" s="31"/>
      <c r="AJM288" s="31"/>
      <c r="AJN288" s="31"/>
      <c r="AJO288" s="31"/>
      <c r="AJP288" s="31"/>
      <c r="AJQ288" s="31"/>
      <c r="AJR288" s="31"/>
      <c r="AJS288" s="31"/>
      <c r="AJT288" s="31"/>
      <c r="AJU288" s="31"/>
      <c r="AJV288" s="31"/>
      <c r="AJW288" s="31"/>
      <c r="AJX288" s="31"/>
      <c r="AJY288" s="31"/>
      <c r="AJZ288" s="31"/>
      <c r="AKA288" s="31"/>
      <c r="AKB288" s="31"/>
      <c r="AKC288" s="31"/>
      <c r="AKD288" s="31"/>
      <c r="AKE288" s="31"/>
      <c r="AKF288" s="31"/>
      <c r="AKG288" s="31"/>
      <c r="AKH288" s="31"/>
      <c r="AKI288" s="31"/>
      <c r="AKJ288" s="31"/>
      <c r="AKK288" s="31"/>
      <c r="AKL288" s="31"/>
      <c r="AKM288" s="31"/>
      <c r="AKN288" s="31"/>
      <c r="AKO288" s="31"/>
      <c r="AKP288" s="31"/>
      <c r="AKQ288" s="31"/>
      <c r="AKR288" s="31"/>
      <c r="AKS288" s="31"/>
      <c r="AKT288" s="31"/>
      <c r="AKU288" s="31"/>
      <c r="AKV288" s="31"/>
      <c r="AKW288" s="31"/>
      <c r="AKX288" s="31"/>
      <c r="AKY288" s="31"/>
      <c r="AKZ288" s="31"/>
      <c r="ALA288" s="31"/>
      <c r="ALB288" s="31"/>
      <c r="ALC288" s="31"/>
      <c r="ALD288" s="31"/>
      <c r="ALE288" s="31"/>
      <c r="ALF288" s="31"/>
      <c r="ALG288" s="31"/>
      <c r="ALH288" s="31"/>
      <c r="ALI288" s="31"/>
      <c r="ALJ288" s="31"/>
      <c r="ALK288" s="31"/>
      <c r="ALL288" s="31"/>
      <c r="ALM288" s="31"/>
      <c r="ALN288" s="31"/>
      <c r="ALO288" s="31"/>
      <c r="ALP288" s="31"/>
      <c r="ALQ288" s="31"/>
      <c r="ALR288" s="31"/>
      <c r="ALS288" s="31"/>
      <c r="ALT288" s="31"/>
      <c r="ALU288" s="31"/>
      <c r="ALV288" s="31"/>
      <c r="ALW288" s="31"/>
      <c r="ALX288" s="31"/>
      <c r="ALY288" s="31"/>
      <c r="ALZ288" s="31"/>
      <c r="AMA288" s="31"/>
      <c r="AMB288" s="31"/>
      <c r="AMC288" s="31"/>
      <c r="AMD288" s="31"/>
      <c r="AME288" s="31"/>
      <c r="AMF288" s="31"/>
      <c r="AMG288" s="31"/>
      <c r="AMH288" s="31"/>
      <c r="AMI288" s="31"/>
      <c r="AMJ288" s="31"/>
      <c r="AMK288" s="31"/>
      <c r="AML288" s="31"/>
      <c r="AMM288" s="31"/>
    </row>
    <row r="289" spans="1:1027" s="1" customFormat="1" x14ac:dyDescent="0.2">
      <c r="A289" s="18">
        <v>1</v>
      </c>
      <c r="B289" s="18" t="s">
        <v>882</v>
      </c>
      <c r="C289" s="18"/>
      <c r="D289" s="18">
        <v>697</v>
      </c>
      <c r="E289" s="42" t="s">
        <v>507</v>
      </c>
      <c r="F289" s="42" t="s">
        <v>507</v>
      </c>
      <c r="G289" s="43" t="s">
        <v>540</v>
      </c>
      <c r="H289" s="42" t="s">
        <v>507</v>
      </c>
      <c r="I289" s="42"/>
      <c r="J289" s="42" t="s">
        <v>507</v>
      </c>
      <c r="K289" s="21" t="s">
        <v>509</v>
      </c>
      <c r="L289" s="18"/>
      <c r="M289" s="1" t="s">
        <v>598</v>
      </c>
      <c r="O289" s="18"/>
      <c r="P289" s="18"/>
      <c r="Q289" s="18" t="s">
        <v>527</v>
      </c>
      <c r="R289" s="18"/>
      <c r="S289" s="27" t="s">
        <v>640</v>
      </c>
      <c r="T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c r="DV289" s="18"/>
      <c r="DW289" s="18"/>
      <c r="DX289" s="18"/>
      <c r="DY289" s="18"/>
      <c r="DZ289" s="18"/>
      <c r="EA289" s="18"/>
      <c r="EB289" s="18"/>
      <c r="EC289" s="18"/>
      <c r="ED289" s="18"/>
      <c r="EE289" s="18"/>
      <c r="EF289" s="18"/>
      <c r="EG289" s="18"/>
      <c r="EH289" s="18"/>
      <c r="EI289" s="18"/>
      <c r="EJ289" s="18"/>
      <c r="EK289" s="18"/>
      <c r="EL289" s="18"/>
      <c r="EM289" s="18"/>
      <c r="EN289" s="18"/>
      <c r="EO289" s="18"/>
      <c r="EP289" s="18"/>
      <c r="EQ289" s="18"/>
      <c r="ER289" s="18"/>
      <c r="ES289" s="18"/>
      <c r="ET289" s="18"/>
      <c r="EU289" s="18"/>
      <c r="EV289" s="18"/>
      <c r="EW289" s="18"/>
      <c r="EX289" s="18"/>
      <c r="EY289" s="18"/>
      <c r="EZ289" s="18"/>
      <c r="FA289" s="18"/>
      <c r="FB289" s="18"/>
      <c r="FC289" s="18"/>
      <c r="FD289" s="18"/>
      <c r="FE289" s="18"/>
      <c r="FF289" s="18"/>
      <c r="FG289" s="18"/>
      <c r="FH289" s="18"/>
      <c r="FI289" s="18"/>
      <c r="FJ289" s="18"/>
      <c r="FK289" s="18"/>
      <c r="FL289" s="18"/>
      <c r="FM289" s="18"/>
      <c r="FN289" s="18"/>
      <c r="FO289" s="18"/>
      <c r="FP289" s="18"/>
      <c r="FQ289" s="18"/>
      <c r="FR289" s="18"/>
      <c r="FS289" s="18"/>
      <c r="FT289" s="18"/>
      <c r="FU289" s="18"/>
      <c r="FV289" s="18"/>
      <c r="FW289" s="18"/>
      <c r="FX289" s="18"/>
      <c r="FY289" s="18"/>
      <c r="FZ289" s="18"/>
      <c r="GA289" s="18"/>
      <c r="GB289" s="18"/>
      <c r="GC289" s="18"/>
      <c r="GD289" s="18"/>
      <c r="GE289" s="18"/>
      <c r="GF289" s="18"/>
      <c r="GG289" s="18"/>
      <c r="GH289" s="18"/>
      <c r="GI289" s="18"/>
      <c r="GJ289" s="18"/>
      <c r="GK289" s="18"/>
      <c r="GL289" s="18"/>
      <c r="GM289" s="18"/>
      <c r="GN289" s="18"/>
      <c r="GO289" s="18"/>
      <c r="GP289" s="18"/>
      <c r="GQ289" s="18"/>
      <c r="GR289" s="18"/>
      <c r="GS289" s="18"/>
      <c r="GT289" s="18"/>
      <c r="GU289" s="18"/>
      <c r="GV289" s="18"/>
      <c r="GW289" s="18"/>
      <c r="GX289" s="18"/>
      <c r="GY289" s="18"/>
      <c r="GZ289" s="18"/>
      <c r="HA289" s="18"/>
      <c r="HB289" s="18"/>
      <c r="HC289" s="18"/>
      <c r="HD289" s="18"/>
      <c r="HE289" s="18"/>
      <c r="HF289" s="18"/>
      <c r="HG289" s="18"/>
      <c r="HH289" s="18"/>
      <c r="HI289" s="18"/>
      <c r="HJ289" s="18"/>
      <c r="HK289" s="18"/>
      <c r="HL289" s="18"/>
      <c r="HM289" s="18"/>
      <c r="HN289" s="18"/>
      <c r="HO289" s="18"/>
      <c r="HP289" s="18"/>
      <c r="HQ289" s="18"/>
      <c r="HR289" s="18"/>
      <c r="HS289" s="18"/>
      <c r="HT289" s="18"/>
      <c r="HU289" s="18"/>
      <c r="HV289" s="18"/>
      <c r="HW289" s="18"/>
      <c r="HX289" s="18"/>
      <c r="HY289" s="18"/>
      <c r="HZ289" s="18"/>
      <c r="IA289" s="18"/>
      <c r="IB289" s="18"/>
      <c r="IC289" s="18"/>
      <c r="ID289" s="18"/>
      <c r="IE289" s="18"/>
      <c r="IF289" s="18"/>
      <c r="IG289" s="18"/>
      <c r="IH289" s="18"/>
      <c r="II289" s="18"/>
      <c r="IJ289" s="18"/>
      <c r="IK289" s="18"/>
      <c r="IL289" s="18"/>
      <c r="IM289" s="18"/>
      <c r="IN289" s="18"/>
      <c r="IO289" s="18"/>
      <c r="IP289" s="18"/>
      <c r="IQ289" s="18"/>
      <c r="IR289" s="18"/>
      <c r="IS289" s="18"/>
      <c r="IT289" s="18"/>
      <c r="IU289" s="18"/>
      <c r="IV289" s="18"/>
      <c r="IW289" s="18"/>
      <c r="IX289" s="18"/>
      <c r="IY289" s="18"/>
      <c r="IZ289" s="18"/>
      <c r="JA289" s="18"/>
      <c r="JB289" s="18"/>
      <c r="JC289" s="18"/>
      <c r="JD289" s="18"/>
      <c r="JE289" s="18"/>
      <c r="JF289" s="18"/>
      <c r="JG289" s="18"/>
      <c r="JH289" s="18"/>
      <c r="JI289" s="18"/>
      <c r="JJ289" s="18"/>
      <c r="JK289" s="18"/>
      <c r="JL289" s="18"/>
      <c r="JM289" s="18"/>
      <c r="JN289" s="18"/>
      <c r="JO289" s="18"/>
      <c r="JP289" s="18"/>
      <c r="JQ289" s="18"/>
      <c r="JR289" s="18"/>
      <c r="JS289" s="18"/>
      <c r="JT289" s="18"/>
      <c r="JU289" s="18"/>
      <c r="JV289" s="18"/>
      <c r="JW289" s="18"/>
      <c r="JX289" s="18"/>
      <c r="JY289" s="18"/>
      <c r="JZ289" s="18"/>
      <c r="KA289" s="18"/>
      <c r="KB289" s="18"/>
      <c r="KC289" s="18"/>
      <c r="KD289" s="18"/>
      <c r="KE289" s="18"/>
      <c r="KF289" s="18"/>
      <c r="KG289" s="18"/>
      <c r="KH289" s="18"/>
      <c r="KI289" s="18"/>
      <c r="KJ289" s="18"/>
      <c r="KK289" s="18"/>
      <c r="KL289" s="18"/>
      <c r="KM289" s="18"/>
      <c r="KN289" s="18"/>
      <c r="KO289" s="18"/>
      <c r="KP289" s="18"/>
      <c r="KQ289" s="18"/>
      <c r="KR289" s="18"/>
      <c r="KS289" s="18"/>
      <c r="KT289" s="18"/>
      <c r="KU289" s="18"/>
      <c r="KV289" s="18"/>
      <c r="KW289" s="18"/>
      <c r="KX289" s="18"/>
      <c r="KY289" s="18"/>
      <c r="KZ289" s="18"/>
      <c r="LA289" s="18"/>
      <c r="LB289" s="18"/>
      <c r="LC289" s="18"/>
      <c r="LD289" s="18"/>
      <c r="LE289" s="18"/>
      <c r="LF289" s="18"/>
      <c r="LG289" s="18"/>
      <c r="LH289" s="18"/>
      <c r="LI289" s="18"/>
      <c r="LJ289" s="18"/>
      <c r="LK289" s="18"/>
      <c r="LL289" s="18"/>
      <c r="LM289" s="18"/>
      <c r="LN289" s="18"/>
      <c r="LO289" s="18"/>
      <c r="LP289" s="18"/>
      <c r="LQ289" s="18"/>
      <c r="LR289" s="18"/>
      <c r="LS289" s="18"/>
      <c r="LT289" s="18"/>
      <c r="LU289" s="18"/>
      <c r="LV289" s="18"/>
      <c r="LW289" s="18"/>
      <c r="LX289" s="18"/>
      <c r="LY289" s="18"/>
      <c r="LZ289" s="18"/>
      <c r="MA289" s="18"/>
      <c r="MB289" s="18"/>
      <c r="MC289" s="18"/>
      <c r="MD289" s="18"/>
      <c r="ME289" s="18"/>
      <c r="MF289" s="18"/>
      <c r="MG289" s="18"/>
      <c r="MH289" s="18"/>
      <c r="MI289" s="18"/>
      <c r="MJ289" s="18"/>
      <c r="MK289" s="18"/>
      <c r="ML289" s="18"/>
      <c r="MM289" s="18"/>
      <c r="MN289" s="18"/>
      <c r="MO289" s="18"/>
      <c r="MP289" s="18"/>
      <c r="MQ289" s="18"/>
      <c r="MR289" s="18"/>
      <c r="MS289" s="18"/>
      <c r="MT289" s="18"/>
      <c r="MU289" s="18"/>
      <c r="MV289" s="18"/>
      <c r="MW289" s="18"/>
      <c r="MX289" s="18"/>
      <c r="MY289" s="18"/>
      <c r="MZ289" s="18"/>
      <c r="NA289" s="18"/>
      <c r="NB289" s="18"/>
      <c r="NC289" s="18"/>
      <c r="ND289" s="18"/>
      <c r="NE289" s="18"/>
      <c r="NF289" s="18"/>
      <c r="NG289" s="18"/>
      <c r="NH289" s="18"/>
      <c r="NI289" s="18"/>
      <c r="NJ289" s="18"/>
      <c r="NK289" s="18"/>
      <c r="NL289" s="18"/>
      <c r="NM289" s="18"/>
      <c r="NN289" s="18"/>
      <c r="NO289" s="18"/>
      <c r="NP289" s="18"/>
      <c r="NQ289" s="18"/>
      <c r="NR289" s="18"/>
      <c r="NS289" s="18"/>
      <c r="NT289" s="18"/>
      <c r="NU289" s="18"/>
      <c r="NV289" s="18"/>
      <c r="NW289" s="18"/>
      <c r="NX289" s="18"/>
      <c r="NY289" s="18"/>
      <c r="NZ289" s="18"/>
      <c r="OA289" s="18"/>
      <c r="OB289" s="18"/>
      <c r="OC289" s="18"/>
      <c r="OD289" s="18"/>
      <c r="OE289" s="18"/>
      <c r="OF289" s="18"/>
      <c r="OG289" s="18"/>
      <c r="OH289" s="18"/>
      <c r="OI289" s="18"/>
      <c r="OJ289" s="18"/>
      <c r="OK289" s="18"/>
      <c r="OL289" s="18"/>
      <c r="OM289" s="18"/>
      <c r="ON289" s="18"/>
      <c r="OO289" s="18"/>
      <c r="OP289" s="18"/>
      <c r="OQ289" s="18"/>
      <c r="OR289" s="18"/>
      <c r="OS289" s="18"/>
      <c r="OT289" s="18"/>
      <c r="OU289" s="18"/>
      <c r="OV289" s="18"/>
      <c r="OW289" s="18"/>
      <c r="OX289" s="18"/>
      <c r="OY289" s="18"/>
      <c r="OZ289" s="18"/>
      <c r="PA289" s="18"/>
      <c r="PB289" s="18"/>
      <c r="PC289" s="18"/>
      <c r="PD289" s="18"/>
      <c r="PE289" s="18"/>
      <c r="PF289" s="18"/>
      <c r="PG289" s="18"/>
      <c r="PH289" s="18"/>
      <c r="PI289" s="18"/>
      <c r="PJ289" s="18"/>
      <c r="PK289" s="18"/>
      <c r="PL289" s="18"/>
      <c r="PM289" s="18"/>
      <c r="PN289" s="18"/>
      <c r="PO289" s="18"/>
      <c r="PP289" s="18"/>
      <c r="PQ289" s="18"/>
      <c r="PR289" s="18"/>
      <c r="PS289" s="18"/>
      <c r="PT289" s="18"/>
      <c r="PU289" s="18"/>
      <c r="PV289" s="18"/>
      <c r="PW289" s="18"/>
      <c r="PX289" s="18"/>
      <c r="PY289" s="18"/>
      <c r="PZ289" s="18"/>
      <c r="QA289" s="18"/>
      <c r="QB289" s="18"/>
      <c r="QC289" s="18"/>
      <c r="QD289" s="18"/>
      <c r="QE289" s="18"/>
      <c r="QF289" s="18"/>
      <c r="QG289" s="18"/>
      <c r="QH289" s="18"/>
      <c r="QI289" s="18"/>
      <c r="QJ289" s="18"/>
      <c r="QK289" s="18"/>
      <c r="QL289" s="18"/>
      <c r="QM289" s="18"/>
      <c r="QN289" s="18"/>
      <c r="QO289" s="18"/>
      <c r="QP289" s="18"/>
      <c r="QQ289" s="18"/>
      <c r="QR289" s="18"/>
      <c r="QS289" s="18"/>
      <c r="QT289" s="18"/>
      <c r="QU289" s="18"/>
      <c r="QV289" s="18"/>
      <c r="QW289" s="18"/>
      <c r="QX289" s="18"/>
      <c r="QY289" s="18"/>
      <c r="QZ289" s="18"/>
      <c r="RA289" s="18"/>
      <c r="RB289" s="18"/>
      <c r="RC289" s="18"/>
      <c r="RD289" s="18"/>
      <c r="RE289" s="18"/>
      <c r="RF289" s="18"/>
      <c r="RG289" s="18"/>
      <c r="RH289" s="18"/>
      <c r="RI289" s="18"/>
      <c r="RJ289" s="18"/>
      <c r="RK289" s="18"/>
      <c r="RL289" s="18"/>
      <c r="RM289" s="18"/>
      <c r="RN289" s="18"/>
      <c r="RO289" s="18"/>
      <c r="RP289" s="18"/>
      <c r="RQ289" s="18"/>
      <c r="RR289" s="18"/>
      <c r="RS289" s="18"/>
      <c r="RT289" s="18"/>
      <c r="RU289" s="18"/>
      <c r="RV289" s="18"/>
      <c r="RW289" s="18"/>
      <c r="RX289" s="18"/>
      <c r="RY289" s="18"/>
      <c r="RZ289" s="18"/>
      <c r="SA289" s="18"/>
      <c r="SB289" s="18"/>
      <c r="SC289" s="18"/>
      <c r="SD289" s="18"/>
      <c r="SE289" s="18"/>
      <c r="SF289" s="18"/>
      <c r="SG289" s="18"/>
      <c r="SH289" s="18"/>
      <c r="SI289" s="18"/>
      <c r="SJ289" s="18"/>
      <c r="SK289" s="18"/>
      <c r="SL289" s="18"/>
      <c r="SM289" s="18"/>
      <c r="SN289" s="18"/>
      <c r="SO289" s="18"/>
      <c r="SP289" s="18"/>
      <c r="SQ289" s="18"/>
      <c r="SR289" s="18"/>
      <c r="SS289" s="18"/>
      <c r="ST289" s="18"/>
      <c r="SU289" s="18"/>
      <c r="SV289" s="18"/>
      <c r="SW289" s="18"/>
      <c r="SX289" s="18"/>
      <c r="SY289" s="18"/>
      <c r="SZ289" s="18"/>
      <c r="TA289" s="18"/>
      <c r="TB289" s="18"/>
      <c r="TC289" s="18"/>
      <c r="TD289" s="18"/>
      <c r="TE289" s="18"/>
      <c r="TF289" s="18"/>
      <c r="TG289" s="18"/>
      <c r="TH289" s="18"/>
      <c r="TI289" s="18"/>
      <c r="TJ289" s="18"/>
      <c r="TK289" s="18"/>
      <c r="TL289" s="18"/>
      <c r="TM289" s="18"/>
      <c r="TN289" s="18"/>
      <c r="TO289" s="18"/>
      <c r="TP289" s="18"/>
      <c r="TQ289" s="18"/>
      <c r="TR289" s="18"/>
      <c r="TS289" s="18"/>
      <c r="TT289" s="18"/>
      <c r="TU289" s="18"/>
      <c r="TV289" s="18"/>
      <c r="TW289" s="18"/>
      <c r="TX289" s="18"/>
      <c r="TY289" s="18"/>
      <c r="TZ289" s="18"/>
      <c r="UA289" s="18"/>
      <c r="UB289" s="18"/>
      <c r="UC289" s="18"/>
      <c r="UD289" s="18"/>
      <c r="UE289" s="18"/>
      <c r="UF289" s="18"/>
      <c r="UG289" s="18"/>
      <c r="UH289" s="18"/>
      <c r="UI289" s="18"/>
      <c r="UJ289" s="18"/>
      <c r="UK289" s="18"/>
      <c r="UL289" s="18"/>
      <c r="UM289" s="18"/>
      <c r="UN289" s="18"/>
      <c r="UO289" s="18"/>
      <c r="UP289" s="18"/>
      <c r="UQ289" s="18"/>
      <c r="UR289" s="18"/>
      <c r="US289" s="18"/>
      <c r="UT289" s="18"/>
      <c r="UU289" s="18"/>
      <c r="UV289" s="18"/>
      <c r="UW289" s="18"/>
      <c r="UX289" s="18"/>
      <c r="UY289" s="18"/>
      <c r="UZ289" s="18"/>
      <c r="VA289" s="18"/>
      <c r="VB289" s="18"/>
      <c r="VC289" s="18"/>
      <c r="VD289" s="18"/>
      <c r="VE289" s="18"/>
      <c r="VF289" s="18"/>
      <c r="VG289" s="18"/>
      <c r="VH289" s="18"/>
      <c r="VI289" s="18"/>
      <c r="VJ289" s="18"/>
      <c r="VK289" s="18"/>
      <c r="VL289" s="18"/>
      <c r="VM289" s="18"/>
      <c r="VN289" s="18"/>
      <c r="VO289" s="18"/>
      <c r="VP289" s="18"/>
      <c r="VQ289" s="18"/>
      <c r="VR289" s="18"/>
      <c r="VS289" s="18"/>
      <c r="VT289" s="18"/>
      <c r="VU289" s="18"/>
      <c r="VV289" s="18"/>
      <c r="VW289" s="18"/>
      <c r="VX289" s="18"/>
      <c r="VY289" s="18"/>
      <c r="VZ289" s="18"/>
      <c r="WA289" s="18"/>
      <c r="WB289" s="18"/>
      <c r="WC289" s="18"/>
      <c r="WD289" s="18"/>
      <c r="WE289" s="18"/>
      <c r="WF289" s="18"/>
      <c r="WG289" s="18"/>
      <c r="WH289" s="18"/>
      <c r="WI289" s="18"/>
      <c r="WJ289" s="18"/>
      <c r="WK289" s="18"/>
      <c r="WL289" s="18"/>
      <c r="WM289" s="18"/>
      <c r="WN289" s="18"/>
      <c r="WO289" s="18"/>
      <c r="WP289" s="18"/>
      <c r="WQ289" s="18"/>
      <c r="WR289" s="18"/>
      <c r="WS289" s="18"/>
      <c r="WT289" s="18"/>
      <c r="WU289" s="18"/>
      <c r="WV289" s="18"/>
      <c r="WW289" s="18"/>
      <c r="WX289" s="18"/>
      <c r="WY289" s="18"/>
      <c r="WZ289" s="18"/>
      <c r="XA289" s="18"/>
      <c r="XB289" s="18"/>
      <c r="XC289" s="18"/>
      <c r="XD289" s="18"/>
      <c r="XE289" s="18"/>
      <c r="XF289" s="18"/>
      <c r="XG289" s="18"/>
      <c r="XH289" s="18"/>
      <c r="XI289" s="18"/>
      <c r="XJ289" s="18"/>
      <c r="XK289" s="18"/>
      <c r="XL289" s="18"/>
      <c r="XM289" s="18"/>
      <c r="XN289" s="18"/>
      <c r="XO289" s="18"/>
      <c r="XP289" s="18"/>
      <c r="XQ289" s="18"/>
      <c r="XR289" s="18"/>
      <c r="XS289" s="18"/>
      <c r="XT289" s="18"/>
      <c r="XU289" s="18"/>
      <c r="XV289" s="18"/>
      <c r="XW289" s="18"/>
      <c r="XX289" s="18"/>
      <c r="XY289" s="18"/>
      <c r="XZ289" s="18"/>
      <c r="YA289" s="18"/>
      <c r="YB289" s="18"/>
      <c r="YC289" s="18"/>
      <c r="YD289" s="18"/>
      <c r="YE289" s="18"/>
      <c r="YF289" s="18"/>
      <c r="YG289" s="18"/>
      <c r="YH289" s="18"/>
      <c r="YI289" s="18"/>
      <c r="YJ289" s="18"/>
      <c r="YK289" s="18"/>
      <c r="YL289" s="18"/>
      <c r="YM289" s="18"/>
      <c r="YN289" s="18"/>
      <c r="YO289" s="18"/>
      <c r="YP289" s="18"/>
      <c r="YQ289" s="18"/>
      <c r="YR289" s="18"/>
      <c r="YS289" s="18"/>
      <c r="YT289" s="18"/>
      <c r="YU289" s="18"/>
      <c r="YV289" s="18"/>
      <c r="YW289" s="18"/>
      <c r="YX289" s="18"/>
      <c r="YY289" s="18"/>
      <c r="YZ289" s="18"/>
      <c r="ZA289" s="18"/>
      <c r="ZB289" s="18"/>
      <c r="ZC289" s="18"/>
      <c r="ZD289" s="18"/>
      <c r="ZE289" s="18"/>
      <c r="ZF289" s="18"/>
      <c r="ZG289" s="18"/>
      <c r="ZH289" s="18"/>
      <c r="ZI289" s="18"/>
      <c r="ZJ289" s="18"/>
      <c r="ZK289" s="18"/>
      <c r="ZL289" s="18"/>
      <c r="ZM289" s="18"/>
      <c r="ZN289" s="18"/>
      <c r="ZO289" s="18"/>
      <c r="ZP289" s="18"/>
      <c r="ZQ289" s="18"/>
      <c r="ZR289" s="18"/>
      <c r="ZS289" s="18"/>
      <c r="ZT289" s="18"/>
      <c r="ZU289" s="18"/>
      <c r="ZV289" s="18"/>
      <c r="ZW289" s="18"/>
      <c r="ZX289" s="18"/>
      <c r="ZY289" s="18"/>
      <c r="ZZ289" s="18"/>
      <c r="AAA289" s="18"/>
      <c r="AAB289" s="18"/>
      <c r="AAC289" s="18"/>
      <c r="AAD289" s="18"/>
      <c r="AAE289" s="18"/>
      <c r="AAF289" s="18"/>
      <c r="AAG289" s="18"/>
      <c r="AAH289" s="18"/>
      <c r="AAI289" s="18"/>
      <c r="AAJ289" s="18"/>
      <c r="AAK289" s="18"/>
      <c r="AAL289" s="18"/>
      <c r="AAM289" s="18"/>
      <c r="AAN289" s="18"/>
      <c r="AAO289" s="18"/>
      <c r="AAP289" s="18"/>
      <c r="AAQ289" s="18"/>
      <c r="AAR289" s="18"/>
      <c r="AAS289" s="18"/>
      <c r="AAT289" s="18"/>
      <c r="AAU289" s="18"/>
      <c r="AAV289" s="18"/>
      <c r="AAW289" s="18"/>
      <c r="AAX289" s="18"/>
      <c r="AAY289" s="18"/>
      <c r="AAZ289" s="18"/>
      <c r="ABA289" s="18"/>
      <c r="ABB289" s="18"/>
      <c r="ABC289" s="18"/>
      <c r="ABD289" s="18"/>
      <c r="ABE289" s="18"/>
      <c r="ABF289" s="18"/>
      <c r="ABG289" s="18"/>
      <c r="ABH289" s="18"/>
      <c r="ABI289" s="18"/>
      <c r="ABJ289" s="18"/>
      <c r="ABK289" s="18"/>
      <c r="ABL289" s="18"/>
      <c r="ABM289" s="18"/>
      <c r="ABN289" s="18"/>
      <c r="ABO289" s="18"/>
      <c r="ABP289" s="18"/>
      <c r="ABQ289" s="18"/>
      <c r="ABR289" s="18"/>
      <c r="ABS289" s="18"/>
      <c r="ABT289" s="18"/>
      <c r="ABU289" s="18"/>
      <c r="ABV289" s="18"/>
      <c r="ABW289" s="18"/>
      <c r="ABX289" s="18"/>
      <c r="ABY289" s="18"/>
      <c r="ABZ289" s="18"/>
      <c r="ACA289" s="18"/>
      <c r="ACB289" s="18"/>
      <c r="ACC289" s="18"/>
      <c r="ACD289" s="18"/>
      <c r="ACE289" s="18"/>
      <c r="ACF289" s="18"/>
      <c r="ACG289" s="18"/>
      <c r="ACH289" s="18"/>
      <c r="ACI289" s="18"/>
      <c r="ACJ289" s="18"/>
      <c r="ACK289" s="18"/>
      <c r="ACL289" s="18"/>
      <c r="ACM289" s="18"/>
      <c r="ACN289" s="18"/>
      <c r="ACO289" s="18"/>
      <c r="ACP289" s="18"/>
      <c r="ACQ289" s="18"/>
      <c r="ACR289" s="18"/>
      <c r="ACS289" s="18"/>
      <c r="ACT289" s="18"/>
      <c r="ACU289" s="18"/>
      <c r="ACV289" s="18"/>
      <c r="ACW289" s="18"/>
      <c r="ACX289" s="18"/>
      <c r="ACY289" s="18"/>
      <c r="ACZ289" s="18"/>
      <c r="ADA289" s="18"/>
      <c r="ADB289" s="18"/>
      <c r="ADC289" s="18"/>
      <c r="ADD289" s="18"/>
      <c r="ADE289" s="18"/>
      <c r="ADF289" s="18"/>
      <c r="ADG289" s="18"/>
      <c r="ADH289" s="18"/>
      <c r="ADI289" s="18"/>
      <c r="ADJ289" s="18"/>
      <c r="ADK289" s="18"/>
      <c r="ADL289" s="18"/>
      <c r="ADM289" s="18"/>
      <c r="ADN289" s="18"/>
      <c r="ADO289" s="18"/>
      <c r="ADP289" s="18"/>
      <c r="ADQ289" s="18"/>
      <c r="ADR289" s="18"/>
      <c r="ADS289" s="18"/>
      <c r="ADT289" s="18"/>
      <c r="ADU289" s="18"/>
      <c r="ADV289" s="18"/>
      <c r="ADW289" s="18"/>
      <c r="ADX289" s="18"/>
      <c r="ADY289" s="18"/>
      <c r="ADZ289" s="18"/>
      <c r="AEA289" s="18"/>
      <c r="AEB289" s="18"/>
      <c r="AEC289" s="18"/>
      <c r="AED289" s="18"/>
      <c r="AEE289" s="18"/>
      <c r="AEF289" s="18"/>
      <c r="AEG289" s="18"/>
      <c r="AEH289" s="18"/>
      <c r="AEI289" s="18"/>
      <c r="AEJ289" s="18"/>
      <c r="AEK289" s="18"/>
      <c r="AEL289" s="18"/>
      <c r="AEM289" s="18"/>
      <c r="AEN289" s="18"/>
      <c r="AEO289" s="18"/>
      <c r="AEP289" s="18"/>
      <c r="AEQ289" s="18"/>
      <c r="AER289" s="18"/>
      <c r="AES289" s="18"/>
      <c r="AET289" s="18"/>
      <c r="AEU289" s="18"/>
      <c r="AEV289" s="18"/>
      <c r="AEW289" s="18"/>
      <c r="AEX289" s="18"/>
      <c r="AEY289" s="18"/>
      <c r="AEZ289" s="18"/>
      <c r="AFA289" s="18"/>
      <c r="AFB289" s="18"/>
      <c r="AFC289" s="18"/>
      <c r="AFD289" s="18"/>
      <c r="AFE289" s="18"/>
      <c r="AFF289" s="18"/>
      <c r="AFG289" s="18"/>
      <c r="AFH289" s="18"/>
      <c r="AFI289" s="18"/>
      <c r="AFJ289" s="18"/>
      <c r="AFK289" s="18"/>
      <c r="AFL289" s="18"/>
      <c r="AFM289" s="18"/>
      <c r="AFN289" s="18"/>
      <c r="AFO289" s="18"/>
      <c r="AFP289" s="18"/>
      <c r="AFQ289" s="18"/>
      <c r="AFR289" s="18"/>
      <c r="AFS289" s="18"/>
      <c r="AFT289" s="18"/>
      <c r="AFU289" s="18"/>
      <c r="AFV289" s="18"/>
      <c r="AFW289" s="18"/>
      <c r="AFX289" s="18"/>
      <c r="AFY289" s="18"/>
      <c r="AFZ289" s="18"/>
      <c r="AGA289" s="18"/>
      <c r="AGB289" s="18"/>
      <c r="AGC289" s="18"/>
      <c r="AGD289" s="18"/>
      <c r="AGE289" s="18"/>
      <c r="AGF289" s="18"/>
      <c r="AGG289" s="18"/>
      <c r="AGH289" s="18"/>
      <c r="AGI289" s="18"/>
      <c r="AGJ289" s="18"/>
      <c r="AGK289" s="18"/>
      <c r="AGL289" s="18"/>
      <c r="AGM289" s="18"/>
      <c r="AGN289" s="18"/>
      <c r="AGO289" s="18"/>
      <c r="AGP289" s="18"/>
      <c r="AGQ289" s="18"/>
      <c r="AGR289" s="18"/>
      <c r="AGS289" s="18"/>
      <c r="AGT289" s="18"/>
      <c r="AGU289" s="18"/>
      <c r="AGV289" s="18"/>
      <c r="AGW289" s="18"/>
      <c r="AGX289" s="18"/>
      <c r="AGY289" s="18"/>
      <c r="AGZ289" s="18"/>
      <c r="AHA289" s="18"/>
      <c r="AHB289" s="18"/>
      <c r="AHC289" s="18"/>
      <c r="AHD289" s="18"/>
      <c r="AHE289" s="18"/>
      <c r="AHF289" s="18"/>
      <c r="AHG289" s="18"/>
      <c r="AHH289" s="18"/>
      <c r="AHI289" s="18"/>
      <c r="AHJ289" s="18"/>
      <c r="AHK289" s="18"/>
      <c r="AHL289" s="18"/>
      <c r="AHM289" s="18"/>
      <c r="AHN289" s="18"/>
      <c r="AHO289" s="18"/>
      <c r="AHP289" s="18"/>
      <c r="AHQ289" s="18"/>
      <c r="AHR289" s="18"/>
      <c r="AHS289" s="18"/>
      <c r="AHT289" s="18"/>
      <c r="AHU289" s="18"/>
      <c r="AHV289" s="18"/>
      <c r="AHW289" s="18"/>
      <c r="AHX289" s="18"/>
      <c r="AHY289" s="18"/>
      <c r="AHZ289" s="18"/>
      <c r="AIA289" s="18"/>
      <c r="AIB289" s="18"/>
      <c r="AIC289" s="18"/>
      <c r="AID289" s="18"/>
      <c r="AIE289" s="18"/>
      <c r="AIF289" s="18"/>
      <c r="AIG289" s="18"/>
      <c r="AIH289" s="18"/>
      <c r="AII289" s="18"/>
      <c r="AIJ289" s="18"/>
      <c r="AIK289" s="18"/>
      <c r="AIL289" s="18"/>
      <c r="AIM289" s="18"/>
      <c r="AIN289" s="18"/>
      <c r="AIO289" s="18"/>
      <c r="AIP289" s="18"/>
      <c r="AIQ289" s="18"/>
      <c r="AIR289" s="18"/>
      <c r="AIS289" s="18"/>
      <c r="AIT289" s="18"/>
      <c r="AIU289" s="18"/>
      <c r="AIV289" s="18"/>
      <c r="AIW289" s="18"/>
      <c r="AIX289" s="18"/>
      <c r="AIY289" s="18"/>
      <c r="AIZ289" s="18"/>
      <c r="AJA289" s="18"/>
      <c r="AJB289" s="18"/>
      <c r="AJC289" s="18"/>
      <c r="AJD289" s="18"/>
      <c r="AJE289" s="18"/>
      <c r="AJF289" s="18"/>
      <c r="AJG289" s="18"/>
      <c r="AJH289" s="18"/>
      <c r="AJI289" s="18"/>
      <c r="AJJ289" s="18"/>
      <c r="AJK289" s="18"/>
      <c r="AJL289" s="18"/>
      <c r="AJM289" s="18"/>
      <c r="AJN289" s="18"/>
      <c r="AJO289" s="18"/>
      <c r="AJP289" s="18"/>
      <c r="AJQ289" s="18"/>
      <c r="AJR289" s="18"/>
      <c r="AJS289" s="18"/>
      <c r="AJT289" s="18"/>
      <c r="AJU289" s="18"/>
      <c r="AJV289" s="18"/>
      <c r="AJW289" s="18"/>
      <c r="AJX289" s="18"/>
      <c r="AJY289" s="18"/>
      <c r="AJZ289" s="18"/>
      <c r="AKA289" s="18"/>
      <c r="AKB289" s="18"/>
      <c r="AKC289" s="18"/>
      <c r="AKD289" s="18"/>
      <c r="AKE289" s="18"/>
      <c r="AKF289" s="18"/>
      <c r="AKG289" s="18"/>
      <c r="AKH289" s="18"/>
      <c r="AKI289" s="18"/>
      <c r="AKJ289" s="18"/>
      <c r="AKK289" s="18"/>
      <c r="AKL289" s="18"/>
      <c r="AKM289" s="18"/>
      <c r="AKN289" s="18"/>
      <c r="AKO289" s="18"/>
      <c r="AKP289" s="18"/>
      <c r="AKQ289" s="18"/>
      <c r="AKR289" s="18"/>
      <c r="AKS289" s="18"/>
      <c r="AKT289" s="18"/>
      <c r="AKU289" s="18"/>
      <c r="AKV289" s="18"/>
      <c r="AKW289" s="18"/>
      <c r="AKX289" s="18"/>
      <c r="AKY289" s="18"/>
      <c r="AKZ289" s="18"/>
      <c r="ALA289" s="18"/>
      <c r="ALB289" s="18"/>
      <c r="ALC289" s="18"/>
      <c r="ALD289" s="18"/>
      <c r="ALE289" s="18"/>
      <c r="ALF289" s="18"/>
      <c r="ALG289" s="18"/>
      <c r="ALH289" s="18"/>
      <c r="ALI289" s="18"/>
      <c r="ALJ289" s="18"/>
      <c r="ALK289" s="18"/>
      <c r="ALL289" s="18"/>
      <c r="ALM289" s="18"/>
      <c r="ALN289" s="18"/>
      <c r="ALO289" s="18"/>
      <c r="ALP289" s="18"/>
      <c r="ALQ289" s="18"/>
      <c r="ALR289" s="18"/>
      <c r="ALS289" s="18"/>
      <c r="ALT289" s="18"/>
      <c r="ALU289" s="18"/>
      <c r="ALV289" s="18"/>
      <c r="ALW289" s="18"/>
      <c r="ALX289" s="18"/>
      <c r="ALY289" s="18"/>
      <c r="ALZ289" s="18"/>
      <c r="AMA289" s="18"/>
      <c r="AMB289" s="18"/>
      <c r="AMC289" s="18"/>
      <c r="AMD289" s="18"/>
      <c r="AME289" s="18"/>
      <c r="AMF289" s="18"/>
      <c r="AMG289" s="18"/>
      <c r="AMH289" s="18"/>
      <c r="AMI289" s="18"/>
      <c r="AMJ289" s="18"/>
      <c r="AMK289" s="18"/>
      <c r="AML289" s="18"/>
      <c r="AMM289" s="31"/>
    </row>
    <row r="290" spans="1:1027" s="18" customFormat="1" x14ac:dyDescent="0.2">
      <c r="A290" s="13">
        <v>5</v>
      </c>
      <c r="B290" s="13" t="s">
        <v>883</v>
      </c>
      <c r="C290" s="13"/>
      <c r="D290" s="13">
        <v>274</v>
      </c>
      <c r="E290" s="81" t="s">
        <v>507</v>
      </c>
      <c r="F290" s="81" t="s">
        <v>508</v>
      </c>
      <c r="G290" s="82" t="s">
        <v>508</v>
      </c>
      <c r="H290" s="81" t="s">
        <v>507</v>
      </c>
      <c r="I290" s="81"/>
      <c r="J290" s="81" t="s">
        <v>507</v>
      </c>
      <c r="K290" s="12"/>
      <c r="L290" s="83"/>
      <c r="M290" s="13"/>
      <c r="N290" s="1"/>
      <c r="O290" s="13"/>
      <c r="P290" s="13"/>
      <c r="Q290" s="13"/>
      <c r="R290" s="13"/>
      <c r="S290" s="13" t="s">
        <v>884</v>
      </c>
      <c r="T290" s="13"/>
      <c r="AA290" s="46"/>
      <c r="AB290" s="46"/>
    </row>
    <row r="291" spans="1:1027" s="18" customFormat="1" x14ac:dyDescent="0.2">
      <c r="A291" s="18" t="s">
        <v>504</v>
      </c>
      <c r="B291" s="18" t="s">
        <v>885</v>
      </c>
      <c r="D291" s="18">
        <v>86</v>
      </c>
      <c r="E291" s="19" t="s">
        <v>506</v>
      </c>
      <c r="F291" s="19" t="s">
        <v>507</v>
      </c>
      <c r="G291" s="20" t="s">
        <v>507</v>
      </c>
      <c r="H291" s="19" t="s">
        <v>507</v>
      </c>
      <c r="I291" s="19"/>
      <c r="J291" s="32" t="s">
        <v>507</v>
      </c>
      <c r="K291" s="21" t="s">
        <v>509</v>
      </c>
      <c r="M291" s="1" t="s">
        <v>598</v>
      </c>
      <c r="N291" s="1"/>
      <c r="S291" s="13"/>
      <c r="T291" s="1"/>
      <c r="U291" s="1"/>
      <c r="V291" s="1"/>
      <c r="W291" s="1"/>
      <c r="X291" s="1"/>
      <c r="Y291" s="1"/>
      <c r="Z291" s="1"/>
      <c r="AA291" s="30"/>
      <c r="AB291" s="30"/>
      <c r="AC291" s="1"/>
      <c r="AD291" s="33"/>
      <c r="AE291" s="33"/>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row>
    <row r="292" spans="1:1027" s="18" customFormat="1" x14ac:dyDescent="0.2">
      <c r="A292" s="18">
        <v>2</v>
      </c>
      <c r="B292" s="18" t="s">
        <v>886</v>
      </c>
      <c r="C292" s="18" t="s">
        <v>347</v>
      </c>
      <c r="D292" s="18">
        <v>157</v>
      </c>
      <c r="E292" s="19" t="s">
        <v>507</v>
      </c>
      <c r="F292" s="19" t="s">
        <v>507</v>
      </c>
      <c r="G292" s="20" t="s">
        <v>540</v>
      </c>
      <c r="H292" s="19" t="s">
        <v>507</v>
      </c>
      <c r="I292" s="19"/>
      <c r="J292" s="67" t="s">
        <v>507</v>
      </c>
      <c r="K292" s="21" t="s">
        <v>509</v>
      </c>
      <c r="M292" s="1" t="s">
        <v>542</v>
      </c>
      <c r="N292" s="1"/>
      <c r="S292" s="13"/>
      <c r="T292" s="1"/>
      <c r="U292" s="1"/>
      <c r="V292" s="1"/>
      <c r="W292" s="1"/>
      <c r="X292" s="1"/>
      <c r="Y292" s="1"/>
      <c r="Z292" s="1"/>
      <c r="AA292" s="30"/>
      <c r="AB292" s="30"/>
      <c r="AC292" s="1"/>
      <c r="AD292" s="33"/>
      <c r="AE292" s="33"/>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row>
    <row r="293" spans="1:1027" s="18" customFormat="1" x14ac:dyDescent="0.2">
      <c r="A293" s="18">
        <v>2</v>
      </c>
      <c r="B293" s="18" t="s">
        <v>887</v>
      </c>
      <c r="C293" s="18" t="s">
        <v>350</v>
      </c>
      <c r="D293" s="18">
        <v>181</v>
      </c>
      <c r="E293" s="19" t="s">
        <v>507</v>
      </c>
      <c r="F293" s="19" t="s">
        <v>507</v>
      </c>
      <c r="G293" s="20" t="s">
        <v>540</v>
      </c>
      <c r="H293" s="19" t="s">
        <v>507</v>
      </c>
      <c r="I293" s="19"/>
      <c r="J293" s="84" t="s">
        <v>507</v>
      </c>
      <c r="K293" s="21" t="s">
        <v>509</v>
      </c>
      <c r="M293" s="1" t="s">
        <v>598</v>
      </c>
      <c r="N293" s="1"/>
      <c r="S293" s="13"/>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row>
    <row r="294" spans="1:1027" s="18" customFormat="1" x14ac:dyDescent="0.2">
      <c r="A294" s="18">
        <v>2</v>
      </c>
      <c r="B294" s="18" t="s">
        <v>888</v>
      </c>
      <c r="C294" s="18" t="s">
        <v>353</v>
      </c>
      <c r="D294" s="18">
        <v>140</v>
      </c>
      <c r="E294" s="19" t="s">
        <v>507</v>
      </c>
      <c r="F294" s="19" t="s">
        <v>507</v>
      </c>
      <c r="G294" s="20" t="s">
        <v>507</v>
      </c>
      <c r="H294" s="19" t="s">
        <v>507</v>
      </c>
      <c r="I294" s="19"/>
      <c r="J294" s="32" t="s">
        <v>507</v>
      </c>
      <c r="K294" s="21" t="s">
        <v>509</v>
      </c>
      <c r="M294" s="1" t="s">
        <v>598</v>
      </c>
      <c r="N294" s="1"/>
      <c r="S294" s="13"/>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row>
    <row r="295" spans="1:1027" s="18" customFormat="1" x14ac:dyDescent="0.2">
      <c r="A295" s="18">
        <v>2</v>
      </c>
      <c r="B295" s="18" t="s">
        <v>889</v>
      </c>
      <c r="C295" s="18" t="s">
        <v>356</v>
      </c>
      <c r="D295" s="18">
        <v>56</v>
      </c>
      <c r="E295" s="42" t="s">
        <v>507</v>
      </c>
      <c r="F295" s="42" t="s">
        <v>507</v>
      </c>
      <c r="G295" s="43" t="s">
        <v>508</v>
      </c>
      <c r="H295" s="42" t="s">
        <v>507</v>
      </c>
      <c r="I295" s="42"/>
      <c r="J295" s="85" t="s">
        <v>507</v>
      </c>
      <c r="K295" s="21" t="s">
        <v>509</v>
      </c>
      <c r="M295" s="1" t="s">
        <v>598</v>
      </c>
      <c r="N295" s="1"/>
      <c r="S295" s="13"/>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row>
    <row r="296" spans="1:1027" s="18" customFormat="1" x14ac:dyDescent="0.2">
      <c r="A296" s="18">
        <v>1</v>
      </c>
      <c r="B296" s="18" t="s">
        <v>890</v>
      </c>
      <c r="D296" s="18">
        <v>49</v>
      </c>
      <c r="E296" s="19" t="s">
        <v>507</v>
      </c>
      <c r="F296" s="19" t="s">
        <v>507</v>
      </c>
      <c r="G296" s="20" t="s">
        <v>507</v>
      </c>
      <c r="H296" s="19" t="s">
        <v>507</v>
      </c>
      <c r="I296" s="19"/>
      <c r="J296" s="84" t="s">
        <v>507</v>
      </c>
      <c r="K296" s="21" t="s">
        <v>509</v>
      </c>
      <c r="M296" s="1" t="s">
        <v>598</v>
      </c>
      <c r="N296" s="1"/>
      <c r="S296" s="13"/>
      <c r="T296" s="1"/>
      <c r="U296" s="1"/>
      <c r="V296" s="1"/>
      <c r="W296" s="1"/>
      <c r="X296" s="1"/>
      <c r="Y296" s="1"/>
      <c r="Z296" s="1"/>
      <c r="AA296" s="30"/>
      <c r="AB296" s="30"/>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c r="ADD296" s="1"/>
      <c r="ADE296" s="1"/>
      <c r="ADF296" s="1"/>
      <c r="ADG296" s="1"/>
      <c r="ADH296" s="1"/>
      <c r="ADI296" s="1"/>
      <c r="ADJ296" s="1"/>
      <c r="ADK296" s="1"/>
      <c r="ADL296" s="1"/>
      <c r="ADM296" s="1"/>
      <c r="ADN296" s="1"/>
      <c r="ADO296" s="1"/>
      <c r="ADP296" s="1"/>
      <c r="ADQ296" s="1"/>
      <c r="ADR296" s="1"/>
      <c r="ADS296" s="1"/>
      <c r="ADT296" s="1"/>
      <c r="ADU296" s="1"/>
      <c r="ADV296" s="1"/>
      <c r="ADW296" s="1"/>
      <c r="ADX296" s="1"/>
      <c r="ADY296" s="1"/>
      <c r="ADZ296" s="1"/>
      <c r="AEA296" s="1"/>
      <c r="AEB296" s="1"/>
      <c r="AEC296" s="1"/>
      <c r="AED296" s="1"/>
      <c r="AEE296" s="1"/>
      <c r="AEF296" s="1"/>
      <c r="AEG296" s="1"/>
      <c r="AEH296" s="1"/>
      <c r="AEI296" s="1"/>
      <c r="AEJ296" s="1"/>
      <c r="AEK296" s="1"/>
      <c r="AEL296" s="1"/>
      <c r="AEM296" s="1"/>
      <c r="AEN296" s="1"/>
      <c r="AEO296" s="1"/>
      <c r="AEP296" s="1"/>
      <c r="AEQ296" s="1"/>
      <c r="AER296" s="1"/>
      <c r="AES296" s="1"/>
      <c r="AET296" s="1"/>
      <c r="AEU296" s="1"/>
      <c r="AEV296" s="1"/>
      <c r="AEW296" s="1"/>
      <c r="AEX296" s="1"/>
      <c r="AEY296" s="1"/>
      <c r="AEZ296" s="1"/>
      <c r="AFA296" s="1"/>
      <c r="AFB296" s="1"/>
      <c r="AFC296" s="1"/>
      <c r="AFD296" s="1"/>
      <c r="AFE296" s="1"/>
      <c r="AFF296" s="1"/>
      <c r="AFG296" s="1"/>
      <c r="AFH296" s="1"/>
      <c r="AFI296" s="1"/>
      <c r="AFJ296" s="1"/>
      <c r="AFK296" s="1"/>
      <c r="AFL296" s="1"/>
      <c r="AFM296" s="1"/>
      <c r="AFN296" s="1"/>
      <c r="AFO296" s="1"/>
      <c r="AFP296" s="1"/>
      <c r="AFQ296" s="1"/>
      <c r="AFR296" s="1"/>
      <c r="AFS296" s="1"/>
      <c r="AFT296" s="1"/>
      <c r="AFU296" s="1"/>
      <c r="AFV296" s="1"/>
      <c r="AFW296" s="1"/>
      <c r="AFX296" s="1"/>
      <c r="AFY296" s="1"/>
      <c r="AFZ296" s="1"/>
      <c r="AGA296" s="1"/>
      <c r="AGB296" s="1"/>
      <c r="AGC296" s="1"/>
      <c r="AGD296" s="1"/>
      <c r="AGE296" s="1"/>
      <c r="AGF296" s="1"/>
      <c r="AGG296" s="1"/>
      <c r="AGH296" s="1"/>
      <c r="AGI296" s="1"/>
      <c r="AGJ296" s="1"/>
      <c r="AGK296" s="1"/>
      <c r="AGL296" s="1"/>
      <c r="AGM296" s="1"/>
      <c r="AGN296" s="1"/>
      <c r="AGO296" s="1"/>
      <c r="AGP296" s="1"/>
      <c r="AGQ296" s="1"/>
      <c r="AGR296" s="1"/>
      <c r="AGS296" s="1"/>
      <c r="AGT296" s="1"/>
      <c r="AGU296" s="1"/>
      <c r="AGV296" s="1"/>
      <c r="AGW296" s="1"/>
      <c r="AGX296" s="1"/>
      <c r="AGY296" s="1"/>
      <c r="AGZ296" s="1"/>
      <c r="AHA296" s="1"/>
      <c r="AHB296" s="1"/>
      <c r="AHC296" s="1"/>
      <c r="AHD296" s="1"/>
      <c r="AHE296" s="1"/>
      <c r="AHF296" s="1"/>
      <c r="AHG296" s="1"/>
      <c r="AHH296" s="1"/>
      <c r="AHI296" s="1"/>
      <c r="AHJ296" s="1"/>
      <c r="AHK296" s="1"/>
      <c r="AHL296" s="1"/>
      <c r="AHM296" s="1"/>
      <c r="AHN296" s="1"/>
      <c r="AHO296" s="1"/>
      <c r="AHP296" s="1"/>
      <c r="AHQ296" s="1"/>
      <c r="AHR296" s="1"/>
      <c r="AHS296" s="1"/>
      <c r="AHT296" s="1"/>
      <c r="AHU296" s="1"/>
      <c r="AHV296" s="1"/>
      <c r="AHW296" s="1"/>
      <c r="AHX296" s="1"/>
      <c r="AHY296" s="1"/>
      <c r="AHZ296" s="1"/>
      <c r="AIA296" s="1"/>
      <c r="AIB296" s="1"/>
      <c r="AIC296" s="1"/>
      <c r="AID296" s="1"/>
      <c r="AIE296" s="1"/>
      <c r="AIF296" s="1"/>
      <c r="AIG296" s="1"/>
      <c r="AIH296" s="1"/>
      <c r="AII296" s="1"/>
      <c r="AIJ296" s="1"/>
      <c r="AIK296" s="1"/>
      <c r="AIL296" s="1"/>
      <c r="AIM296" s="1"/>
      <c r="AIN296" s="1"/>
      <c r="AIO296" s="1"/>
      <c r="AIP296" s="1"/>
      <c r="AIQ296" s="1"/>
      <c r="AIR296" s="1"/>
      <c r="AIS296" s="1"/>
      <c r="AIT296" s="1"/>
      <c r="AIU296" s="1"/>
      <c r="AIV296" s="1"/>
      <c r="AIW296" s="1"/>
      <c r="AIX296" s="1"/>
      <c r="AIY296" s="1"/>
      <c r="AIZ296" s="1"/>
      <c r="AJA296" s="1"/>
      <c r="AJB296" s="1"/>
      <c r="AJC296" s="1"/>
      <c r="AJD296" s="1"/>
      <c r="AJE296" s="1"/>
      <c r="AJF296" s="1"/>
      <c r="AJG296" s="1"/>
      <c r="AJH296" s="1"/>
      <c r="AJI296" s="1"/>
      <c r="AJJ296" s="1"/>
      <c r="AJK296" s="1"/>
      <c r="AJL296" s="1"/>
      <c r="AJM296" s="1"/>
      <c r="AJN296" s="1"/>
      <c r="AJO296" s="1"/>
      <c r="AJP296" s="1"/>
      <c r="AJQ296" s="1"/>
      <c r="AJR296" s="1"/>
      <c r="AJS296" s="1"/>
      <c r="AJT296" s="1"/>
      <c r="AJU296" s="1"/>
      <c r="AJV296" s="1"/>
      <c r="AJW296" s="1"/>
      <c r="AJX296" s="1"/>
      <c r="AJY296" s="1"/>
      <c r="AJZ296" s="1"/>
      <c r="AKA296" s="1"/>
      <c r="AKB296" s="1"/>
      <c r="AKC296" s="1"/>
      <c r="AKD296" s="1"/>
      <c r="AKE296" s="1"/>
      <c r="AKF296" s="1"/>
      <c r="AKG296" s="1"/>
      <c r="AKH296" s="1"/>
      <c r="AKI296" s="1"/>
      <c r="AKJ296" s="1"/>
      <c r="AKK296" s="1"/>
      <c r="AKL296" s="1"/>
      <c r="AKM296" s="1"/>
      <c r="AKN296" s="1"/>
      <c r="AKO296" s="1"/>
      <c r="AKP296" s="1"/>
      <c r="AKQ296" s="1"/>
      <c r="AKR296" s="1"/>
      <c r="AKS296" s="1"/>
      <c r="AKT296" s="1"/>
      <c r="AKU296" s="1"/>
      <c r="AKV296" s="1"/>
      <c r="AKW296" s="1"/>
      <c r="AKX296" s="1"/>
      <c r="AKY296" s="1"/>
      <c r="AKZ296" s="1"/>
      <c r="ALA296" s="1"/>
      <c r="ALB296" s="1"/>
      <c r="ALC296" s="1"/>
      <c r="ALD296" s="1"/>
      <c r="ALE296" s="1"/>
      <c r="ALF296" s="1"/>
      <c r="ALG296" s="1"/>
      <c r="ALH296" s="1"/>
      <c r="ALI296" s="1"/>
      <c r="ALJ296" s="1"/>
      <c r="ALK296" s="1"/>
      <c r="ALL296" s="1"/>
      <c r="ALM296" s="1"/>
      <c r="ALN296" s="1"/>
      <c r="ALO296" s="1"/>
      <c r="ALP296" s="1"/>
      <c r="ALQ296" s="1"/>
      <c r="ALR296" s="1"/>
      <c r="ALS296" s="1"/>
      <c r="ALT296" s="1"/>
      <c r="ALU296" s="1"/>
      <c r="ALV296" s="1"/>
      <c r="ALW296" s="1"/>
      <c r="ALX296" s="1"/>
      <c r="ALY296" s="1"/>
      <c r="ALZ296" s="1"/>
      <c r="AMA296" s="1"/>
      <c r="AMB296" s="1"/>
      <c r="AMC296" s="1"/>
      <c r="AMD296" s="1"/>
      <c r="AME296" s="1"/>
      <c r="AMF296" s="1"/>
      <c r="AMG296" s="1"/>
      <c r="AMH296" s="1"/>
      <c r="AMI296" s="1"/>
      <c r="AMJ296" s="1"/>
      <c r="AMK296" s="1"/>
      <c r="AML296" s="1"/>
      <c r="AMM296" s="1"/>
    </row>
    <row r="297" spans="1:1027" s="18" customFormat="1" x14ac:dyDescent="0.2">
      <c r="A297" s="18">
        <v>5</v>
      </c>
      <c r="B297" s="18" t="s">
        <v>363</v>
      </c>
      <c r="D297" s="18">
        <v>63</v>
      </c>
      <c r="E297" s="42" t="s">
        <v>507</v>
      </c>
      <c r="F297" s="42" t="s">
        <v>549</v>
      </c>
      <c r="G297" s="43" t="s">
        <v>653</v>
      </c>
      <c r="H297" s="42"/>
      <c r="I297" s="42"/>
      <c r="J297" s="85" t="s">
        <v>549</v>
      </c>
      <c r="K297" s="21" t="s">
        <v>509</v>
      </c>
      <c r="M297" s="1"/>
      <c r="N297" s="1"/>
      <c r="S297" s="13"/>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row>
    <row r="298" spans="1:1027" s="18" customFormat="1" x14ac:dyDescent="0.2">
      <c r="A298" s="18">
        <v>3</v>
      </c>
      <c r="B298" s="18" t="s">
        <v>891</v>
      </c>
      <c r="C298" s="18" t="s">
        <v>892</v>
      </c>
      <c r="D298" s="18">
        <v>81</v>
      </c>
      <c r="E298" s="19" t="s">
        <v>507</v>
      </c>
      <c r="F298" s="19" t="s">
        <v>507</v>
      </c>
      <c r="G298" s="20" t="s">
        <v>508</v>
      </c>
      <c r="H298" s="19" t="s">
        <v>507</v>
      </c>
      <c r="I298" s="19"/>
      <c r="J298" s="84" t="s">
        <v>507</v>
      </c>
      <c r="K298" s="21" t="s">
        <v>509</v>
      </c>
      <c r="M298" s="1" t="s">
        <v>598</v>
      </c>
      <c r="N298" s="1"/>
      <c r="S298" s="13"/>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spans="1:1027" s="18" customFormat="1" x14ac:dyDescent="0.2">
      <c r="A299" s="34">
        <v>4</v>
      </c>
      <c r="B299" s="86" t="s">
        <v>893</v>
      </c>
      <c r="C299" s="86" t="s">
        <v>894</v>
      </c>
      <c r="D299" s="86">
        <v>65</v>
      </c>
      <c r="E299" s="87" t="s">
        <v>508</v>
      </c>
      <c r="F299" s="87" t="s">
        <v>508</v>
      </c>
      <c r="G299" s="88" t="s">
        <v>508</v>
      </c>
      <c r="H299" s="87"/>
      <c r="I299" s="87"/>
      <c r="J299" s="87" t="s">
        <v>508</v>
      </c>
      <c r="K299" s="89"/>
      <c r="L299" s="86"/>
      <c r="M299" s="33"/>
      <c r="N299" s="33"/>
      <c r="O299" s="86"/>
      <c r="P299" s="86"/>
      <c r="Q299" s="86"/>
      <c r="R299" s="86"/>
      <c r="S299" s="39" t="s">
        <v>895</v>
      </c>
      <c r="T299" s="90"/>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row>
    <row r="300" spans="1:1027" s="34" customFormat="1" x14ac:dyDescent="0.2">
      <c r="A300" s="34">
        <v>4</v>
      </c>
      <c r="B300" s="86" t="s">
        <v>896</v>
      </c>
      <c r="C300" s="86" t="s">
        <v>897</v>
      </c>
      <c r="D300" s="86">
        <v>35</v>
      </c>
      <c r="E300" s="87" t="s">
        <v>508</v>
      </c>
      <c r="F300" s="87" t="s">
        <v>508</v>
      </c>
      <c r="G300" s="88" t="s">
        <v>508</v>
      </c>
      <c r="H300" s="87"/>
      <c r="I300" s="87"/>
      <c r="J300" s="87" t="s">
        <v>508</v>
      </c>
      <c r="K300" s="89"/>
      <c r="L300" s="86"/>
      <c r="M300" s="33"/>
      <c r="N300" s="33"/>
      <c r="O300" s="86"/>
      <c r="P300" s="86"/>
      <c r="Q300" s="86"/>
      <c r="R300" s="86"/>
      <c r="S300" s="39" t="s">
        <v>895</v>
      </c>
      <c r="T300" s="90"/>
      <c r="AMM300" s="18"/>
    </row>
    <row r="301" spans="1:1027" s="34" customFormat="1" x14ac:dyDescent="0.2">
      <c r="A301" s="1">
        <v>4</v>
      </c>
      <c r="B301" s="1" t="s">
        <v>898</v>
      </c>
      <c r="C301" s="1" t="s">
        <v>899</v>
      </c>
      <c r="D301" s="33">
        <v>143</v>
      </c>
      <c r="E301" s="24" t="s">
        <v>507</v>
      </c>
      <c r="F301" s="24" t="s">
        <v>508</v>
      </c>
      <c r="G301" s="25" t="s">
        <v>508</v>
      </c>
      <c r="H301" s="24" t="s">
        <v>507</v>
      </c>
      <c r="I301" s="24"/>
      <c r="J301" s="24" t="s">
        <v>507</v>
      </c>
      <c r="K301" s="12"/>
      <c r="L301" s="26"/>
      <c r="M301" s="1"/>
      <c r="N301" s="1"/>
      <c r="O301" s="1"/>
      <c r="P301" s="1"/>
      <c r="Q301" s="1"/>
      <c r="R301" s="1"/>
      <c r="S301" s="70"/>
      <c r="T301" s="6"/>
      <c r="AMM301" s="18"/>
    </row>
    <row r="302" spans="1:1027" s="18" customFormat="1" x14ac:dyDescent="0.2">
      <c r="A302" s="1">
        <v>4</v>
      </c>
      <c r="B302" s="1" t="s">
        <v>900</v>
      </c>
      <c r="C302" s="1" t="s">
        <v>901</v>
      </c>
      <c r="D302" s="33">
        <v>171</v>
      </c>
      <c r="E302" s="24" t="s">
        <v>507</v>
      </c>
      <c r="F302" s="24" t="s">
        <v>508</v>
      </c>
      <c r="G302" s="25" t="s">
        <v>508</v>
      </c>
      <c r="H302" s="24" t="s">
        <v>507</v>
      </c>
      <c r="I302" s="24"/>
      <c r="J302" s="24" t="s">
        <v>507</v>
      </c>
      <c r="K302" s="12"/>
      <c r="L302" s="26"/>
      <c r="M302" s="1"/>
      <c r="N302" s="1"/>
      <c r="O302" s="1"/>
      <c r="P302" s="1"/>
      <c r="Q302" s="1"/>
      <c r="R302" s="1"/>
      <c r="S302" s="52" t="s">
        <v>902</v>
      </c>
      <c r="T302" s="6"/>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AMM302" s="34"/>
    </row>
    <row r="303" spans="1:1027" s="18" customFormat="1" x14ac:dyDescent="0.2">
      <c r="A303" s="1">
        <v>4</v>
      </c>
      <c r="B303" s="1" t="s">
        <v>903</v>
      </c>
      <c r="C303" s="1" t="s">
        <v>904</v>
      </c>
      <c r="D303" s="33">
        <v>199</v>
      </c>
      <c r="E303" s="24" t="s">
        <v>507</v>
      </c>
      <c r="F303" s="24" t="s">
        <v>508</v>
      </c>
      <c r="G303" s="25" t="s">
        <v>508</v>
      </c>
      <c r="H303" s="24" t="s">
        <v>507</v>
      </c>
      <c r="I303" s="24"/>
      <c r="J303" s="24" t="s">
        <v>507</v>
      </c>
      <c r="K303" s="12"/>
      <c r="L303" s="26"/>
      <c r="M303" s="1"/>
      <c r="N303" s="1"/>
      <c r="O303" s="1"/>
      <c r="P303" s="1"/>
      <c r="Q303" s="1"/>
      <c r="R303" s="1"/>
      <c r="S303" s="13"/>
      <c r="T303" s="6"/>
      <c r="U303" s="33"/>
      <c r="V303" s="33"/>
      <c r="W303" s="33"/>
      <c r="X303" s="33"/>
      <c r="Y303" s="33"/>
      <c r="Z303" s="33"/>
      <c r="AA303" s="30"/>
      <c r="AB303" s="30"/>
      <c r="AC303" s="33"/>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c r="ADD303" s="1"/>
      <c r="ADE303" s="1"/>
      <c r="ADF303" s="1"/>
      <c r="ADG303" s="1"/>
      <c r="ADH303" s="1"/>
      <c r="ADI303" s="1"/>
      <c r="ADJ303" s="1"/>
      <c r="ADK303" s="1"/>
      <c r="ADL303" s="1"/>
      <c r="ADM303" s="1"/>
      <c r="ADN303" s="1"/>
      <c r="ADO303" s="1"/>
      <c r="ADP303" s="1"/>
      <c r="ADQ303" s="1"/>
      <c r="ADR303" s="1"/>
      <c r="ADS303" s="1"/>
      <c r="ADT303" s="1"/>
      <c r="ADU303" s="1"/>
      <c r="ADV303" s="1"/>
      <c r="ADW303" s="1"/>
      <c r="ADX303" s="1"/>
      <c r="ADY303" s="1"/>
      <c r="ADZ303" s="1"/>
      <c r="AEA303" s="1"/>
      <c r="AEB303" s="1"/>
      <c r="AEC303" s="1"/>
      <c r="AED303" s="1"/>
      <c r="AEE303" s="1"/>
      <c r="AEF303" s="1"/>
      <c r="AEG303" s="1"/>
      <c r="AEH303" s="1"/>
      <c r="AEI303" s="1"/>
      <c r="AEJ303" s="1"/>
      <c r="AEK303" s="1"/>
      <c r="AEL303" s="1"/>
      <c r="AEM303" s="1"/>
      <c r="AEN303" s="1"/>
      <c r="AEO303" s="1"/>
      <c r="AEP303" s="1"/>
      <c r="AEQ303" s="1"/>
      <c r="AER303" s="1"/>
      <c r="AES303" s="1"/>
      <c r="AET303" s="1"/>
      <c r="AEU303" s="1"/>
      <c r="AEV303" s="1"/>
      <c r="AEW303" s="1"/>
      <c r="AEX303" s="1"/>
      <c r="AEY303" s="1"/>
      <c r="AEZ303" s="1"/>
      <c r="AFA303" s="1"/>
      <c r="AFB303" s="1"/>
      <c r="AFC303" s="1"/>
      <c r="AFD303" s="1"/>
      <c r="AFE303" s="1"/>
      <c r="AFF303" s="1"/>
      <c r="AFG303" s="1"/>
      <c r="AFH303" s="1"/>
      <c r="AFI303" s="1"/>
      <c r="AFJ303" s="1"/>
      <c r="AFK303" s="1"/>
      <c r="AFL303" s="1"/>
      <c r="AFM303" s="1"/>
      <c r="AFN303" s="1"/>
      <c r="AFO303" s="1"/>
      <c r="AFP303" s="1"/>
      <c r="AFQ303" s="1"/>
      <c r="AFR303" s="1"/>
      <c r="AFS303" s="1"/>
      <c r="AFT303" s="1"/>
      <c r="AFU303" s="1"/>
      <c r="AFV303" s="1"/>
      <c r="AFW303" s="1"/>
      <c r="AFX303" s="1"/>
      <c r="AFY303" s="1"/>
      <c r="AFZ303" s="1"/>
      <c r="AGA303" s="1"/>
      <c r="AGB303" s="1"/>
      <c r="AGC303" s="1"/>
      <c r="AGD303" s="1"/>
      <c r="AGE303" s="1"/>
      <c r="AGF303" s="1"/>
      <c r="AGG303" s="1"/>
      <c r="AGH303" s="1"/>
      <c r="AGI303" s="1"/>
      <c r="AGJ303" s="1"/>
      <c r="AGK303" s="1"/>
      <c r="AGL303" s="1"/>
      <c r="AGM303" s="1"/>
      <c r="AGN303" s="1"/>
      <c r="AGO303" s="1"/>
      <c r="AGP303" s="1"/>
      <c r="AGQ303" s="1"/>
      <c r="AGR303" s="1"/>
      <c r="AGS303" s="1"/>
      <c r="AGT303" s="1"/>
      <c r="AGU303" s="1"/>
      <c r="AGV303" s="1"/>
      <c r="AGW303" s="1"/>
      <c r="AGX303" s="1"/>
      <c r="AGY303" s="1"/>
      <c r="AGZ303" s="1"/>
      <c r="AHA303" s="1"/>
      <c r="AHB303" s="1"/>
      <c r="AHC303" s="1"/>
      <c r="AHD303" s="1"/>
      <c r="AHE303" s="1"/>
      <c r="AHF303" s="1"/>
      <c r="AHG303" s="1"/>
      <c r="AHH303" s="1"/>
      <c r="AHI303" s="1"/>
      <c r="AHJ303" s="1"/>
      <c r="AHK303" s="1"/>
      <c r="AHL303" s="1"/>
      <c r="AHM303" s="1"/>
      <c r="AHN303" s="1"/>
      <c r="AHO303" s="1"/>
      <c r="AHP303" s="1"/>
      <c r="AHQ303" s="1"/>
      <c r="AHR303" s="1"/>
      <c r="AHS303" s="1"/>
      <c r="AHT303" s="1"/>
      <c r="AHU303" s="1"/>
      <c r="AHV303" s="1"/>
      <c r="AHW303" s="1"/>
      <c r="AHX303" s="1"/>
      <c r="AHY303" s="1"/>
      <c r="AHZ303" s="1"/>
      <c r="AIA303" s="1"/>
      <c r="AIB303" s="1"/>
      <c r="AIC303" s="1"/>
      <c r="AID303" s="1"/>
      <c r="AIE303" s="1"/>
      <c r="AIF303" s="1"/>
      <c r="AIG303" s="1"/>
      <c r="AIH303" s="1"/>
      <c r="AII303" s="1"/>
      <c r="AIJ303" s="1"/>
      <c r="AIK303" s="1"/>
      <c r="AIL303" s="1"/>
      <c r="AIM303" s="1"/>
      <c r="AIN303" s="1"/>
      <c r="AIO303" s="1"/>
      <c r="AIP303" s="1"/>
      <c r="AIQ303" s="1"/>
      <c r="AIR303" s="1"/>
      <c r="AIS303" s="1"/>
      <c r="AIT303" s="1"/>
      <c r="AIU303" s="1"/>
      <c r="AIV303" s="1"/>
      <c r="AIW303" s="1"/>
      <c r="AIX303" s="1"/>
      <c r="AIY303" s="1"/>
      <c r="AIZ303" s="1"/>
      <c r="AJA303" s="1"/>
      <c r="AJB303" s="1"/>
      <c r="AJC303" s="1"/>
      <c r="AJD303" s="1"/>
      <c r="AJE303" s="1"/>
      <c r="AJF303" s="1"/>
      <c r="AJG303" s="1"/>
      <c r="AJH303" s="1"/>
      <c r="AJI303" s="1"/>
      <c r="AJJ303" s="1"/>
      <c r="AJK303" s="1"/>
      <c r="AJL303" s="1"/>
      <c r="AJM303" s="1"/>
      <c r="AJN303" s="1"/>
      <c r="AJO303" s="1"/>
      <c r="AJP303" s="1"/>
      <c r="AJQ303" s="1"/>
      <c r="AJR303" s="1"/>
      <c r="AJS303" s="1"/>
      <c r="AJT303" s="1"/>
      <c r="AJU303" s="1"/>
      <c r="AJV303" s="1"/>
      <c r="AJW303" s="1"/>
      <c r="AJX303" s="1"/>
      <c r="AJY303" s="1"/>
      <c r="AJZ303" s="1"/>
      <c r="AKA303" s="1"/>
      <c r="AKB303" s="1"/>
      <c r="AKC303" s="1"/>
      <c r="AKD303" s="1"/>
      <c r="AKE303" s="1"/>
      <c r="AKF303" s="1"/>
      <c r="AKG303" s="1"/>
      <c r="AKH303" s="1"/>
      <c r="AKI303" s="1"/>
      <c r="AKJ303" s="1"/>
      <c r="AKK303" s="1"/>
      <c r="AKL303" s="1"/>
      <c r="AKM303" s="1"/>
      <c r="AKN303" s="1"/>
      <c r="AKO303" s="1"/>
      <c r="AKP303" s="1"/>
      <c r="AKQ303" s="1"/>
      <c r="AKR303" s="1"/>
      <c r="AKS303" s="1"/>
      <c r="AKT303" s="1"/>
      <c r="AKU303" s="1"/>
      <c r="AKV303" s="1"/>
      <c r="AKW303" s="1"/>
      <c r="AKX303" s="1"/>
      <c r="AKY303" s="1"/>
      <c r="AKZ303" s="1"/>
      <c r="ALA303" s="1"/>
      <c r="ALB303" s="1"/>
      <c r="ALC303" s="1"/>
      <c r="ALD303" s="1"/>
      <c r="ALE303" s="1"/>
      <c r="ALF303" s="1"/>
      <c r="ALG303" s="1"/>
      <c r="ALH303" s="1"/>
      <c r="ALI303" s="1"/>
      <c r="ALJ303" s="1"/>
      <c r="ALK303" s="1"/>
      <c r="ALL303" s="1"/>
      <c r="ALM303" s="1"/>
      <c r="ALN303" s="1"/>
      <c r="ALO303" s="1"/>
      <c r="ALP303" s="1"/>
      <c r="ALQ303" s="1"/>
      <c r="ALR303" s="1"/>
      <c r="ALS303" s="1"/>
      <c r="ALT303" s="1"/>
      <c r="ALU303" s="1"/>
      <c r="ALV303" s="1"/>
      <c r="ALW303" s="1"/>
      <c r="ALX303" s="1"/>
      <c r="ALY303" s="1"/>
      <c r="ALZ303" s="1"/>
      <c r="AMA303" s="1"/>
      <c r="AMB303" s="1"/>
      <c r="AMC303" s="1"/>
      <c r="AMD303" s="1"/>
      <c r="AME303" s="1"/>
      <c r="AMF303" s="1"/>
      <c r="AMG303" s="1"/>
      <c r="AMH303" s="1"/>
      <c r="AMI303" s="1"/>
      <c r="AMJ303" s="1"/>
      <c r="AMK303" s="1"/>
      <c r="AMM303" s="34"/>
    </row>
    <row r="304" spans="1:1027" x14ac:dyDescent="0.2">
      <c r="A304" s="1">
        <v>4</v>
      </c>
      <c r="B304" s="1" t="s">
        <v>905</v>
      </c>
      <c r="C304" s="1" t="s">
        <v>906</v>
      </c>
      <c r="D304" s="33">
        <v>100</v>
      </c>
      <c r="E304" s="24" t="s">
        <v>507</v>
      </c>
      <c r="F304" s="24" t="s">
        <v>508</v>
      </c>
      <c r="G304" s="25" t="s">
        <v>508</v>
      </c>
      <c r="H304" s="24" t="s">
        <v>507</v>
      </c>
      <c r="I304" s="24"/>
      <c r="J304" s="24" t="s">
        <v>507</v>
      </c>
      <c r="L304" s="26"/>
      <c r="S304" s="52" t="s">
        <v>907</v>
      </c>
      <c r="T304" s="6"/>
      <c r="BX304" s="31"/>
      <c r="BY304" s="31"/>
      <c r="BZ304" s="31"/>
      <c r="CA304" s="31"/>
      <c r="CB304" s="31"/>
      <c r="CC304" s="31"/>
      <c r="CD304" s="31"/>
      <c r="CE304" s="31"/>
      <c r="CF304" s="31"/>
      <c r="CG304" s="31"/>
      <c r="CH304" s="31"/>
      <c r="CI304" s="31"/>
      <c r="CJ304" s="31"/>
      <c r="CK304" s="31"/>
      <c r="CL304" s="31"/>
      <c r="CM304" s="31"/>
      <c r="CN304" s="31"/>
      <c r="CO304" s="31"/>
      <c r="CP304" s="31"/>
      <c r="CQ304" s="31"/>
      <c r="CR304" s="31"/>
      <c r="CS304" s="31"/>
      <c r="CT304" s="31"/>
      <c r="CU304" s="31"/>
      <c r="CV304" s="31"/>
      <c r="CW304" s="31"/>
      <c r="CX304" s="31"/>
      <c r="CY304" s="31"/>
      <c r="CZ304" s="31"/>
      <c r="DA304" s="31"/>
      <c r="DB304" s="31"/>
      <c r="DC304" s="31"/>
      <c r="DD304" s="31"/>
      <c r="DE304" s="31"/>
      <c r="DF304" s="31"/>
      <c r="DG304" s="31"/>
      <c r="DH304" s="31"/>
      <c r="DI304" s="31"/>
      <c r="DJ304" s="31"/>
      <c r="DK304" s="31"/>
      <c r="DL304" s="31"/>
      <c r="DM304" s="31"/>
      <c r="DN304" s="31"/>
      <c r="DO304" s="31"/>
      <c r="DP304" s="31"/>
      <c r="DQ304" s="31"/>
      <c r="DR304" s="31"/>
      <c r="DS304" s="31"/>
      <c r="DT304" s="31"/>
      <c r="DU304" s="31"/>
      <c r="DV304" s="31"/>
      <c r="DW304" s="31"/>
      <c r="DX304" s="31"/>
      <c r="DY304" s="31"/>
      <c r="DZ304" s="31"/>
      <c r="EA304" s="31"/>
      <c r="EB304" s="31"/>
      <c r="EC304" s="31"/>
      <c r="ED304" s="31"/>
      <c r="EE304" s="31"/>
      <c r="EF304" s="31"/>
      <c r="EG304" s="31"/>
      <c r="EH304" s="31"/>
      <c r="EI304" s="31"/>
      <c r="EJ304" s="31"/>
      <c r="EK304" s="31"/>
      <c r="EL304" s="31"/>
      <c r="EM304" s="31"/>
      <c r="EN304" s="31"/>
      <c r="EO304" s="31"/>
      <c r="EP304" s="31"/>
      <c r="EQ304" s="31"/>
      <c r="ER304" s="31"/>
      <c r="ES304" s="31"/>
      <c r="ET304" s="31"/>
      <c r="EU304" s="31"/>
      <c r="EV304" s="31"/>
      <c r="EW304" s="31"/>
      <c r="EX304" s="31"/>
      <c r="EY304" s="31"/>
      <c r="EZ304" s="31"/>
      <c r="FA304" s="31"/>
      <c r="FB304" s="31"/>
      <c r="FC304" s="31"/>
      <c r="FD304" s="31"/>
      <c r="FE304" s="31"/>
      <c r="FF304" s="31"/>
      <c r="FG304" s="31"/>
      <c r="FH304" s="31"/>
      <c r="FI304" s="31"/>
      <c r="FJ304" s="31"/>
      <c r="FK304" s="31"/>
      <c r="FL304" s="31"/>
      <c r="FM304" s="31"/>
      <c r="FN304" s="31"/>
      <c r="FO304" s="31"/>
      <c r="FP304" s="31"/>
      <c r="FQ304" s="31"/>
      <c r="FR304" s="31"/>
      <c r="FS304" s="31"/>
      <c r="FT304" s="31"/>
      <c r="FU304" s="31"/>
      <c r="FV304" s="31"/>
      <c r="FW304" s="31"/>
      <c r="FX304" s="31"/>
      <c r="FY304" s="31"/>
      <c r="FZ304" s="31"/>
      <c r="GA304" s="31"/>
      <c r="GB304" s="31"/>
      <c r="GC304" s="31"/>
      <c r="GD304" s="31"/>
      <c r="GE304" s="31"/>
      <c r="GF304" s="31"/>
      <c r="GG304" s="31"/>
      <c r="GH304" s="31"/>
      <c r="GI304" s="31"/>
      <c r="GJ304" s="31"/>
      <c r="GK304" s="31"/>
      <c r="GL304" s="31"/>
      <c r="GM304" s="31"/>
      <c r="GN304" s="31"/>
      <c r="GO304" s="31"/>
      <c r="GP304" s="31"/>
      <c r="GQ304" s="31"/>
      <c r="GR304" s="31"/>
      <c r="GS304" s="31"/>
      <c r="GT304" s="31"/>
      <c r="GU304" s="31"/>
      <c r="GV304" s="31"/>
      <c r="GW304" s="31"/>
      <c r="GX304" s="31"/>
      <c r="GY304" s="31"/>
      <c r="GZ304" s="31"/>
      <c r="HA304" s="31"/>
      <c r="HB304" s="31"/>
      <c r="HC304" s="31"/>
      <c r="HD304" s="31"/>
      <c r="HE304" s="31"/>
      <c r="HF304" s="31"/>
      <c r="HG304" s="31"/>
      <c r="HH304" s="31"/>
      <c r="HI304" s="31"/>
      <c r="HJ304" s="31"/>
      <c r="HK304" s="31"/>
      <c r="HL304" s="31"/>
      <c r="HM304" s="31"/>
      <c r="HN304" s="31"/>
      <c r="HO304" s="31"/>
      <c r="HP304" s="31"/>
      <c r="HQ304" s="31"/>
      <c r="HR304" s="31"/>
      <c r="HS304" s="31"/>
      <c r="HT304" s="31"/>
      <c r="HU304" s="31"/>
      <c r="HV304" s="31"/>
      <c r="HW304" s="31"/>
      <c r="HX304" s="31"/>
      <c r="HY304" s="31"/>
      <c r="HZ304" s="31"/>
      <c r="IA304" s="31"/>
      <c r="IB304" s="31"/>
      <c r="IC304" s="31"/>
      <c r="ID304" s="31"/>
      <c r="IE304" s="31"/>
      <c r="IF304" s="31"/>
      <c r="IG304" s="31"/>
      <c r="IH304" s="31"/>
      <c r="II304" s="31"/>
      <c r="IJ304" s="31"/>
      <c r="IK304" s="31"/>
      <c r="IL304" s="31"/>
      <c r="IM304" s="31"/>
      <c r="IN304" s="31"/>
      <c r="IO304" s="31"/>
      <c r="IP304" s="31"/>
      <c r="IQ304" s="31"/>
      <c r="IR304" s="31"/>
      <c r="IS304" s="31"/>
      <c r="IT304" s="31"/>
      <c r="IU304" s="31"/>
      <c r="IV304" s="31"/>
      <c r="IW304" s="31"/>
      <c r="IX304" s="31"/>
      <c r="IY304" s="31"/>
      <c r="IZ304" s="31"/>
      <c r="JA304" s="31"/>
      <c r="JB304" s="31"/>
      <c r="JC304" s="31"/>
      <c r="JD304" s="31"/>
      <c r="JE304" s="31"/>
      <c r="JF304" s="31"/>
      <c r="JG304" s="31"/>
      <c r="JH304" s="31"/>
      <c r="JI304" s="31"/>
      <c r="JJ304" s="31"/>
      <c r="JK304" s="31"/>
      <c r="JL304" s="31"/>
      <c r="JM304" s="31"/>
      <c r="JN304" s="31"/>
      <c r="JO304" s="31"/>
      <c r="JP304" s="31"/>
      <c r="JQ304" s="31"/>
      <c r="JR304" s="31"/>
      <c r="JS304" s="31"/>
      <c r="JT304" s="31"/>
      <c r="JU304" s="31"/>
      <c r="JV304" s="31"/>
      <c r="JW304" s="31"/>
      <c r="JX304" s="31"/>
      <c r="JY304" s="31"/>
      <c r="JZ304" s="31"/>
      <c r="KA304" s="31"/>
      <c r="KB304" s="31"/>
      <c r="KC304" s="31"/>
      <c r="KD304" s="31"/>
      <c r="KE304" s="31"/>
      <c r="KF304" s="31"/>
      <c r="KG304" s="31"/>
      <c r="KH304" s="31"/>
      <c r="KI304" s="31"/>
      <c r="KJ304" s="31"/>
      <c r="KK304" s="31"/>
      <c r="KL304" s="31"/>
      <c r="KM304" s="31"/>
      <c r="KN304" s="31"/>
      <c r="KO304" s="31"/>
      <c r="KP304" s="31"/>
      <c r="KQ304" s="31"/>
      <c r="KR304" s="31"/>
      <c r="KS304" s="31"/>
      <c r="KT304" s="31"/>
      <c r="KU304" s="31"/>
      <c r="KV304" s="31"/>
      <c r="KW304" s="31"/>
      <c r="KX304" s="31"/>
      <c r="KY304" s="31"/>
      <c r="KZ304" s="31"/>
      <c r="LA304" s="31"/>
      <c r="LB304" s="31"/>
      <c r="LC304" s="31"/>
      <c r="LD304" s="31"/>
      <c r="LE304" s="31"/>
      <c r="LF304" s="31"/>
      <c r="LG304" s="31"/>
      <c r="LH304" s="31"/>
      <c r="LI304" s="31"/>
      <c r="LJ304" s="31"/>
      <c r="LK304" s="31"/>
      <c r="LL304" s="31"/>
      <c r="LM304" s="31"/>
      <c r="LN304" s="31"/>
      <c r="LO304" s="31"/>
      <c r="LP304" s="31"/>
      <c r="LQ304" s="31"/>
      <c r="LR304" s="31"/>
      <c r="LS304" s="31"/>
      <c r="LT304" s="31"/>
      <c r="LU304" s="31"/>
      <c r="LV304" s="31"/>
      <c r="LW304" s="31"/>
      <c r="LX304" s="31"/>
      <c r="LY304" s="31"/>
      <c r="LZ304" s="31"/>
      <c r="MA304" s="31"/>
      <c r="MB304" s="31"/>
      <c r="MC304" s="31"/>
      <c r="MD304" s="31"/>
      <c r="ME304" s="31"/>
      <c r="MF304" s="31"/>
      <c r="MG304" s="31"/>
      <c r="MH304" s="31"/>
      <c r="MI304" s="31"/>
      <c r="MJ304" s="31"/>
      <c r="MK304" s="31"/>
      <c r="ML304" s="31"/>
      <c r="MM304" s="31"/>
      <c r="MN304" s="31"/>
      <c r="MO304" s="31"/>
      <c r="MP304" s="31"/>
      <c r="MQ304" s="31"/>
      <c r="MR304" s="31"/>
      <c r="MS304" s="31"/>
      <c r="MT304" s="31"/>
      <c r="MU304" s="31"/>
      <c r="MV304" s="31"/>
      <c r="MW304" s="31"/>
      <c r="MX304" s="31"/>
      <c r="MY304" s="31"/>
      <c r="MZ304" s="31"/>
      <c r="NA304" s="31"/>
      <c r="NB304" s="31"/>
      <c r="NC304" s="31"/>
      <c r="ND304" s="31"/>
      <c r="NE304" s="31"/>
      <c r="NF304" s="31"/>
      <c r="NG304" s="31"/>
      <c r="NH304" s="31"/>
      <c r="NI304" s="31"/>
      <c r="NJ304" s="31"/>
      <c r="NK304" s="31"/>
      <c r="NL304" s="31"/>
      <c r="NM304" s="31"/>
      <c r="NN304" s="31"/>
      <c r="NO304" s="31"/>
      <c r="NP304" s="31"/>
      <c r="NQ304" s="31"/>
      <c r="NR304" s="31"/>
      <c r="NS304" s="31"/>
      <c r="NT304" s="31"/>
      <c r="NU304" s="31"/>
      <c r="NV304" s="31"/>
      <c r="NW304" s="31"/>
      <c r="NX304" s="31"/>
      <c r="NY304" s="31"/>
      <c r="NZ304" s="31"/>
      <c r="OA304" s="31"/>
      <c r="OB304" s="31"/>
      <c r="OC304" s="31"/>
      <c r="OD304" s="31"/>
      <c r="OE304" s="31"/>
      <c r="OF304" s="31"/>
      <c r="OG304" s="31"/>
      <c r="OH304" s="31"/>
      <c r="OI304" s="31"/>
      <c r="OJ304" s="31"/>
      <c r="OK304" s="31"/>
      <c r="OL304" s="31"/>
      <c r="OM304" s="31"/>
      <c r="ON304" s="31"/>
      <c r="OO304" s="31"/>
      <c r="OP304" s="31"/>
      <c r="OQ304" s="31"/>
      <c r="OR304" s="31"/>
      <c r="OS304" s="31"/>
      <c r="OT304" s="31"/>
      <c r="OU304" s="31"/>
      <c r="OV304" s="31"/>
      <c r="OW304" s="31"/>
      <c r="OX304" s="31"/>
      <c r="OY304" s="31"/>
      <c r="OZ304" s="31"/>
      <c r="PA304" s="31"/>
      <c r="PB304" s="31"/>
      <c r="PC304" s="31"/>
      <c r="PD304" s="31"/>
      <c r="PE304" s="31"/>
      <c r="PF304" s="31"/>
      <c r="PG304" s="31"/>
      <c r="PH304" s="31"/>
      <c r="PI304" s="31"/>
      <c r="PJ304" s="31"/>
      <c r="PK304" s="31"/>
      <c r="PL304" s="31"/>
      <c r="PM304" s="31"/>
      <c r="PN304" s="31"/>
      <c r="PO304" s="31"/>
      <c r="PP304" s="31"/>
      <c r="PQ304" s="31"/>
      <c r="PR304" s="31"/>
      <c r="PS304" s="31"/>
      <c r="PT304" s="31"/>
      <c r="PU304" s="31"/>
      <c r="PV304" s="31"/>
      <c r="PW304" s="31"/>
      <c r="PX304" s="31"/>
      <c r="PY304" s="31"/>
      <c r="PZ304" s="31"/>
      <c r="QA304" s="31"/>
      <c r="QB304" s="31"/>
      <c r="QC304" s="31"/>
      <c r="QD304" s="31"/>
      <c r="QE304" s="31"/>
      <c r="QF304" s="31"/>
      <c r="QG304" s="31"/>
      <c r="QH304" s="31"/>
      <c r="QI304" s="31"/>
      <c r="QJ304" s="31"/>
      <c r="QK304" s="31"/>
      <c r="QL304" s="31"/>
      <c r="QM304" s="31"/>
      <c r="QN304" s="31"/>
      <c r="QO304" s="31"/>
      <c r="QP304" s="31"/>
      <c r="QQ304" s="31"/>
      <c r="QR304" s="31"/>
      <c r="QS304" s="31"/>
      <c r="QT304" s="31"/>
      <c r="QU304" s="31"/>
      <c r="QV304" s="31"/>
      <c r="QW304" s="31"/>
      <c r="QX304" s="31"/>
      <c r="QY304" s="31"/>
      <c r="QZ304" s="31"/>
      <c r="RA304" s="31"/>
      <c r="RB304" s="31"/>
      <c r="RC304" s="31"/>
      <c r="RD304" s="31"/>
      <c r="RE304" s="31"/>
      <c r="RF304" s="31"/>
      <c r="RG304" s="31"/>
      <c r="RH304" s="31"/>
      <c r="RI304" s="31"/>
      <c r="RJ304" s="31"/>
      <c r="RK304" s="31"/>
      <c r="RL304" s="31"/>
      <c r="RM304" s="31"/>
      <c r="RN304" s="31"/>
      <c r="RO304" s="31"/>
      <c r="RP304" s="31"/>
      <c r="RQ304" s="31"/>
      <c r="RR304" s="31"/>
      <c r="RS304" s="31"/>
      <c r="RT304" s="31"/>
      <c r="RU304" s="31"/>
      <c r="RV304" s="31"/>
      <c r="RW304" s="31"/>
      <c r="RX304" s="31"/>
      <c r="RY304" s="31"/>
      <c r="RZ304" s="31"/>
      <c r="SA304" s="31"/>
      <c r="SB304" s="31"/>
      <c r="SC304" s="31"/>
      <c r="SD304" s="31"/>
      <c r="SE304" s="31"/>
      <c r="SF304" s="31"/>
      <c r="SG304" s="31"/>
      <c r="SH304" s="31"/>
      <c r="SI304" s="31"/>
      <c r="SJ304" s="31"/>
      <c r="SK304" s="31"/>
      <c r="SL304" s="31"/>
      <c r="SM304" s="31"/>
      <c r="SN304" s="31"/>
      <c r="SO304" s="31"/>
      <c r="SP304" s="31"/>
      <c r="SQ304" s="31"/>
      <c r="SR304" s="31"/>
      <c r="SS304" s="31"/>
      <c r="ST304" s="31"/>
      <c r="SU304" s="31"/>
      <c r="SV304" s="31"/>
      <c r="SW304" s="31"/>
      <c r="SX304" s="31"/>
      <c r="SY304" s="31"/>
      <c r="SZ304" s="31"/>
      <c r="TA304" s="31"/>
      <c r="TB304" s="31"/>
      <c r="TC304" s="31"/>
      <c r="TD304" s="31"/>
      <c r="TE304" s="31"/>
      <c r="TF304" s="31"/>
      <c r="TG304" s="31"/>
      <c r="TH304" s="31"/>
      <c r="TI304" s="31"/>
      <c r="TJ304" s="31"/>
      <c r="TK304" s="31"/>
      <c r="TL304" s="31"/>
      <c r="TM304" s="31"/>
      <c r="TN304" s="31"/>
      <c r="TO304" s="31"/>
      <c r="TP304" s="31"/>
      <c r="TQ304" s="31"/>
      <c r="TR304" s="31"/>
      <c r="TS304" s="31"/>
      <c r="TT304" s="31"/>
      <c r="TU304" s="31"/>
      <c r="TV304" s="31"/>
      <c r="TW304" s="31"/>
      <c r="TX304" s="31"/>
      <c r="TY304" s="31"/>
      <c r="TZ304" s="31"/>
      <c r="UA304" s="31"/>
      <c r="UB304" s="31"/>
      <c r="UC304" s="31"/>
      <c r="UD304" s="31"/>
      <c r="UE304" s="31"/>
      <c r="UF304" s="31"/>
      <c r="UG304" s="31"/>
      <c r="UH304" s="31"/>
      <c r="UI304" s="31"/>
      <c r="UJ304" s="31"/>
      <c r="UK304" s="31"/>
      <c r="UL304" s="31"/>
      <c r="UM304" s="31"/>
      <c r="UN304" s="31"/>
      <c r="UO304" s="31"/>
      <c r="UP304" s="31"/>
      <c r="UQ304" s="31"/>
      <c r="UR304" s="31"/>
      <c r="US304" s="31"/>
      <c r="UT304" s="31"/>
      <c r="UU304" s="31"/>
      <c r="UV304" s="31"/>
      <c r="UW304" s="31"/>
      <c r="UX304" s="31"/>
      <c r="UY304" s="31"/>
      <c r="UZ304" s="31"/>
      <c r="VA304" s="31"/>
      <c r="VB304" s="31"/>
      <c r="VC304" s="31"/>
      <c r="VD304" s="31"/>
      <c r="VE304" s="31"/>
      <c r="VF304" s="31"/>
      <c r="VG304" s="31"/>
      <c r="VH304" s="31"/>
      <c r="VI304" s="31"/>
      <c r="VJ304" s="31"/>
      <c r="VK304" s="31"/>
      <c r="VL304" s="31"/>
      <c r="VM304" s="31"/>
      <c r="VN304" s="31"/>
      <c r="VO304" s="31"/>
      <c r="VP304" s="31"/>
      <c r="VQ304" s="31"/>
      <c r="VR304" s="31"/>
      <c r="VS304" s="31"/>
      <c r="VT304" s="31"/>
      <c r="VU304" s="31"/>
      <c r="VV304" s="31"/>
      <c r="VW304" s="31"/>
      <c r="VX304" s="31"/>
      <c r="VY304" s="31"/>
      <c r="VZ304" s="31"/>
      <c r="WA304" s="31"/>
      <c r="WB304" s="31"/>
      <c r="WC304" s="31"/>
      <c r="WD304" s="31"/>
      <c r="WE304" s="31"/>
      <c r="WF304" s="31"/>
      <c r="WG304" s="31"/>
      <c r="WH304" s="31"/>
      <c r="WI304" s="31"/>
      <c r="WJ304" s="31"/>
      <c r="WK304" s="31"/>
      <c r="WL304" s="31"/>
      <c r="WM304" s="31"/>
      <c r="WN304" s="31"/>
      <c r="WO304" s="31"/>
      <c r="WP304" s="31"/>
      <c r="WQ304" s="31"/>
      <c r="WR304" s="31"/>
      <c r="WS304" s="31"/>
      <c r="WT304" s="31"/>
      <c r="WU304" s="31"/>
      <c r="WV304" s="31"/>
      <c r="WW304" s="31"/>
      <c r="WX304" s="31"/>
      <c r="WY304" s="31"/>
      <c r="WZ304" s="31"/>
      <c r="XA304" s="31"/>
      <c r="XB304" s="31"/>
      <c r="XC304" s="31"/>
      <c r="XD304" s="31"/>
      <c r="XE304" s="31"/>
      <c r="XF304" s="31"/>
      <c r="XG304" s="31"/>
      <c r="XH304" s="31"/>
      <c r="XI304" s="31"/>
      <c r="XJ304" s="31"/>
      <c r="XK304" s="31"/>
      <c r="XL304" s="31"/>
      <c r="XM304" s="31"/>
      <c r="XN304" s="31"/>
      <c r="XO304" s="31"/>
      <c r="XP304" s="31"/>
      <c r="XQ304" s="31"/>
      <c r="XR304" s="31"/>
      <c r="XS304" s="31"/>
      <c r="XT304" s="31"/>
      <c r="XU304" s="31"/>
      <c r="XV304" s="31"/>
      <c r="XW304" s="31"/>
      <c r="XX304" s="31"/>
      <c r="XY304" s="31"/>
      <c r="XZ304" s="31"/>
      <c r="YA304" s="31"/>
      <c r="YB304" s="31"/>
      <c r="YC304" s="31"/>
      <c r="YD304" s="31"/>
      <c r="YE304" s="31"/>
      <c r="YF304" s="31"/>
      <c r="YG304" s="31"/>
      <c r="YH304" s="31"/>
      <c r="YI304" s="31"/>
      <c r="YJ304" s="31"/>
      <c r="YK304" s="31"/>
      <c r="YL304" s="31"/>
      <c r="YM304" s="31"/>
      <c r="YN304" s="31"/>
      <c r="YO304" s="31"/>
      <c r="YP304" s="31"/>
      <c r="YQ304" s="31"/>
      <c r="YR304" s="31"/>
      <c r="YS304" s="31"/>
      <c r="YT304" s="31"/>
      <c r="YU304" s="31"/>
      <c r="YV304" s="31"/>
      <c r="YW304" s="31"/>
      <c r="YX304" s="31"/>
      <c r="YY304" s="31"/>
      <c r="YZ304" s="31"/>
      <c r="ZA304" s="31"/>
      <c r="ZB304" s="31"/>
      <c r="ZC304" s="31"/>
      <c r="ZD304" s="31"/>
      <c r="ZE304" s="31"/>
      <c r="ZF304" s="31"/>
      <c r="ZG304" s="31"/>
      <c r="ZH304" s="31"/>
      <c r="ZI304" s="31"/>
      <c r="ZJ304" s="31"/>
      <c r="ZK304" s="31"/>
      <c r="ZL304" s="31"/>
      <c r="ZM304" s="31"/>
      <c r="ZN304" s="31"/>
      <c r="ZO304" s="31"/>
      <c r="ZP304" s="31"/>
      <c r="ZQ304" s="31"/>
      <c r="ZR304" s="31"/>
      <c r="ZS304" s="31"/>
      <c r="ZT304" s="31"/>
      <c r="ZU304" s="31"/>
      <c r="ZV304" s="31"/>
      <c r="ZW304" s="31"/>
      <c r="ZX304" s="31"/>
      <c r="ZY304" s="31"/>
      <c r="ZZ304" s="31"/>
      <c r="AAA304" s="31"/>
      <c r="AAB304" s="31"/>
      <c r="AAC304" s="31"/>
      <c r="AAD304" s="31"/>
      <c r="AAE304" s="31"/>
      <c r="AAF304" s="31"/>
      <c r="AAG304" s="31"/>
      <c r="AAH304" s="31"/>
      <c r="AAI304" s="31"/>
      <c r="AAJ304" s="31"/>
      <c r="AAK304" s="31"/>
      <c r="AAL304" s="31"/>
      <c r="AAM304" s="31"/>
      <c r="AAN304" s="31"/>
      <c r="AAO304" s="31"/>
      <c r="AAP304" s="31"/>
      <c r="AAQ304" s="31"/>
      <c r="AAR304" s="31"/>
      <c r="AAS304" s="31"/>
      <c r="AAT304" s="31"/>
      <c r="AAU304" s="31"/>
      <c r="AAV304" s="31"/>
      <c r="AAW304" s="31"/>
      <c r="AAX304" s="31"/>
      <c r="AAY304" s="31"/>
      <c r="AAZ304" s="31"/>
      <c r="ABA304" s="31"/>
      <c r="ABB304" s="31"/>
      <c r="ABC304" s="31"/>
      <c r="ABD304" s="31"/>
      <c r="ABE304" s="31"/>
      <c r="ABF304" s="31"/>
      <c r="ABG304" s="31"/>
      <c r="ABH304" s="31"/>
      <c r="ABI304" s="31"/>
      <c r="ABJ304" s="31"/>
      <c r="ABK304" s="31"/>
      <c r="ABL304" s="31"/>
      <c r="ABM304" s="31"/>
      <c r="ABN304" s="31"/>
      <c r="ABO304" s="31"/>
      <c r="ABP304" s="31"/>
      <c r="ABQ304" s="31"/>
      <c r="ABR304" s="31"/>
      <c r="ABS304" s="31"/>
      <c r="ABT304" s="31"/>
      <c r="ABU304" s="31"/>
      <c r="ABV304" s="31"/>
      <c r="ABW304" s="31"/>
      <c r="ABX304" s="31"/>
      <c r="ABY304" s="31"/>
      <c r="ABZ304" s="31"/>
      <c r="ACA304" s="31"/>
      <c r="ACB304" s="31"/>
      <c r="ACC304" s="31"/>
      <c r="ACD304" s="31"/>
      <c r="ACE304" s="31"/>
      <c r="ACF304" s="31"/>
      <c r="ACG304" s="31"/>
      <c r="ACH304" s="31"/>
      <c r="ACI304" s="31"/>
      <c r="ACJ304" s="31"/>
      <c r="ACK304" s="31"/>
      <c r="ACL304" s="31"/>
      <c r="ACM304" s="31"/>
      <c r="ACN304" s="31"/>
      <c r="ACO304" s="31"/>
      <c r="ACP304" s="31"/>
      <c r="ACQ304" s="31"/>
      <c r="ACR304" s="31"/>
      <c r="ACS304" s="31"/>
      <c r="ACT304" s="31"/>
      <c r="ACU304" s="31"/>
      <c r="ACV304" s="31"/>
      <c r="ACW304" s="31"/>
      <c r="ACX304" s="31"/>
      <c r="ACY304" s="31"/>
      <c r="ACZ304" s="31"/>
      <c r="ADA304" s="31"/>
      <c r="ADB304" s="31"/>
      <c r="ADC304" s="31"/>
      <c r="ADD304" s="31"/>
      <c r="ADE304" s="31"/>
      <c r="ADF304" s="31"/>
      <c r="ADG304" s="31"/>
      <c r="ADH304" s="31"/>
      <c r="ADI304" s="31"/>
      <c r="ADJ304" s="31"/>
      <c r="ADK304" s="31"/>
      <c r="ADL304" s="31"/>
      <c r="ADM304" s="31"/>
      <c r="ADN304" s="31"/>
      <c r="ADO304" s="31"/>
      <c r="ADP304" s="31"/>
      <c r="ADQ304" s="31"/>
      <c r="ADR304" s="31"/>
      <c r="ADS304" s="31"/>
      <c r="ADT304" s="31"/>
      <c r="ADU304" s="31"/>
      <c r="ADV304" s="31"/>
      <c r="ADW304" s="31"/>
      <c r="ADX304" s="31"/>
      <c r="ADY304" s="31"/>
      <c r="ADZ304" s="31"/>
      <c r="AEA304" s="31"/>
      <c r="AEB304" s="31"/>
      <c r="AEC304" s="31"/>
      <c r="AED304" s="31"/>
      <c r="AEE304" s="31"/>
      <c r="AEF304" s="31"/>
      <c r="AEG304" s="31"/>
      <c r="AEH304" s="31"/>
      <c r="AEI304" s="31"/>
      <c r="AEJ304" s="31"/>
      <c r="AEK304" s="31"/>
      <c r="AEL304" s="31"/>
      <c r="AEM304" s="31"/>
      <c r="AEN304" s="31"/>
      <c r="AEO304" s="31"/>
      <c r="AEP304" s="31"/>
      <c r="AEQ304" s="31"/>
      <c r="AER304" s="31"/>
      <c r="AES304" s="31"/>
      <c r="AET304" s="31"/>
      <c r="AEU304" s="31"/>
      <c r="AEV304" s="31"/>
      <c r="AEW304" s="31"/>
      <c r="AEX304" s="31"/>
      <c r="AEY304" s="31"/>
      <c r="AEZ304" s="31"/>
      <c r="AFA304" s="31"/>
      <c r="AFB304" s="31"/>
      <c r="AFC304" s="31"/>
      <c r="AFD304" s="31"/>
      <c r="AFE304" s="31"/>
      <c r="AFF304" s="31"/>
      <c r="AFG304" s="31"/>
      <c r="AFH304" s="31"/>
      <c r="AFI304" s="31"/>
      <c r="AFJ304" s="31"/>
      <c r="AFK304" s="31"/>
      <c r="AFL304" s="31"/>
      <c r="AFM304" s="31"/>
      <c r="AFN304" s="31"/>
      <c r="AFO304" s="31"/>
      <c r="AFP304" s="31"/>
      <c r="AFQ304" s="31"/>
      <c r="AFR304" s="31"/>
      <c r="AFS304" s="31"/>
      <c r="AFT304" s="31"/>
      <c r="AFU304" s="31"/>
      <c r="AFV304" s="31"/>
      <c r="AFW304" s="31"/>
      <c r="AFX304" s="31"/>
      <c r="AFY304" s="31"/>
      <c r="AFZ304" s="31"/>
      <c r="AGA304" s="31"/>
      <c r="AGB304" s="31"/>
      <c r="AGC304" s="31"/>
      <c r="AGD304" s="31"/>
      <c r="AGE304" s="31"/>
      <c r="AGF304" s="31"/>
      <c r="AGG304" s="31"/>
      <c r="AGH304" s="31"/>
      <c r="AGI304" s="31"/>
      <c r="AGJ304" s="31"/>
      <c r="AGK304" s="31"/>
      <c r="AGL304" s="31"/>
      <c r="AGM304" s="31"/>
      <c r="AGN304" s="31"/>
      <c r="AGO304" s="31"/>
      <c r="AGP304" s="31"/>
      <c r="AGQ304" s="31"/>
      <c r="AGR304" s="31"/>
      <c r="AGS304" s="31"/>
      <c r="AGT304" s="31"/>
      <c r="AGU304" s="31"/>
      <c r="AGV304" s="31"/>
      <c r="AGW304" s="31"/>
      <c r="AGX304" s="31"/>
      <c r="AGY304" s="31"/>
      <c r="AGZ304" s="31"/>
      <c r="AHA304" s="31"/>
      <c r="AHB304" s="31"/>
      <c r="AHC304" s="31"/>
      <c r="AHD304" s="31"/>
      <c r="AHE304" s="31"/>
      <c r="AHF304" s="31"/>
      <c r="AHG304" s="31"/>
      <c r="AHH304" s="31"/>
      <c r="AHI304" s="31"/>
      <c r="AHJ304" s="31"/>
      <c r="AHK304" s="31"/>
      <c r="AHL304" s="31"/>
      <c r="AHM304" s="31"/>
      <c r="AHN304" s="31"/>
      <c r="AHO304" s="31"/>
      <c r="AHP304" s="31"/>
      <c r="AHQ304" s="31"/>
      <c r="AHR304" s="31"/>
      <c r="AHS304" s="31"/>
      <c r="AHT304" s="31"/>
      <c r="AHU304" s="31"/>
      <c r="AHV304" s="31"/>
      <c r="AHW304" s="31"/>
      <c r="AHX304" s="31"/>
      <c r="AHY304" s="31"/>
      <c r="AHZ304" s="31"/>
      <c r="AIA304" s="31"/>
      <c r="AIB304" s="31"/>
      <c r="AIC304" s="31"/>
      <c r="AID304" s="31"/>
      <c r="AIE304" s="31"/>
      <c r="AIF304" s="31"/>
      <c r="AIG304" s="31"/>
      <c r="AIH304" s="31"/>
      <c r="AII304" s="31"/>
      <c r="AIJ304" s="31"/>
      <c r="AIK304" s="31"/>
      <c r="AIL304" s="31"/>
      <c r="AIM304" s="31"/>
      <c r="AIN304" s="31"/>
      <c r="AIO304" s="31"/>
      <c r="AIP304" s="31"/>
      <c r="AIQ304" s="31"/>
      <c r="AIR304" s="31"/>
      <c r="AIS304" s="31"/>
      <c r="AIT304" s="31"/>
      <c r="AIU304" s="31"/>
      <c r="AIV304" s="31"/>
      <c r="AIW304" s="31"/>
      <c r="AIX304" s="31"/>
      <c r="AIY304" s="31"/>
      <c r="AIZ304" s="31"/>
      <c r="AJA304" s="31"/>
      <c r="AJB304" s="31"/>
      <c r="AJC304" s="31"/>
      <c r="AJD304" s="31"/>
      <c r="AJE304" s="31"/>
      <c r="AJF304" s="31"/>
      <c r="AJG304" s="31"/>
      <c r="AJH304" s="31"/>
      <c r="AJI304" s="31"/>
      <c r="AJJ304" s="31"/>
      <c r="AJK304" s="31"/>
      <c r="AJL304" s="31"/>
      <c r="AJM304" s="31"/>
      <c r="AJN304" s="31"/>
      <c r="AJO304" s="31"/>
      <c r="AJP304" s="31"/>
      <c r="AJQ304" s="31"/>
      <c r="AJR304" s="31"/>
      <c r="AJS304" s="31"/>
      <c r="AJT304" s="31"/>
      <c r="AJU304" s="31"/>
      <c r="AJV304" s="31"/>
      <c r="AJW304" s="31"/>
      <c r="AJX304" s="31"/>
      <c r="AJY304" s="31"/>
      <c r="AJZ304" s="31"/>
      <c r="AKA304" s="31"/>
      <c r="AKB304" s="31"/>
      <c r="AKC304" s="31"/>
      <c r="AKD304" s="31"/>
      <c r="AKE304" s="31"/>
      <c r="AKF304" s="31"/>
      <c r="AKG304" s="31"/>
      <c r="AKH304" s="31"/>
      <c r="AKI304" s="31"/>
      <c r="AKJ304" s="31"/>
      <c r="AKK304" s="31"/>
      <c r="AKL304" s="31"/>
      <c r="AKM304" s="31"/>
      <c r="AKN304" s="31"/>
      <c r="AKO304" s="31"/>
      <c r="AKP304" s="31"/>
      <c r="AKQ304" s="31"/>
      <c r="AKR304" s="31"/>
      <c r="AKS304" s="31"/>
      <c r="AKT304" s="31"/>
      <c r="AKU304" s="31"/>
      <c r="AKV304" s="31"/>
      <c r="AKW304" s="31"/>
      <c r="AKX304" s="31"/>
      <c r="AKY304" s="31"/>
      <c r="AKZ304" s="31"/>
      <c r="ALA304" s="31"/>
      <c r="ALB304" s="31"/>
      <c r="ALC304" s="31"/>
      <c r="ALD304" s="31"/>
      <c r="ALE304" s="31"/>
      <c r="ALF304" s="31"/>
      <c r="ALG304" s="31"/>
      <c r="ALH304" s="31"/>
      <c r="ALI304" s="31"/>
      <c r="ALJ304" s="31"/>
      <c r="ALK304" s="31"/>
      <c r="ALL304" s="31"/>
      <c r="ALM304" s="31"/>
      <c r="ALN304" s="31"/>
      <c r="ALO304" s="31"/>
      <c r="ALP304" s="31"/>
      <c r="ALQ304" s="31"/>
      <c r="ALR304" s="31"/>
      <c r="ALS304" s="31"/>
      <c r="ALT304" s="31"/>
      <c r="ALU304" s="31"/>
      <c r="ALV304" s="31"/>
      <c r="ALW304" s="31"/>
      <c r="ALX304" s="31"/>
      <c r="ALY304" s="31"/>
      <c r="ALZ304" s="31"/>
      <c r="AMA304" s="31"/>
      <c r="AMB304" s="31"/>
      <c r="AMC304" s="31"/>
      <c r="AMD304" s="31"/>
      <c r="AME304" s="31"/>
      <c r="AMF304" s="31"/>
      <c r="AMG304" s="31"/>
      <c r="AMH304" s="31"/>
      <c r="AMI304" s="31"/>
      <c r="AMJ304" s="31"/>
      <c r="AMK304" s="31"/>
      <c r="AML304" s="31"/>
      <c r="AMM304" s="18"/>
    </row>
    <row r="305" spans="1:1027" s="31" customFormat="1" x14ac:dyDescent="0.2">
      <c r="A305" s="1">
        <v>4</v>
      </c>
      <c r="B305" s="1" t="s">
        <v>908</v>
      </c>
      <c r="C305" s="1" t="s">
        <v>909</v>
      </c>
      <c r="D305" s="33">
        <v>130</v>
      </c>
      <c r="E305" s="24" t="s">
        <v>507</v>
      </c>
      <c r="F305" s="24" t="s">
        <v>508</v>
      </c>
      <c r="G305" s="25" t="s">
        <v>508</v>
      </c>
      <c r="H305" s="24" t="s">
        <v>507</v>
      </c>
      <c r="I305" s="24"/>
      <c r="J305" s="24" t="s">
        <v>507</v>
      </c>
      <c r="K305" s="12"/>
      <c r="L305" s="26"/>
      <c r="M305" s="1"/>
      <c r="N305" s="1"/>
      <c r="O305" s="1"/>
      <c r="P305" s="1"/>
      <c r="Q305" s="1"/>
      <c r="R305" s="1"/>
      <c r="S305" s="52" t="s">
        <v>910</v>
      </c>
      <c r="T305" s="6"/>
      <c r="U305" s="1"/>
      <c r="V305" s="1"/>
      <c r="W305" s="1"/>
      <c r="X305" s="1"/>
      <c r="Y305" s="1"/>
      <c r="Z305" s="1"/>
      <c r="AA305" s="30"/>
      <c r="AB305" s="30"/>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c r="ADD305" s="1"/>
      <c r="ADE305" s="1"/>
      <c r="ADF305" s="1"/>
      <c r="ADG305" s="1"/>
      <c r="ADH305" s="1"/>
      <c r="ADI305" s="1"/>
      <c r="ADJ305" s="1"/>
      <c r="ADK305" s="1"/>
      <c r="ADL305" s="1"/>
      <c r="ADM305" s="1"/>
      <c r="ADN305" s="1"/>
      <c r="ADO305" s="1"/>
      <c r="ADP305" s="1"/>
      <c r="ADQ305" s="1"/>
      <c r="ADR305" s="1"/>
      <c r="ADS305" s="1"/>
      <c r="ADT305" s="1"/>
      <c r="ADU305" s="1"/>
      <c r="ADV305" s="1"/>
      <c r="ADW305" s="1"/>
      <c r="ADX305" s="1"/>
      <c r="ADY305" s="1"/>
      <c r="ADZ305" s="1"/>
      <c r="AEA305" s="1"/>
      <c r="AEB305" s="1"/>
      <c r="AEC305" s="1"/>
      <c r="AED305" s="1"/>
      <c r="AEE305" s="1"/>
      <c r="AEF305" s="1"/>
      <c r="AEG305" s="1"/>
      <c r="AEH305" s="1"/>
      <c r="AEI305" s="1"/>
      <c r="AEJ305" s="1"/>
      <c r="AEK305" s="1"/>
      <c r="AEL305" s="1"/>
      <c r="AEM305" s="1"/>
      <c r="AEN305" s="1"/>
      <c r="AEO305" s="1"/>
      <c r="AEP305" s="1"/>
      <c r="AEQ305" s="1"/>
      <c r="AER305" s="1"/>
      <c r="AES305" s="1"/>
      <c r="AET305" s="1"/>
      <c r="AEU305" s="1"/>
      <c r="AEV305" s="1"/>
      <c r="AEW305" s="1"/>
      <c r="AEX305" s="1"/>
      <c r="AEY305" s="1"/>
      <c r="AEZ305" s="1"/>
      <c r="AFA305" s="1"/>
      <c r="AFB305" s="1"/>
      <c r="AFC305" s="1"/>
      <c r="AFD305" s="1"/>
      <c r="AFE305" s="1"/>
      <c r="AFF305" s="1"/>
      <c r="AFG305" s="1"/>
      <c r="AFH305" s="1"/>
      <c r="AFI305" s="1"/>
      <c r="AFJ305" s="1"/>
      <c r="AFK305" s="1"/>
      <c r="AFL305" s="1"/>
      <c r="AFM305" s="1"/>
      <c r="AFN305" s="1"/>
      <c r="AFO305" s="1"/>
      <c r="AFP305" s="1"/>
      <c r="AFQ305" s="1"/>
      <c r="AFR305" s="1"/>
      <c r="AFS305" s="1"/>
      <c r="AFT305" s="1"/>
      <c r="AFU305" s="1"/>
      <c r="AFV305" s="1"/>
      <c r="AFW305" s="1"/>
      <c r="AFX305" s="1"/>
      <c r="AFY305" s="1"/>
      <c r="AFZ305" s="1"/>
      <c r="AGA305" s="1"/>
      <c r="AGB305" s="1"/>
      <c r="AGC305" s="1"/>
      <c r="AGD305" s="1"/>
      <c r="AGE305" s="1"/>
      <c r="AGF305" s="1"/>
      <c r="AGG305" s="1"/>
      <c r="AGH305" s="1"/>
      <c r="AGI305" s="1"/>
      <c r="AGJ305" s="1"/>
      <c r="AGK305" s="1"/>
      <c r="AGL305" s="1"/>
      <c r="AGM305" s="1"/>
      <c r="AGN305" s="1"/>
      <c r="AGO305" s="1"/>
      <c r="AGP305" s="1"/>
      <c r="AGQ305" s="1"/>
      <c r="AGR305" s="1"/>
      <c r="AGS305" s="1"/>
      <c r="AGT305" s="1"/>
      <c r="AGU305" s="1"/>
      <c r="AGV305" s="1"/>
      <c r="AGW305" s="1"/>
      <c r="AGX305" s="1"/>
      <c r="AGY305" s="1"/>
      <c r="AGZ305" s="1"/>
      <c r="AHA305" s="1"/>
      <c r="AHB305" s="1"/>
      <c r="AHC305" s="1"/>
      <c r="AHD305" s="1"/>
      <c r="AHE305" s="1"/>
      <c r="AHF305" s="1"/>
      <c r="AHG305" s="1"/>
      <c r="AHH305" s="1"/>
      <c r="AHI305" s="1"/>
      <c r="AHJ305" s="1"/>
      <c r="AHK305" s="1"/>
      <c r="AHL305" s="1"/>
      <c r="AHM305" s="1"/>
      <c r="AHN305" s="1"/>
      <c r="AHO305" s="1"/>
      <c r="AHP305" s="1"/>
      <c r="AHQ305" s="1"/>
      <c r="AHR305" s="1"/>
      <c r="AHS305" s="1"/>
      <c r="AHT305" s="1"/>
      <c r="AHU305" s="1"/>
      <c r="AHV305" s="1"/>
      <c r="AHW305" s="1"/>
      <c r="AHX305" s="1"/>
      <c r="AHY305" s="1"/>
      <c r="AHZ305" s="1"/>
      <c r="AIA305" s="1"/>
      <c r="AIB305" s="1"/>
      <c r="AIC305" s="1"/>
      <c r="AID305" s="1"/>
      <c r="AIE305" s="1"/>
      <c r="AIF305" s="1"/>
      <c r="AIG305" s="1"/>
      <c r="AIH305" s="1"/>
      <c r="AII305" s="1"/>
      <c r="AIJ305" s="1"/>
      <c r="AIK305" s="1"/>
      <c r="AIL305" s="1"/>
      <c r="AIM305" s="1"/>
      <c r="AIN305" s="1"/>
      <c r="AIO305" s="1"/>
      <c r="AIP305" s="1"/>
      <c r="AIQ305" s="1"/>
      <c r="AIR305" s="1"/>
      <c r="AIS305" s="1"/>
      <c r="AIT305" s="1"/>
      <c r="AIU305" s="1"/>
      <c r="AIV305" s="1"/>
      <c r="AIW305" s="1"/>
      <c r="AIX305" s="1"/>
      <c r="AIY305" s="1"/>
      <c r="AIZ305" s="1"/>
      <c r="AJA305" s="1"/>
      <c r="AJB305" s="1"/>
      <c r="AJC305" s="1"/>
      <c r="AJD305" s="1"/>
      <c r="AJE305" s="1"/>
      <c r="AJF305" s="1"/>
      <c r="AJG305" s="1"/>
      <c r="AJH305" s="1"/>
      <c r="AJI305" s="1"/>
      <c r="AJJ305" s="1"/>
      <c r="AJK305" s="1"/>
      <c r="AJL305" s="1"/>
      <c r="AJM305" s="1"/>
      <c r="AJN305" s="1"/>
      <c r="AJO305" s="1"/>
      <c r="AJP305" s="1"/>
      <c r="AJQ305" s="1"/>
      <c r="AJR305" s="1"/>
      <c r="AJS305" s="1"/>
      <c r="AJT305" s="1"/>
      <c r="AJU305" s="1"/>
      <c r="AJV305" s="1"/>
      <c r="AJW305" s="1"/>
      <c r="AJX305" s="1"/>
      <c r="AJY305" s="1"/>
      <c r="AJZ305" s="1"/>
      <c r="AKA305" s="1"/>
      <c r="AKB305" s="1"/>
      <c r="AKC305" s="1"/>
      <c r="AKD305" s="1"/>
      <c r="AKE305" s="1"/>
      <c r="AKF305" s="1"/>
      <c r="AKG305" s="1"/>
      <c r="AKH305" s="1"/>
      <c r="AKI305" s="1"/>
      <c r="AKJ305" s="1"/>
      <c r="AKK305" s="1"/>
      <c r="AKL305" s="1"/>
      <c r="AKM305" s="1"/>
      <c r="AKN305" s="1"/>
      <c r="AKO305" s="1"/>
      <c r="AKP305" s="1"/>
      <c r="AKQ305" s="1"/>
      <c r="AKR305" s="1"/>
      <c r="AKS305" s="1"/>
      <c r="AKT305" s="1"/>
      <c r="AKU305" s="1"/>
      <c r="AKV305" s="1"/>
      <c r="AKW305" s="1"/>
      <c r="AKX305" s="1"/>
      <c r="AKY305" s="1"/>
      <c r="AKZ305" s="1"/>
      <c r="ALA305" s="1"/>
      <c r="ALB305" s="1"/>
      <c r="ALC305" s="1"/>
      <c r="ALD305" s="1"/>
      <c r="ALE305" s="1"/>
      <c r="ALF305" s="1"/>
      <c r="ALG305" s="1"/>
      <c r="ALH305" s="1"/>
      <c r="ALI305" s="1"/>
      <c r="ALJ305" s="1"/>
      <c r="ALK305" s="1"/>
      <c r="ALL305" s="1"/>
      <c r="ALM305" s="1"/>
      <c r="ALN305" s="1"/>
      <c r="ALO305" s="1"/>
      <c r="ALP305" s="1"/>
      <c r="ALQ305" s="1"/>
      <c r="ALR305" s="1"/>
      <c r="ALS305" s="1"/>
      <c r="ALT305" s="1"/>
      <c r="ALU305" s="1"/>
      <c r="ALV305" s="1"/>
      <c r="ALW305" s="1"/>
      <c r="ALX305" s="1"/>
      <c r="ALY305" s="1"/>
      <c r="ALZ305" s="1"/>
      <c r="AMA305" s="1"/>
      <c r="AMB305" s="1"/>
      <c r="AMC305" s="1"/>
      <c r="AMD305" s="1"/>
      <c r="AME305" s="1"/>
      <c r="AMF305" s="1"/>
      <c r="AMG305" s="1"/>
      <c r="AMH305" s="1"/>
      <c r="AMI305" s="1"/>
      <c r="AMJ305" s="1"/>
      <c r="AMK305" s="1"/>
      <c r="AMM305" s="18"/>
    </row>
    <row r="306" spans="1:1027" x14ac:dyDescent="0.2">
      <c r="A306" s="1">
        <v>4</v>
      </c>
      <c r="B306" s="1" t="s">
        <v>911</v>
      </c>
      <c r="C306" s="1" t="s">
        <v>912</v>
      </c>
      <c r="D306" s="33">
        <v>152</v>
      </c>
      <c r="E306" s="24" t="s">
        <v>507</v>
      </c>
      <c r="F306" s="24" t="s">
        <v>508</v>
      </c>
      <c r="G306" s="25" t="s">
        <v>508</v>
      </c>
      <c r="H306" s="24"/>
      <c r="I306" s="24"/>
      <c r="J306" s="24" t="s">
        <v>507</v>
      </c>
      <c r="L306" s="26"/>
      <c r="AA306" s="30"/>
      <c r="AB306" s="30"/>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c r="CK306" s="33"/>
      <c r="CL306" s="33"/>
      <c r="CM306" s="33"/>
      <c r="CN306" s="33"/>
      <c r="CO306" s="33"/>
      <c r="CP306" s="33"/>
      <c r="CQ306" s="33"/>
      <c r="CR306" s="33"/>
      <c r="CS306" s="33"/>
      <c r="CT306" s="33"/>
      <c r="CU306" s="33"/>
      <c r="CV306" s="33"/>
      <c r="CW306" s="33"/>
      <c r="CX306" s="33"/>
      <c r="CY306" s="33"/>
      <c r="CZ306" s="33"/>
      <c r="DA306" s="33"/>
      <c r="DB306" s="33"/>
      <c r="DC306" s="33"/>
      <c r="DD306" s="33"/>
      <c r="DE306" s="33"/>
      <c r="DF306" s="33"/>
      <c r="DG306" s="33"/>
      <c r="DH306" s="33"/>
      <c r="DI306" s="33"/>
      <c r="DJ306" s="33"/>
      <c r="DK306" s="33"/>
      <c r="DL306" s="33"/>
      <c r="DM306" s="33"/>
      <c r="DN306" s="33"/>
      <c r="DO306" s="33"/>
      <c r="DP306" s="33"/>
      <c r="DQ306" s="33"/>
      <c r="DR306" s="33"/>
      <c r="DS306" s="33"/>
      <c r="DT306" s="33"/>
      <c r="DU306" s="33"/>
      <c r="DV306" s="33"/>
      <c r="DW306" s="33"/>
      <c r="DX306" s="33"/>
      <c r="DY306" s="33"/>
      <c r="DZ306" s="33"/>
      <c r="EA306" s="33"/>
      <c r="EB306" s="33"/>
      <c r="EC306" s="33"/>
      <c r="ED306" s="33"/>
      <c r="EE306" s="33"/>
      <c r="EF306" s="33"/>
      <c r="EG306" s="33"/>
      <c r="EH306" s="33"/>
      <c r="EI306" s="33"/>
      <c r="EJ306" s="33"/>
      <c r="EK306" s="33"/>
      <c r="EL306" s="33"/>
      <c r="EM306" s="33"/>
      <c r="EN306" s="33"/>
      <c r="EO306" s="33"/>
      <c r="EP306" s="33"/>
      <c r="EQ306" s="33"/>
      <c r="ER306" s="33"/>
      <c r="ES306" s="33"/>
      <c r="ET306" s="33"/>
      <c r="EU306" s="33"/>
      <c r="EV306" s="33"/>
      <c r="EW306" s="33"/>
      <c r="EX306" s="33"/>
      <c r="EY306" s="33"/>
      <c r="EZ306" s="33"/>
      <c r="FA306" s="33"/>
      <c r="FB306" s="33"/>
      <c r="FC306" s="33"/>
      <c r="FD306" s="33"/>
      <c r="FE306" s="33"/>
      <c r="FF306" s="33"/>
      <c r="FG306" s="33"/>
      <c r="FH306" s="33"/>
      <c r="FI306" s="33"/>
      <c r="FJ306" s="33"/>
      <c r="FK306" s="33"/>
      <c r="FL306" s="33"/>
      <c r="FM306" s="33"/>
      <c r="FN306" s="33"/>
      <c r="FO306" s="33"/>
      <c r="FP306" s="33"/>
      <c r="FQ306" s="33"/>
      <c r="FR306" s="33"/>
      <c r="FS306" s="33"/>
      <c r="FT306" s="33"/>
      <c r="FU306" s="33"/>
      <c r="FV306" s="33"/>
      <c r="FW306" s="33"/>
      <c r="FX306" s="33"/>
      <c r="FY306" s="33"/>
      <c r="FZ306" s="33"/>
      <c r="GA306" s="33"/>
      <c r="GB306" s="33"/>
      <c r="GC306" s="33"/>
      <c r="GD306" s="33"/>
      <c r="GE306" s="33"/>
      <c r="GF306" s="33"/>
      <c r="GG306" s="33"/>
      <c r="GH306" s="33"/>
      <c r="GI306" s="33"/>
      <c r="GJ306" s="33"/>
      <c r="GK306" s="33"/>
      <c r="GL306" s="33"/>
      <c r="GM306" s="33"/>
      <c r="GN306" s="33"/>
      <c r="GO306" s="33"/>
      <c r="GP306" s="33"/>
      <c r="GQ306" s="33"/>
      <c r="GR306" s="33"/>
      <c r="GS306" s="33"/>
      <c r="GT306" s="33"/>
      <c r="GU306" s="33"/>
      <c r="GV306" s="33"/>
      <c r="GW306" s="33"/>
      <c r="GX306" s="33"/>
      <c r="GY306" s="33"/>
      <c r="GZ306" s="33"/>
      <c r="HA306" s="33"/>
      <c r="HB306" s="33"/>
      <c r="HC306" s="33"/>
      <c r="HD306" s="33"/>
      <c r="HE306" s="33"/>
      <c r="HF306" s="33"/>
      <c r="HG306" s="33"/>
      <c r="HH306" s="33"/>
      <c r="HI306" s="33"/>
      <c r="HJ306" s="33"/>
      <c r="HK306" s="33"/>
      <c r="HL306" s="33"/>
      <c r="HM306" s="33"/>
      <c r="HN306" s="33"/>
      <c r="HO306" s="33"/>
      <c r="HP306" s="33"/>
      <c r="HQ306" s="33"/>
      <c r="HR306" s="33"/>
      <c r="HS306" s="33"/>
      <c r="HT306" s="33"/>
      <c r="HU306" s="33"/>
      <c r="HV306" s="33"/>
      <c r="HW306" s="33"/>
      <c r="HX306" s="33"/>
      <c r="HY306" s="33"/>
      <c r="HZ306" s="33"/>
      <c r="IA306" s="33"/>
      <c r="IB306" s="33"/>
      <c r="IC306" s="33"/>
      <c r="ID306" s="33"/>
      <c r="IE306" s="33"/>
      <c r="IF306" s="33"/>
      <c r="IG306" s="33"/>
      <c r="IH306" s="33"/>
      <c r="II306" s="33"/>
      <c r="IJ306" s="33"/>
      <c r="IK306" s="33"/>
      <c r="IL306" s="33"/>
      <c r="IM306" s="33"/>
      <c r="IN306" s="33"/>
      <c r="IO306" s="33"/>
      <c r="IP306" s="33"/>
      <c r="IQ306" s="33"/>
      <c r="IR306" s="33"/>
      <c r="IS306" s="33"/>
      <c r="IT306" s="33"/>
      <c r="IU306" s="33"/>
      <c r="IV306" s="33"/>
      <c r="IW306" s="33"/>
      <c r="IX306" s="33"/>
      <c r="IY306" s="33"/>
      <c r="IZ306" s="33"/>
      <c r="JA306" s="33"/>
      <c r="JB306" s="33"/>
      <c r="JC306" s="33"/>
      <c r="JD306" s="33"/>
      <c r="JE306" s="33"/>
      <c r="JF306" s="33"/>
      <c r="JG306" s="33"/>
      <c r="JH306" s="33"/>
      <c r="JI306" s="33"/>
      <c r="JJ306" s="33"/>
      <c r="JK306" s="33"/>
      <c r="JL306" s="33"/>
      <c r="JM306" s="33"/>
      <c r="JN306" s="33"/>
      <c r="JO306" s="33"/>
      <c r="JP306" s="33"/>
      <c r="JQ306" s="33"/>
      <c r="JR306" s="33"/>
      <c r="JS306" s="33"/>
      <c r="JT306" s="33"/>
      <c r="JU306" s="33"/>
      <c r="JV306" s="33"/>
      <c r="JW306" s="33"/>
      <c r="JX306" s="33"/>
      <c r="JY306" s="33"/>
      <c r="JZ306" s="33"/>
      <c r="KA306" s="33"/>
      <c r="KB306" s="33"/>
      <c r="KC306" s="33"/>
      <c r="KD306" s="33"/>
      <c r="KE306" s="33"/>
      <c r="KF306" s="33"/>
      <c r="KG306" s="33"/>
      <c r="KH306" s="33"/>
      <c r="KI306" s="33"/>
      <c r="KJ306" s="33"/>
      <c r="KK306" s="33"/>
      <c r="KL306" s="33"/>
      <c r="KM306" s="33"/>
      <c r="KN306" s="33"/>
      <c r="KO306" s="33"/>
      <c r="KP306" s="33"/>
      <c r="KQ306" s="33"/>
      <c r="KR306" s="33"/>
      <c r="KS306" s="33"/>
      <c r="KT306" s="33"/>
      <c r="KU306" s="33"/>
      <c r="KV306" s="33"/>
      <c r="KW306" s="33"/>
      <c r="KX306" s="33"/>
      <c r="KY306" s="33"/>
      <c r="KZ306" s="33"/>
      <c r="LA306" s="33"/>
      <c r="LB306" s="33"/>
      <c r="LC306" s="33"/>
      <c r="LD306" s="33"/>
      <c r="LE306" s="33"/>
      <c r="LF306" s="33"/>
      <c r="LG306" s="33"/>
      <c r="LH306" s="33"/>
      <c r="LI306" s="33"/>
      <c r="LJ306" s="33"/>
      <c r="LK306" s="33"/>
      <c r="LL306" s="33"/>
      <c r="LM306" s="33"/>
      <c r="LN306" s="33"/>
      <c r="LO306" s="33"/>
      <c r="LP306" s="33"/>
      <c r="LQ306" s="33"/>
      <c r="LR306" s="33"/>
      <c r="LS306" s="33"/>
      <c r="LT306" s="33"/>
      <c r="LU306" s="33"/>
      <c r="LV306" s="33"/>
      <c r="LW306" s="33"/>
      <c r="LX306" s="33"/>
      <c r="LY306" s="33"/>
      <c r="LZ306" s="33"/>
      <c r="MA306" s="33"/>
      <c r="MB306" s="33"/>
      <c r="MC306" s="33"/>
      <c r="MD306" s="33"/>
      <c r="ME306" s="33"/>
      <c r="MF306" s="33"/>
      <c r="MG306" s="33"/>
      <c r="MH306" s="33"/>
      <c r="MI306" s="33"/>
      <c r="MJ306" s="33"/>
      <c r="MK306" s="33"/>
      <c r="ML306" s="33"/>
      <c r="MM306" s="33"/>
      <c r="MN306" s="33"/>
      <c r="MO306" s="33"/>
      <c r="MP306" s="33"/>
      <c r="MQ306" s="33"/>
      <c r="MR306" s="33"/>
      <c r="MS306" s="33"/>
      <c r="MT306" s="33"/>
      <c r="MU306" s="33"/>
      <c r="MV306" s="33"/>
      <c r="MW306" s="33"/>
      <c r="MX306" s="33"/>
      <c r="MY306" s="33"/>
      <c r="MZ306" s="33"/>
      <c r="NA306" s="33"/>
      <c r="NB306" s="33"/>
      <c r="NC306" s="33"/>
      <c r="ND306" s="33"/>
      <c r="NE306" s="33"/>
      <c r="NF306" s="33"/>
      <c r="NG306" s="33"/>
      <c r="NH306" s="33"/>
      <c r="NI306" s="33"/>
      <c r="NJ306" s="33"/>
      <c r="NK306" s="33"/>
      <c r="NL306" s="33"/>
      <c r="NM306" s="33"/>
      <c r="NN306" s="33"/>
      <c r="NO306" s="33"/>
      <c r="NP306" s="33"/>
      <c r="NQ306" s="33"/>
      <c r="NR306" s="33"/>
      <c r="NS306" s="33"/>
      <c r="NT306" s="33"/>
      <c r="NU306" s="33"/>
      <c r="NV306" s="33"/>
      <c r="NW306" s="33"/>
      <c r="NX306" s="33"/>
      <c r="NY306" s="33"/>
      <c r="NZ306" s="33"/>
      <c r="OA306" s="33"/>
      <c r="OB306" s="33"/>
      <c r="OC306" s="33"/>
      <c r="OD306" s="33"/>
      <c r="OE306" s="33"/>
      <c r="OF306" s="33"/>
      <c r="OG306" s="33"/>
      <c r="OH306" s="33"/>
      <c r="OI306" s="33"/>
      <c r="OJ306" s="33"/>
      <c r="OK306" s="33"/>
      <c r="OL306" s="33"/>
      <c r="OM306" s="33"/>
      <c r="ON306" s="33"/>
      <c r="OO306" s="33"/>
      <c r="OP306" s="33"/>
      <c r="OQ306" s="33"/>
      <c r="OR306" s="33"/>
      <c r="OS306" s="33"/>
      <c r="OT306" s="33"/>
      <c r="OU306" s="33"/>
      <c r="OV306" s="33"/>
      <c r="OW306" s="33"/>
      <c r="OX306" s="33"/>
      <c r="OY306" s="33"/>
      <c r="OZ306" s="33"/>
      <c r="PA306" s="33"/>
      <c r="PB306" s="33"/>
      <c r="PC306" s="33"/>
      <c r="PD306" s="33"/>
      <c r="PE306" s="33"/>
      <c r="PF306" s="33"/>
      <c r="PG306" s="33"/>
      <c r="PH306" s="33"/>
      <c r="PI306" s="33"/>
      <c r="PJ306" s="33"/>
      <c r="PK306" s="33"/>
      <c r="PL306" s="33"/>
      <c r="PM306" s="33"/>
      <c r="PN306" s="33"/>
      <c r="PO306" s="33"/>
      <c r="PP306" s="33"/>
      <c r="PQ306" s="33"/>
      <c r="PR306" s="33"/>
      <c r="PS306" s="33"/>
      <c r="PT306" s="33"/>
      <c r="PU306" s="33"/>
      <c r="PV306" s="33"/>
      <c r="PW306" s="33"/>
      <c r="PX306" s="33"/>
      <c r="PY306" s="33"/>
      <c r="PZ306" s="33"/>
      <c r="QA306" s="33"/>
      <c r="QB306" s="33"/>
      <c r="QC306" s="33"/>
      <c r="QD306" s="33"/>
      <c r="QE306" s="33"/>
      <c r="QF306" s="33"/>
      <c r="QG306" s="33"/>
      <c r="QH306" s="33"/>
      <c r="QI306" s="33"/>
      <c r="QJ306" s="33"/>
      <c r="QK306" s="33"/>
      <c r="QL306" s="33"/>
      <c r="QM306" s="33"/>
      <c r="QN306" s="33"/>
      <c r="QO306" s="33"/>
      <c r="QP306" s="33"/>
      <c r="QQ306" s="33"/>
      <c r="QR306" s="33"/>
      <c r="QS306" s="33"/>
      <c r="QT306" s="33"/>
      <c r="QU306" s="33"/>
      <c r="QV306" s="33"/>
      <c r="QW306" s="33"/>
      <c r="QX306" s="33"/>
      <c r="QY306" s="33"/>
      <c r="QZ306" s="33"/>
      <c r="RA306" s="33"/>
      <c r="RB306" s="33"/>
      <c r="RC306" s="33"/>
      <c r="RD306" s="33"/>
      <c r="RE306" s="33"/>
      <c r="RF306" s="33"/>
      <c r="RG306" s="33"/>
      <c r="RH306" s="33"/>
      <c r="RI306" s="33"/>
      <c r="RJ306" s="33"/>
      <c r="RK306" s="33"/>
      <c r="RL306" s="33"/>
      <c r="RM306" s="33"/>
      <c r="RN306" s="33"/>
      <c r="RO306" s="33"/>
      <c r="RP306" s="33"/>
      <c r="RQ306" s="33"/>
      <c r="RR306" s="33"/>
      <c r="RS306" s="33"/>
      <c r="RT306" s="33"/>
      <c r="RU306" s="33"/>
      <c r="RV306" s="33"/>
      <c r="RW306" s="33"/>
      <c r="RX306" s="33"/>
      <c r="RY306" s="33"/>
      <c r="RZ306" s="33"/>
      <c r="SA306" s="33"/>
      <c r="SB306" s="33"/>
      <c r="SC306" s="33"/>
      <c r="SD306" s="33"/>
      <c r="SE306" s="33"/>
      <c r="SF306" s="33"/>
      <c r="SG306" s="33"/>
      <c r="SH306" s="33"/>
      <c r="SI306" s="33"/>
      <c r="SJ306" s="33"/>
      <c r="SK306" s="33"/>
      <c r="SL306" s="33"/>
      <c r="SM306" s="33"/>
      <c r="SN306" s="33"/>
      <c r="SO306" s="33"/>
      <c r="SP306" s="33"/>
      <c r="SQ306" s="33"/>
      <c r="SR306" s="33"/>
      <c r="SS306" s="33"/>
      <c r="ST306" s="33"/>
      <c r="SU306" s="33"/>
      <c r="SV306" s="33"/>
      <c r="SW306" s="33"/>
      <c r="SX306" s="33"/>
      <c r="SY306" s="33"/>
      <c r="SZ306" s="33"/>
      <c r="TA306" s="33"/>
      <c r="TB306" s="33"/>
      <c r="TC306" s="33"/>
      <c r="TD306" s="33"/>
      <c r="TE306" s="33"/>
      <c r="TF306" s="33"/>
      <c r="TG306" s="33"/>
      <c r="TH306" s="33"/>
      <c r="TI306" s="33"/>
      <c r="TJ306" s="33"/>
      <c r="TK306" s="33"/>
      <c r="TL306" s="33"/>
      <c r="TM306" s="33"/>
      <c r="TN306" s="33"/>
      <c r="TO306" s="33"/>
      <c r="TP306" s="33"/>
      <c r="TQ306" s="33"/>
      <c r="TR306" s="33"/>
      <c r="TS306" s="33"/>
      <c r="TT306" s="33"/>
      <c r="TU306" s="33"/>
      <c r="TV306" s="33"/>
      <c r="TW306" s="33"/>
      <c r="TX306" s="33"/>
      <c r="TY306" s="33"/>
      <c r="TZ306" s="33"/>
      <c r="UA306" s="33"/>
      <c r="UB306" s="33"/>
      <c r="UC306" s="33"/>
      <c r="UD306" s="33"/>
      <c r="UE306" s="33"/>
      <c r="UF306" s="33"/>
      <c r="UG306" s="33"/>
      <c r="UH306" s="33"/>
      <c r="UI306" s="33"/>
      <c r="UJ306" s="33"/>
      <c r="UK306" s="33"/>
      <c r="UL306" s="33"/>
      <c r="UM306" s="33"/>
      <c r="UN306" s="33"/>
      <c r="UO306" s="33"/>
      <c r="UP306" s="33"/>
      <c r="UQ306" s="33"/>
      <c r="UR306" s="33"/>
      <c r="US306" s="33"/>
      <c r="UT306" s="33"/>
      <c r="UU306" s="33"/>
      <c r="UV306" s="33"/>
      <c r="UW306" s="33"/>
      <c r="UX306" s="33"/>
      <c r="UY306" s="33"/>
      <c r="UZ306" s="33"/>
      <c r="VA306" s="33"/>
      <c r="VB306" s="33"/>
      <c r="VC306" s="33"/>
      <c r="VD306" s="33"/>
      <c r="VE306" s="33"/>
      <c r="VF306" s="33"/>
      <c r="VG306" s="33"/>
      <c r="VH306" s="33"/>
      <c r="VI306" s="33"/>
      <c r="VJ306" s="33"/>
      <c r="VK306" s="33"/>
      <c r="VL306" s="33"/>
      <c r="VM306" s="33"/>
      <c r="VN306" s="33"/>
      <c r="VO306" s="33"/>
      <c r="VP306" s="33"/>
      <c r="VQ306" s="33"/>
      <c r="VR306" s="33"/>
      <c r="VS306" s="33"/>
      <c r="VT306" s="33"/>
      <c r="VU306" s="33"/>
      <c r="VV306" s="33"/>
      <c r="VW306" s="33"/>
      <c r="VX306" s="33"/>
      <c r="VY306" s="33"/>
      <c r="VZ306" s="33"/>
      <c r="WA306" s="33"/>
      <c r="WB306" s="33"/>
      <c r="WC306" s="33"/>
      <c r="WD306" s="33"/>
      <c r="WE306" s="33"/>
      <c r="WF306" s="33"/>
      <c r="WG306" s="33"/>
      <c r="WH306" s="33"/>
      <c r="WI306" s="33"/>
      <c r="WJ306" s="33"/>
      <c r="WK306" s="33"/>
      <c r="WL306" s="33"/>
      <c r="WM306" s="33"/>
      <c r="WN306" s="33"/>
      <c r="WO306" s="33"/>
      <c r="WP306" s="33"/>
      <c r="WQ306" s="33"/>
      <c r="WR306" s="33"/>
      <c r="WS306" s="33"/>
      <c r="WT306" s="33"/>
      <c r="WU306" s="33"/>
      <c r="WV306" s="33"/>
      <c r="WW306" s="33"/>
      <c r="WX306" s="33"/>
      <c r="WY306" s="33"/>
      <c r="WZ306" s="33"/>
      <c r="XA306" s="33"/>
      <c r="XB306" s="33"/>
      <c r="XC306" s="33"/>
      <c r="XD306" s="33"/>
      <c r="XE306" s="33"/>
      <c r="XF306" s="33"/>
      <c r="XG306" s="33"/>
      <c r="XH306" s="33"/>
      <c r="XI306" s="33"/>
      <c r="XJ306" s="33"/>
      <c r="XK306" s="33"/>
      <c r="XL306" s="33"/>
      <c r="XM306" s="33"/>
      <c r="XN306" s="33"/>
      <c r="XO306" s="33"/>
      <c r="XP306" s="33"/>
      <c r="XQ306" s="33"/>
      <c r="XR306" s="33"/>
      <c r="XS306" s="33"/>
      <c r="XT306" s="33"/>
      <c r="XU306" s="33"/>
      <c r="XV306" s="33"/>
      <c r="XW306" s="33"/>
      <c r="XX306" s="33"/>
      <c r="XY306" s="33"/>
      <c r="XZ306" s="33"/>
      <c r="YA306" s="33"/>
      <c r="YB306" s="33"/>
      <c r="YC306" s="33"/>
      <c r="YD306" s="33"/>
      <c r="YE306" s="33"/>
      <c r="YF306" s="33"/>
      <c r="YG306" s="33"/>
      <c r="YH306" s="33"/>
      <c r="YI306" s="33"/>
      <c r="YJ306" s="33"/>
      <c r="YK306" s="33"/>
      <c r="YL306" s="33"/>
      <c r="YM306" s="33"/>
      <c r="YN306" s="33"/>
      <c r="YO306" s="33"/>
      <c r="YP306" s="33"/>
      <c r="YQ306" s="33"/>
      <c r="YR306" s="33"/>
      <c r="YS306" s="33"/>
      <c r="YT306" s="33"/>
      <c r="YU306" s="33"/>
      <c r="YV306" s="33"/>
      <c r="YW306" s="33"/>
      <c r="YX306" s="33"/>
      <c r="YY306" s="33"/>
      <c r="YZ306" s="33"/>
      <c r="ZA306" s="33"/>
      <c r="ZB306" s="33"/>
      <c r="ZC306" s="33"/>
      <c r="ZD306" s="33"/>
      <c r="ZE306" s="33"/>
      <c r="ZF306" s="33"/>
      <c r="ZG306" s="33"/>
      <c r="ZH306" s="33"/>
      <c r="ZI306" s="33"/>
      <c r="ZJ306" s="33"/>
      <c r="ZK306" s="33"/>
      <c r="ZL306" s="33"/>
      <c r="ZM306" s="33"/>
      <c r="ZN306" s="33"/>
      <c r="ZO306" s="33"/>
      <c r="ZP306" s="33"/>
      <c r="ZQ306" s="33"/>
      <c r="ZR306" s="33"/>
      <c r="ZS306" s="33"/>
      <c r="ZT306" s="33"/>
      <c r="ZU306" s="33"/>
      <c r="ZV306" s="33"/>
      <c r="ZW306" s="33"/>
      <c r="ZX306" s="33"/>
      <c r="ZY306" s="33"/>
      <c r="ZZ306" s="33"/>
      <c r="AAA306" s="33"/>
      <c r="AAB306" s="33"/>
      <c r="AAC306" s="33"/>
      <c r="AAD306" s="33"/>
      <c r="AAE306" s="33"/>
      <c r="AAF306" s="33"/>
      <c r="AAG306" s="33"/>
      <c r="AAH306" s="33"/>
      <c r="AAI306" s="33"/>
      <c r="AAJ306" s="33"/>
      <c r="AAK306" s="33"/>
      <c r="AAL306" s="33"/>
      <c r="AAM306" s="33"/>
      <c r="AAN306" s="33"/>
      <c r="AAO306" s="33"/>
      <c r="AAP306" s="33"/>
      <c r="AAQ306" s="33"/>
      <c r="AAR306" s="33"/>
      <c r="AAS306" s="33"/>
      <c r="AAT306" s="33"/>
      <c r="AAU306" s="33"/>
      <c r="AAV306" s="33"/>
      <c r="AAW306" s="33"/>
      <c r="AAX306" s="33"/>
      <c r="AAY306" s="33"/>
      <c r="AAZ306" s="33"/>
      <c r="ABA306" s="33"/>
      <c r="ABB306" s="33"/>
      <c r="ABC306" s="33"/>
      <c r="ABD306" s="33"/>
      <c r="ABE306" s="33"/>
      <c r="ABF306" s="33"/>
      <c r="ABG306" s="33"/>
      <c r="ABH306" s="33"/>
      <c r="ABI306" s="33"/>
      <c r="ABJ306" s="33"/>
      <c r="ABK306" s="33"/>
      <c r="ABL306" s="33"/>
      <c r="ABM306" s="33"/>
      <c r="ABN306" s="33"/>
      <c r="ABO306" s="33"/>
      <c r="ABP306" s="33"/>
      <c r="ABQ306" s="33"/>
      <c r="ABR306" s="33"/>
      <c r="ABS306" s="33"/>
      <c r="ABT306" s="33"/>
      <c r="ABU306" s="33"/>
      <c r="ABV306" s="33"/>
      <c r="ABW306" s="33"/>
      <c r="ABX306" s="33"/>
      <c r="ABY306" s="33"/>
      <c r="ABZ306" s="33"/>
      <c r="ACA306" s="33"/>
      <c r="ACB306" s="33"/>
      <c r="ACC306" s="33"/>
      <c r="ACD306" s="33"/>
      <c r="ACE306" s="33"/>
      <c r="ACF306" s="33"/>
      <c r="ACG306" s="33"/>
      <c r="ACH306" s="33"/>
      <c r="ACI306" s="33"/>
      <c r="ACJ306" s="33"/>
      <c r="ACK306" s="33"/>
      <c r="ACL306" s="33"/>
      <c r="ACM306" s="33"/>
      <c r="ACN306" s="33"/>
      <c r="ACO306" s="33"/>
      <c r="ACP306" s="33"/>
      <c r="ACQ306" s="33"/>
      <c r="ACR306" s="33"/>
      <c r="ACS306" s="33"/>
      <c r="ACT306" s="33"/>
      <c r="ACU306" s="33"/>
      <c r="ACV306" s="33"/>
      <c r="ACW306" s="33"/>
      <c r="ACX306" s="33"/>
      <c r="ACY306" s="33"/>
      <c r="ACZ306" s="33"/>
      <c r="ADA306" s="33"/>
      <c r="ADB306" s="33"/>
      <c r="ADC306" s="33"/>
      <c r="ADD306" s="33"/>
      <c r="ADE306" s="33"/>
      <c r="ADF306" s="33"/>
      <c r="ADG306" s="33"/>
      <c r="ADH306" s="33"/>
      <c r="ADI306" s="33"/>
      <c r="ADJ306" s="33"/>
      <c r="ADK306" s="33"/>
      <c r="ADL306" s="33"/>
      <c r="ADM306" s="33"/>
      <c r="ADN306" s="33"/>
      <c r="ADO306" s="33"/>
      <c r="ADP306" s="33"/>
      <c r="ADQ306" s="33"/>
      <c r="ADR306" s="33"/>
      <c r="ADS306" s="33"/>
      <c r="ADT306" s="33"/>
      <c r="ADU306" s="33"/>
      <c r="ADV306" s="33"/>
      <c r="ADW306" s="33"/>
      <c r="ADX306" s="33"/>
      <c r="ADY306" s="33"/>
      <c r="ADZ306" s="33"/>
      <c r="AEA306" s="33"/>
      <c r="AEB306" s="33"/>
      <c r="AEC306" s="33"/>
      <c r="AED306" s="33"/>
      <c r="AEE306" s="33"/>
      <c r="AEF306" s="33"/>
      <c r="AEG306" s="33"/>
      <c r="AEH306" s="33"/>
      <c r="AEI306" s="33"/>
      <c r="AEJ306" s="33"/>
      <c r="AEK306" s="33"/>
      <c r="AEL306" s="33"/>
      <c r="AEM306" s="33"/>
      <c r="AEN306" s="33"/>
      <c r="AEO306" s="33"/>
      <c r="AEP306" s="33"/>
      <c r="AEQ306" s="33"/>
      <c r="AER306" s="33"/>
      <c r="AES306" s="33"/>
      <c r="AET306" s="33"/>
      <c r="AEU306" s="33"/>
      <c r="AEV306" s="33"/>
      <c r="AEW306" s="33"/>
      <c r="AEX306" s="33"/>
      <c r="AEY306" s="33"/>
      <c r="AEZ306" s="33"/>
      <c r="AFA306" s="33"/>
      <c r="AFB306" s="33"/>
      <c r="AFC306" s="33"/>
      <c r="AFD306" s="33"/>
      <c r="AFE306" s="33"/>
      <c r="AFF306" s="33"/>
      <c r="AFG306" s="33"/>
      <c r="AFH306" s="33"/>
      <c r="AFI306" s="33"/>
      <c r="AFJ306" s="33"/>
      <c r="AFK306" s="33"/>
      <c r="AFL306" s="33"/>
      <c r="AFM306" s="33"/>
      <c r="AFN306" s="33"/>
      <c r="AFO306" s="33"/>
      <c r="AFP306" s="33"/>
      <c r="AFQ306" s="33"/>
      <c r="AFR306" s="33"/>
      <c r="AFS306" s="33"/>
      <c r="AFT306" s="33"/>
      <c r="AFU306" s="33"/>
      <c r="AFV306" s="33"/>
      <c r="AFW306" s="33"/>
      <c r="AFX306" s="33"/>
      <c r="AFY306" s="33"/>
      <c r="AFZ306" s="33"/>
      <c r="AGA306" s="33"/>
      <c r="AGB306" s="33"/>
      <c r="AGC306" s="33"/>
      <c r="AGD306" s="33"/>
      <c r="AGE306" s="33"/>
      <c r="AGF306" s="33"/>
      <c r="AGG306" s="33"/>
      <c r="AGH306" s="33"/>
      <c r="AGI306" s="33"/>
      <c r="AGJ306" s="33"/>
      <c r="AGK306" s="33"/>
      <c r="AGL306" s="33"/>
      <c r="AGM306" s="33"/>
      <c r="AGN306" s="33"/>
      <c r="AGO306" s="33"/>
      <c r="AGP306" s="33"/>
      <c r="AGQ306" s="33"/>
      <c r="AGR306" s="33"/>
      <c r="AGS306" s="33"/>
      <c r="AGT306" s="33"/>
      <c r="AGU306" s="33"/>
      <c r="AGV306" s="33"/>
      <c r="AGW306" s="33"/>
      <c r="AGX306" s="33"/>
      <c r="AGY306" s="33"/>
      <c r="AGZ306" s="33"/>
      <c r="AHA306" s="33"/>
      <c r="AHB306" s="33"/>
      <c r="AHC306" s="33"/>
      <c r="AHD306" s="33"/>
      <c r="AHE306" s="33"/>
      <c r="AHF306" s="33"/>
      <c r="AHG306" s="33"/>
      <c r="AHH306" s="33"/>
      <c r="AHI306" s="33"/>
      <c r="AHJ306" s="33"/>
      <c r="AHK306" s="33"/>
      <c r="AHL306" s="33"/>
      <c r="AHM306" s="33"/>
      <c r="AHN306" s="33"/>
      <c r="AHO306" s="33"/>
      <c r="AHP306" s="33"/>
      <c r="AHQ306" s="33"/>
      <c r="AHR306" s="33"/>
      <c r="AHS306" s="33"/>
      <c r="AHT306" s="33"/>
      <c r="AHU306" s="33"/>
      <c r="AHV306" s="33"/>
      <c r="AHW306" s="33"/>
      <c r="AHX306" s="33"/>
      <c r="AHY306" s="33"/>
      <c r="AHZ306" s="33"/>
      <c r="AIA306" s="33"/>
      <c r="AIB306" s="33"/>
      <c r="AIC306" s="33"/>
      <c r="AID306" s="33"/>
      <c r="AIE306" s="33"/>
      <c r="AIF306" s="33"/>
      <c r="AIG306" s="33"/>
      <c r="AIH306" s="33"/>
      <c r="AII306" s="33"/>
      <c r="AIJ306" s="33"/>
      <c r="AIK306" s="33"/>
      <c r="AIL306" s="33"/>
      <c r="AIM306" s="33"/>
      <c r="AIN306" s="33"/>
      <c r="AIO306" s="33"/>
      <c r="AIP306" s="33"/>
      <c r="AIQ306" s="33"/>
      <c r="AIR306" s="33"/>
      <c r="AIS306" s="33"/>
      <c r="AIT306" s="33"/>
      <c r="AIU306" s="33"/>
      <c r="AIV306" s="33"/>
      <c r="AIW306" s="33"/>
      <c r="AIX306" s="33"/>
      <c r="AIY306" s="33"/>
      <c r="AIZ306" s="33"/>
      <c r="AJA306" s="33"/>
      <c r="AJB306" s="33"/>
      <c r="AJC306" s="33"/>
      <c r="AJD306" s="33"/>
      <c r="AJE306" s="33"/>
      <c r="AJF306" s="33"/>
      <c r="AJG306" s="33"/>
      <c r="AJH306" s="33"/>
      <c r="AJI306" s="33"/>
      <c r="AJJ306" s="33"/>
      <c r="AJK306" s="33"/>
      <c r="AJL306" s="33"/>
      <c r="AJM306" s="33"/>
      <c r="AJN306" s="33"/>
      <c r="AJO306" s="33"/>
      <c r="AJP306" s="33"/>
      <c r="AJQ306" s="33"/>
      <c r="AJR306" s="33"/>
      <c r="AJS306" s="33"/>
      <c r="AJT306" s="33"/>
      <c r="AJU306" s="33"/>
      <c r="AJV306" s="33"/>
      <c r="AJW306" s="33"/>
      <c r="AJX306" s="33"/>
      <c r="AJY306" s="33"/>
      <c r="AJZ306" s="33"/>
      <c r="AKA306" s="33"/>
      <c r="AKB306" s="33"/>
      <c r="AKC306" s="33"/>
      <c r="AKD306" s="33"/>
      <c r="AKE306" s="33"/>
      <c r="AKF306" s="33"/>
      <c r="AKG306" s="33"/>
      <c r="AKH306" s="33"/>
      <c r="AKI306" s="33"/>
      <c r="AKJ306" s="33"/>
      <c r="AKK306" s="33"/>
      <c r="AKL306" s="33"/>
      <c r="AKM306" s="33"/>
      <c r="AKN306" s="33"/>
      <c r="AKO306" s="33"/>
      <c r="AKP306" s="33"/>
      <c r="AKQ306" s="33"/>
      <c r="AKR306" s="33"/>
      <c r="AKS306" s="33"/>
      <c r="AKT306" s="33"/>
      <c r="AKU306" s="33"/>
      <c r="AKV306" s="33"/>
      <c r="AKW306" s="33"/>
      <c r="AKX306" s="33"/>
      <c r="AKY306" s="33"/>
      <c r="AKZ306" s="33"/>
      <c r="ALA306" s="33"/>
      <c r="ALB306" s="33"/>
      <c r="ALC306" s="33"/>
      <c r="ALD306" s="33"/>
      <c r="ALE306" s="33"/>
      <c r="ALF306" s="33"/>
      <c r="ALG306" s="33"/>
      <c r="ALH306" s="33"/>
      <c r="ALI306" s="33"/>
      <c r="ALJ306" s="33"/>
      <c r="ALK306" s="33"/>
      <c r="ALL306" s="33"/>
      <c r="ALM306" s="33"/>
      <c r="ALN306" s="33"/>
      <c r="ALO306" s="33"/>
      <c r="ALP306" s="33"/>
      <c r="ALQ306" s="33"/>
      <c r="ALR306" s="33"/>
      <c r="ALS306" s="33"/>
      <c r="ALT306" s="33"/>
      <c r="ALU306" s="33"/>
      <c r="ALV306" s="33"/>
      <c r="ALW306" s="33"/>
      <c r="ALX306" s="33"/>
      <c r="ALY306" s="33"/>
      <c r="ALZ306" s="33"/>
      <c r="AMA306" s="33"/>
      <c r="AMB306" s="33"/>
      <c r="AMC306" s="33"/>
      <c r="AMD306" s="33"/>
      <c r="AME306" s="33"/>
      <c r="AMF306" s="33"/>
      <c r="AMG306" s="33"/>
      <c r="AMH306" s="33"/>
      <c r="AMI306" s="33"/>
      <c r="AMJ306" s="33"/>
      <c r="AMK306" s="33"/>
      <c r="AML306" s="33"/>
    </row>
    <row r="307" spans="1:1027" s="33" customFormat="1" x14ac:dyDescent="0.2">
      <c r="A307" s="1">
        <v>4</v>
      </c>
      <c r="B307" s="1" t="s">
        <v>913</v>
      </c>
      <c r="C307" s="1" t="s">
        <v>914</v>
      </c>
      <c r="D307" s="33">
        <v>145</v>
      </c>
      <c r="E307" s="24" t="s">
        <v>507</v>
      </c>
      <c r="F307" s="24" t="s">
        <v>508</v>
      </c>
      <c r="G307" s="25" t="s">
        <v>508</v>
      </c>
      <c r="H307" s="24"/>
      <c r="I307" s="24"/>
      <c r="J307" s="24" t="s">
        <v>507</v>
      </c>
      <c r="K307" s="12"/>
      <c r="L307" s="26"/>
      <c r="M307" s="1"/>
      <c r="N307" s="1"/>
      <c r="O307" s="1"/>
      <c r="P307" s="1"/>
      <c r="Q307" s="1"/>
      <c r="R307" s="1"/>
      <c r="S307" s="13"/>
      <c r="T307" s="1"/>
      <c r="U307" s="1"/>
      <c r="V307" s="1"/>
      <c r="W307" s="1"/>
      <c r="X307" s="1"/>
      <c r="Y307" s="1"/>
      <c r="Z307" s="1"/>
      <c r="AA307" s="30"/>
      <c r="AB307" s="30"/>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c r="ADD307" s="1"/>
      <c r="ADE307" s="1"/>
      <c r="ADF307" s="1"/>
      <c r="ADG307" s="1"/>
      <c r="ADH307" s="1"/>
      <c r="ADI307" s="1"/>
      <c r="ADJ307" s="1"/>
      <c r="ADK307" s="1"/>
      <c r="ADL307" s="1"/>
      <c r="ADM307" s="1"/>
      <c r="ADN307" s="1"/>
      <c r="ADO307" s="1"/>
      <c r="ADP307" s="1"/>
      <c r="ADQ307" s="1"/>
      <c r="ADR307" s="1"/>
      <c r="ADS307" s="1"/>
      <c r="ADT307" s="1"/>
      <c r="ADU307" s="1"/>
      <c r="ADV307" s="1"/>
      <c r="ADW307" s="1"/>
      <c r="ADX307" s="1"/>
      <c r="ADY307" s="1"/>
      <c r="ADZ307" s="1"/>
      <c r="AEA307" s="1"/>
      <c r="AEB307" s="1"/>
      <c r="AEC307" s="1"/>
      <c r="AED307" s="1"/>
      <c r="AEE307" s="1"/>
      <c r="AEF307" s="1"/>
      <c r="AEG307" s="1"/>
      <c r="AEH307" s="1"/>
      <c r="AEI307" s="1"/>
      <c r="AEJ307" s="1"/>
      <c r="AEK307" s="1"/>
      <c r="AEL307" s="1"/>
      <c r="AEM307" s="1"/>
      <c r="AEN307" s="1"/>
      <c r="AEO307" s="1"/>
      <c r="AEP307" s="1"/>
      <c r="AEQ307" s="1"/>
      <c r="AER307" s="1"/>
      <c r="AES307" s="1"/>
      <c r="AET307" s="1"/>
      <c r="AEU307" s="1"/>
      <c r="AEV307" s="1"/>
      <c r="AEW307" s="1"/>
      <c r="AEX307" s="1"/>
      <c r="AEY307" s="1"/>
      <c r="AEZ307" s="1"/>
      <c r="AFA307" s="1"/>
      <c r="AFB307" s="1"/>
      <c r="AFC307" s="1"/>
      <c r="AFD307" s="1"/>
      <c r="AFE307" s="1"/>
      <c r="AFF307" s="1"/>
      <c r="AFG307" s="1"/>
      <c r="AFH307" s="1"/>
      <c r="AFI307" s="1"/>
      <c r="AFJ307" s="1"/>
      <c r="AFK307" s="1"/>
      <c r="AFL307" s="1"/>
      <c r="AFM307" s="1"/>
      <c r="AFN307" s="1"/>
      <c r="AFO307" s="1"/>
      <c r="AFP307" s="1"/>
      <c r="AFQ307" s="1"/>
      <c r="AFR307" s="1"/>
      <c r="AFS307" s="1"/>
      <c r="AFT307" s="1"/>
      <c r="AFU307" s="1"/>
      <c r="AFV307" s="1"/>
      <c r="AFW307" s="1"/>
      <c r="AFX307" s="1"/>
      <c r="AFY307" s="1"/>
      <c r="AFZ307" s="1"/>
      <c r="AGA307" s="1"/>
      <c r="AGB307" s="1"/>
      <c r="AGC307" s="1"/>
      <c r="AGD307" s="1"/>
      <c r="AGE307" s="1"/>
      <c r="AGF307" s="1"/>
      <c r="AGG307" s="1"/>
      <c r="AGH307" s="1"/>
      <c r="AGI307" s="1"/>
      <c r="AGJ307" s="1"/>
      <c r="AGK307" s="1"/>
      <c r="AGL307" s="1"/>
      <c r="AGM307" s="1"/>
      <c r="AGN307" s="1"/>
      <c r="AGO307" s="1"/>
      <c r="AGP307" s="1"/>
      <c r="AGQ307" s="1"/>
      <c r="AGR307" s="1"/>
      <c r="AGS307" s="1"/>
      <c r="AGT307" s="1"/>
      <c r="AGU307" s="1"/>
      <c r="AGV307" s="1"/>
      <c r="AGW307" s="1"/>
      <c r="AGX307" s="1"/>
      <c r="AGY307" s="1"/>
      <c r="AGZ307" s="1"/>
      <c r="AHA307" s="1"/>
      <c r="AHB307" s="1"/>
      <c r="AHC307" s="1"/>
      <c r="AHD307" s="1"/>
      <c r="AHE307" s="1"/>
      <c r="AHF307" s="1"/>
      <c r="AHG307" s="1"/>
      <c r="AHH307" s="1"/>
      <c r="AHI307" s="1"/>
      <c r="AHJ307" s="1"/>
      <c r="AHK307" s="1"/>
      <c r="AHL307" s="1"/>
      <c r="AHM307" s="1"/>
      <c r="AHN307" s="1"/>
      <c r="AHO307" s="1"/>
      <c r="AHP307" s="1"/>
      <c r="AHQ307" s="1"/>
      <c r="AHR307" s="1"/>
      <c r="AHS307" s="1"/>
      <c r="AHT307" s="1"/>
      <c r="AHU307" s="1"/>
      <c r="AHV307" s="1"/>
      <c r="AHW307" s="1"/>
      <c r="AHX307" s="1"/>
      <c r="AHY307" s="1"/>
      <c r="AHZ307" s="1"/>
      <c r="AIA307" s="1"/>
      <c r="AIB307" s="1"/>
      <c r="AIC307" s="1"/>
      <c r="AID307" s="1"/>
      <c r="AIE307" s="1"/>
      <c r="AIF307" s="1"/>
      <c r="AIG307" s="1"/>
      <c r="AIH307" s="1"/>
      <c r="AII307" s="1"/>
      <c r="AIJ307" s="1"/>
      <c r="AIK307" s="1"/>
      <c r="AIL307" s="1"/>
      <c r="AIM307" s="1"/>
      <c r="AIN307" s="1"/>
      <c r="AIO307" s="1"/>
      <c r="AIP307" s="1"/>
      <c r="AIQ307" s="1"/>
      <c r="AIR307" s="1"/>
      <c r="AIS307" s="1"/>
      <c r="AIT307" s="1"/>
      <c r="AIU307" s="1"/>
      <c r="AIV307" s="1"/>
      <c r="AIW307" s="1"/>
      <c r="AIX307" s="1"/>
      <c r="AIY307" s="1"/>
      <c r="AIZ307" s="1"/>
      <c r="AJA307" s="1"/>
      <c r="AJB307" s="1"/>
      <c r="AJC307" s="1"/>
      <c r="AJD307" s="1"/>
      <c r="AJE307" s="1"/>
      <c r="AJF307" s="1"/>
      <c r="AJG307" s="1"/>
      <c r="AJH307" s="1"/>
      <c r="AJI307" s="1"/>
      <c r="AJJ307" s="1"/>
      <c r="AJK307" s="1"/>
      <c r="AJL307" s="1"/>
      <c r="AJM307" s="1"/>
      <c r="AJN307" s="1"/>
      <c r="AJO307" s="1"/>
      <c r="AJP307" s="1"/>
      <c r="AJQ307" s="1"/>
      <c r="AJR307" s="1"/>
      <c r="AJS307" s="1"/>
      <c r="AJT307" s="1"/>
      <c r="AJU307" s="1"/>
      <c r="AJV307" s="1"/>
      <c r="AJW307" s="1"/>
      <c r="AJX307" s="1"/>
      <c r="AJY307" s="1"/>
      <c r="AJZ307" s="1"/>
      <c r="AKA307" s="1"/>
      <c r="AKB307" s="1"/>
      <c r="AKC307" s="1"/>
      <c r="AKD307" s="1"/>
      <c r="AKE307" s="1"/>
      <c r="AKF307" s="1"/>
      <c r="AKG307" s="1"/>
      <c r="AKH307" s="1"/>
      <c r="AKI307" s="1"/>
      <c r="AKJ307" s="1"/>
      <c r="AKK307" s="1"/>
      <c r="AKL307" s="1"/>
      <c r="AKM307" s="1"/>
      <c r="AKN307" s="1"/>
      <c r="AKO307" s="1"/>
      <c r="AKP307" s="1"/>
      <c r="AKQ307" s="1"/>
      <c r="AKR307" s="1"/>
      <c r="AKS307" s="1"/>
      <c r="AKT307" s="1"/>
      <c r="AKU307" s="1"/>
      <c r="AKV307" s="1"/>
      <c r="AKW307" s="1"/>
      <c r="AKX307" s="1"/>
      <c r="AKY307" s="1"/>
      <c r="AKZ307" s="1"/>
      <c r="ALA307" s="1"/>
      <c r="ALB307" s="1"/>
      <c r="ALC307" s="1"/>
      <c r="ALD307" s="1"/>
      <c r="ALE307" s="1"/>
      <c r="ALF307" s="1"/>
      <c r="ALG307" s="1"/>
      <c r="ALH307" s="1"/>
      <c r="ALI307" s="1"/>
      <c r="ALJ307" s="1"/>
      <c r="ALK307" s="1"/>
      <c r="ALL307" s="1"/>
      <c r="ALM307" s="1"/>
      <c r="ALN307" s="1"/>
      <c r="ALO307" s="1"/>
      <c r="ALP307" s="1"/>
      <c r="ALQ307" s="1"/>
      <c r="ALR307" s="1"/>
      <c r="ALS307" s="1"/>
      <c r="ALT307" s="1"/>
      <c r="ALU307" s="1"/>
      <c r="ALV307" s="1"/>
      <c r="ALW307" s="1"/>
      <c r="ALX307" s="1"/>
      <c r="ALY307" s="1"/>
      <c r="ALZ307" s="1"/>
      <c r="AMA307" s="1"/>
      <c r="AMB307" s="1"/>
      <c r="AMC307" s="1"/>
      <c r="AMD307" s="1"/>
      <c r="AME307" s="1"/>
      <c r="AMF307" s="1"/>
      <c r="AMG307" s="1"/>
      <c r="AMH307" s="1"/>
      <c r="AMI307" s="1"/>
      <c r="AMJ307" s="1"/>
      <c r="AMK307" s="1"/>
      <c r="AMM307" s="31"/>
    </row>
    <row r="308" spans="1:1027" x14ac:dyDescent="0.2">
      <c r="A308" s="18" t="s">
        <v>521</v>
      </c>
      <c r="B308" s="18" t="s">
        <v>915</v>
      </c>
      <c r="C308" s="18"/>
      <c r="D308" s="18">
        <v>846</v>
      </c>
      <c r="E308" s="19" t="s">
        <v>506</v>
      </c>
      <c r="F308" s="19" t="s">
        <v>507</v>
      </c>
      <c r="G308" s="20" t="s">
        <v>540</v>
      </c>
      <c r="H308" s="19" t="s">
        <v>507</v>
      </c>
      <c r="I308" s="19"/>
      <c r="J308" s="67" t="s">
        <v>507</v>
      </c>
      <c r="K308" s="21" t="s">
        <v>509</v>
      </c>
      <c r="L308" s="18"/>
      <c r="M308" s="1" t="s">
        <v>542</v>
      </c>
      <c r="O308" s="18"/>
      <c r="P308" s="18"/>
      <c r="Q308" s="18" t="s">
        <v>527</v>
      </c>
      <c r="R308" s="18"/>
      <c r="AA308" s="30"/>
      <c r="AB308" s="30"/>
    </row>
    <row r="309" spans="1:1027" x14ac:dyDescent="0.2">
      <c r="A309" s="18" t="s">
        <v>504</v>
      </c>
      <c r="B309" s="18" t="s">
        <v>916</v>
      </c>
      <c r="C309" s="18"/>
      <c r="D309" s="18">
        <v>875</v>
      </c>
      <c r="E309" s="19" t="s">
        <v>506</v>
      </c>
      <c r="F309" s="19" t="s">
        <v>507</v>
      </c>
      <c r="G309" s="20" t="s">
        <v>540</v>
      </c>
      <c r="H309" s="19" t="s">
        <v>507</v>
      </c>
      <c r="I309" s="19"/>
      <c r="J309" s="32" t="s">
        <v>507</v>
      </c>
      <c r="K309" s="21" t="s">
        <v>509</v>
      </c>
      <c r="L309" s="18"/>
      <c r="M309" s="1" t="s">
        <v>542</v>
      </c>
      <c r="N309" s="33"/>
      <c r="O309" s="18"/>
      <c r="P309" s="18"/>
      <c r="Q309" s="18"/>
      <c r="R309" s="18"/>
      <c r="AA309" s="30"/>
      <c r="AB309" s="30"/>
      <c r="AML309" s="33"/>
      <c r="AMM309" s="33"/>
    </row>
    <row r="310" spans="1:1027" x14ac:dyDescent="0.2">
      <c r="A310" s="18" t="s">
        <v>504</v>
      </c>
      <c r="B310" s="18" t="s">
        <v>917</v>
      </c>
      <c r="C310" s="18"/>
      <c r="D310" s="18">
        <v>48</v>
      </c>
      <c r="E310" s="19" t="s">
        <v>506</v>
      </c>
      <c r="F310" s="19" t="s">
        <v>507</v>
      </c>
      <c r="G310" s="20" t="s">
        <v>508</v>
      </c>
      <c r="H310" s="19" t="s">
        <v>507</v>
      </c>
      <c r="I310" s="19"/>
      <c r="J310" s="19" t="s">
        <v>507</v>
      </c>
      <c r="K310" s="23"/>
      <c r="L310" s="18"/>
      <c r="O310" s="18"/>
      <c r="P310" s="18"/>
      <c r="Q310" s="18"/>
      <c r="R310" s="18"/>
      <c r="S310" s="13" t="s">
        <v>918</v>
      </c>
      <c r="AA310" s="30"/>
      <c r="AB310" s="30"/>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c r="CK310" s="33"/>
      <c r="CL310" s="33"/>
      <c r="CM310" s="33"/>
      <c r="CN310" s="33"/>
      <c r="CO310" s="33"/>
      <c r="CP310" s="33"/>
      <c r="CQ310" s="33"/>
      <c r="CR310" s="33"/>
      <c r="CS310" s="33"/>
      <c r="CT310" s="33"/>
      <c r="CU310" s="33"/>
      <c r="CV310" s="33"/>
      <c r="CW310" s="33"/>
      <c r="CX310" s="33"/>
      <c r="CY310" s="33"/>
      <c r="CZ310" s="33"/>
      <c r="DA310" s="33"/>
      <c r="DB310" s="33"/>
      <c r="DC310" s="33"/>
      <c r="DD310" s="33"/>
      <c r="DE310" s="33"/>
      <c r="DF310" s="33"/>
      <c r="DG310" s="33"/>
      <c r="DH310" s="33"/>
      <c r="DI310" s="33"/>
      <c r="DJ310" s="33"/>
      <c r="DK310" s="33"/>
      <c r="DL310" s="33"/>
      <c r="DM310" s="33"/>
      <c r="DN310" s="33"/>
      <c r="DO310" s="33"/>
      <c r="DP310" s="33"/>
      <c r="DQ310" s="33"/>
      <c r="DR310" s="33"/>
      <c r="DS310" s="33"/>
      <c r="DT310" s="33"/>
      <c r="DU310" s="33"/>
      <c r="DV310" s="33"/>
      <c r="DW310" s="33"/>
      <c r="DX310" s="33"/>
      <c r="DY310" s="33"/>
      <c r="DZ310" s="33"/>
      <c r="EA310" s="33"/>
      <c r="EB310" s="33"/>
      <c r="EC310" s="33"/>
      <c r="ED310" s="33"/>
      <c r="EE310" s="33"/>
      <c r="EF310" s="33"/>
      <c r="EG310" s="33"/>
      <c r="EH310" s="33"/>
      <c r="EI310" s="33"/>
      <c r="EJ310" s="33"/>
      <c r="EK310" s="33"/>
      <c r="EL310" s="33"/>
      <c r="EM310" s="33"/>
      <c r="EN310" s="33"/>
      <c r="EO310" s="33"/>
      <c r="EP310" s="33"/>
      <c r="EQ310" s="33"/>
      <c r="ER310" s="33"/>
      <c r="ES310" s="33"/>
      <c r="ET310" s="33"/>
      <c r="EU310" s="33"/>
      <c r="EV310" s="33"/>
      <c r="EW310" s="33"/>
      <c r="EX310" s="33"/>
      <c r="EY310" s="33"/>
      <c r="EZ310" s="33"/>
      <c r="FA310" s="33"/>
      <c r="FB310" s="33"/>
      <c r="FC310" s="33"/>
      <c r="FD310" s="33"/>
      <c r="FE310" s="33"/>
      <c r="FF310" s="33"/>
      <c r="FG310" s="33"/>
      <c r="FH310" s="33"/>
      <c r="FI310" s="33"/>
      <c r="FJ310" s="33"/>
      <c r="FK310" s="33"/>
      <c r="FL310" s="33"/>
      <c r="FM310" s="33"/>
      <c r="FN310" s="33"/>
      <c r="FO310" s="33"/>
      <c r="FP310" s="33"/>
      <c r="FQ310" s="33"/>
      <c r="FR310" s="33"/>
      <c r="FS310" s="33"/>
      <c r="FT310" s="33"/>
      <c r="FU310" s="33"/>
      <c r="FV310" s="33"/>
      <c r="FW310" s="33"/>
      <c r="FX310" s="33"/>
      <c r="FY310" s="33"/>
      <c r="FZ310" s="33"/>
      <c r="GA310" s="33"/>
      <c r="GB310" s="33"/>
      <c r="GC310" s="33"/>
      <c r="GD310" s="33"/>
      <c r="GE310" s="33"/>
      <c r="GF310" s="33"/>
      <c r="GG310" s="33"/>
      <c r="GH310" s="33"/>
      <c r="GI310" s="33"/>
      <c r="GJ310" s="33"/>
      <c r="GK310" s="33"/>
      <c r="GL310" s="33"/>
      <c r="GM310" s="33"/>
      <c r="GN310" s="33"/>
      <c r="GO310" s="33"/>
      <c r="GP310" s="33"/>
      <c r="GQ310" s="33"/>
      <c r="GR310" s="33"/>
      <c r="GS310" s="33"/>
      <c r="GT310" s="33"/>
      <c r="GU310" s="33"/>
      <c r="GV310" s="33"/>
      <c r="GW310" s="33"/>
      <c r="GX310" s="33"/>
      <c r="GY310" s="33"/>
      <c r="GZ310" s="33"/>
      <c r="HA310" s="33"/>
      <c r="HB310" s="33"/>
      <c r="HC310" s="33"/>
      <c r="HD310" s="33"/>
      <c r="HE310" s="33"/>
      <c r="HF310" s="33"/>
      <c r="HG310" s="33"/>
      <c r="HH310" s="33"/>
      <c r="HI310" s="33"/>
      <c r="HJ310" s="33"/>
      <c r="HK310" s="33"/>
      <c r="HL310" s="33"/>
      <c r="HM310" s="33"/>
      <c r="HN310" s="33"/>
      <c r="HO310" s="33"/>
      <c r="HP310" s="33"/>
      <c r="HQ310" s="33"/>
      <c r="HR310" s="33"/>
      <c r="HS310" s="33"/>
      <c r="HT310" s="33"/>
      <c r="HU310" s="33"/>
      <c r="HV310" s="33"/>
      <c r="HW310" s="33"/>
      <c r="HX310" s="33"/>
      <c r="HY310" s="33"/>
      <c r="HZ310" s="33"/>
      <c r="IA310" s="33"/>
      <c r="IB310" s="33"/>
      <c r="IC310" s="33"/>
      <c r="ID310" s="33"/>
      <c r="IE310" s="33"/>
      <c r="IF310" s="33"/>
      <c r="IG310" s="33"/>
      <c r="IH310" s="33"/>
      <c r="II310" s="33"/>
      <c r="IJ310" s="33"/>
      <c r="IK310" s="33"/>
      <c r="IL310" s="33"/>
      <c r="IM310" s="33"/>
      <c r="IN310" s="33"/>
      <c r="IO310" s="33"/>
      <c r="IP310" s="33"/>
      <c r="IQ310" s="33"/>
      <c r="IR310" s="33"/>
      <c r="IS310" s="33"/>
      <c r="IT310" s="33"/>
      <c r="IU310" s="33"/>
      <c r="IV310" s="33"/>
      <c r="IW310" s="33"/>
      <c r="IX310" s="33"/>
      <c r="IY310" s="33"/>
      <c r="IZ310" s="33"/>
      <c r="JA310" s="33"/>
      <c r="JB310" s="33"/>
      <c r="JC310" s="33"/>
      <c r="JD310" s="33"/>
      <c r="JE310" s="33"/>
      <c r="JF310" s="33"/>
      <c r="JG310" s="33"/>
      <c r="JH310" s="33"/>
      <c r="JI310" s="33"/>
      <c r="JJ310" s="33"/>
      <c r="JK310" s="33"/>
      <c r="JL310" s="33"/>
      <c r="JM310" s="33"/>
      <c r="JN310" s="33"/>
      <c r="JO310" s="33"/>
      <c r="JP310" s="33"/>
      <c r="JQ310" s="33"/>
      <c r="JR310" s="33"/>
      <c r="JS310" s="33"/>
      <c r="JT310" s="33"/>
      <c r="JU310" s="33"/>
      <c r="JV310" s="33"/>
      <c r="JW310" s="33"/>
      <c r="JX310" s="33"/>
      <c r="JY310" s="33"/>
      <c r="JZ310" s="33"/>
      <c r="KA310" s="33"/>
      <c r="KB310" s="33"/>
      <c r="KC310" s="33"/>
      <c r="KD310" s="33"/>
      <c r="KE310" s="33"/>
      <c r="KF310" s="33"/>
      <c r="KG310" s="33"/>
      <c r="KH310" s="33"/>
      <c r="KI310" s="33"/>
      <c r="KJ310" s="33"/>
      <c r="KK310" s="33"/>
      <c r="KL310" s="33"/>
      <c r="KM310" s="33"/>
      <c r="KN310" s="33"/>
      <c r="KO310" s="33"/>
      <c r="KP310" s="33"/>
      <c r="KQ310" s="33"/>
      <c r="KR310" s="33"/>
      <c r="KS310" s="33"/>
      <c r="KT310" s="33"/>
      <c r="KU310" s="33"/>
      <c r="KV310" s="33"/>
      <c r="KW310" s="33"/>
      <c r="KX310" s="33"/>
      <c r="KY310" s="33"/>
      <c r="KZ310" s="33"/>
      <c r="LA310" s="33"/>
      <c r="LB310" s="33"/>
      <c r="LC310" s="33"/>
      <c r="LD310" s="33"/>
      <c r="LE310" s="33"/>
      <c r="LF310" s="33"/>
      <c r="LG310" s="33"/>
      <c r="LH310" s="33"/>
      <c r="LI310" s="33"/>
      <c r="LJ310" s="33"/>
      <c r="LK310" s="33"/>
      <c r="LL310" s="33"/>
      <c r="LM310" s="33"/>
      <c r="LN310" s="33"/>
      <c r="LO310" s="33"/>
      <c r="LP310" s="33"/>
      <c r="LQ310" s="33"/>
      <c r="LR310" s="33"/>
      <c r="LS310" s="33"/>
      <c r="LT310" s="33"/>
      <c r="LU310" s="33"/>
      <c r="LV310" s="33"/>
      <c r="LW310" s="33"/>
      <c r="LX310" s="33"/>
      <c r="LY310" s="33"/>
      <c r="LZ310" s="33"/>
      <c r="MA310" s="33"/>
      <c r="MB310" s="33"/>
      <c r="MC310" s="33"/>
      <c r="MD310" s="33"/>
      <c r="ME310" s="33"/>
      <c r="MF310" s="33"/>
      <c r="MG310" s="33"/>
      <c r="MH310" s="33"/>
      <c r="MI310" s="33"/>
      <c r="MJ310" s="33"/>
      <c r="MK310" s="33"/>
      <c r="ML310" s="33"/>
      <c r="MM310" s="33"/>
      <c r="MN310" s="33"/>
      <c r="MO310" s="33"/>
      <c r="MP310" s="33"/>
      <c r="MQ310" s="33"/>
      <c r="MR310" s="33"/>
      <c r="MS310" s="33"/>
      <c r="MT310" s="33"/>
      <c r="MU310" s="33"/>
      <c r="MV310" s="33"/>
      <c r="MW310" s="33"/>
      <c r="MX310" s="33"/>
      <c r="MY310" s="33"/>
      <c r="MZ310" s="33"/>
      <c r="NA310" s="33"/>
      <c r="NB310" s="33"/>
      <c r="NC310" s="33"/>
      <c r="ND310" s="33"/>
      <c r="NE310" s="33"/>
      <c r="NF310" s="33"/>
      <c r="NG310" s="33"/>
      <c r="NH310" s="33"/>
      <c r="NI310" s="33"/>
      <c r="NJ310" s="33"/>
      <c r="NK310" s="33"/>
      <c r="NL310" s="33"/>
      <c r="NM310" s="33"/>
      <c r="NN310" s="33"/>
      <c r="NO310" s="33"/>
      <c r="NP310" s="33"/>
      <c r="NQ310" s="33"/>
      <c r="NR310" s="33"/>
      <c r="NS310" s="33"/>
      <c r="NT310" s="33"/>
      <c r="NU310" s="33"/>
      <c r="NV310" s="33"/>
      <c r="NW310" s="33"/>
      <c r="NX310" s="33"/>
      <c r="NY310" s="33"/>
      <c r="NZ310" s="33"/>
      <c r="OA310" s="33"/>
      <c r="OB310" s="33"/>
      <c r="OC310" s="33"/>
      <c r="OD310" s="33"/>
      <c r="OE310" s="33"/>
      <c r="OF310" s="33"/>
      <c r="OG310" s="33"/>
      <c r="OH310" s="33"/>
      <c r="OI310" s="33"/>
      <c r="OJ310" s="33"/>
      <c r="OK310" s="33"/>
      <c r="OL310" s="33"/>
      <c r="OM310" s="33"/>
      <c r="ON310" s="33"/>
      <c r="OO310" s="33"/>
      <c r="OP310" s="33"/>
      <c r="OQ310" s="33"/>
      <c r="OR310" s="33"/>
      <c r="OS310" s="33"/>
      <c r="OT310" s="33"/>
      <c r="OU310" s="33"/>
      <c r="OV310" s="33"/>
      <c r="OW310" s="33"/>
      <c r="OX310" s="33"/>
      <c r="OY310" s="33"/>
      <c r="OZ310" s="33"/>
      <c r="PA310" s="33"/>
      <c r="PB310" s="33"/>
      <c r="PC310" s="33"/>
      <c r="PD310" s="33"/>
      <c r="PE310" s="33"/>
      <c r="PF310" s="33"/>
      <c r="PG310" s="33"/>
      <c r="PH310" s="33"/>
      <c r="PI310" s="33"/>
      <c r="PJ310" s="33"/>
      <c r="PK310" s="33"/>
      <c r="PL310" s="33"/>
      <c r="PM310" s="33"/>
      <c r="PN310" s="33"/>
      <c r="PO310" s="33"/>
      <c r="PP310" s="33"/>
      <c r="PQ310" s="33"/>
      <c r="PR310" s="33"/>
      <c r="PS310" s="33"/>
      <c r="PT310" s="33"/>
      <c r="PU310" s="33"/>
      <c r="PV310" s="33"/>
      <c r="PW310" s="33"/>
      <c r="PX310" s="33"/>
      <c r="PY310" s="33"/>
      <c r="PZ310" s="33"/>
      <c r="QA310" s="33"/>
      <c r="QB310" s="33"/>
      <c r="QC310" s="33"/>
      <c r="QD310" s="33"/>
      <c r="QE310" s="33"/>
      <c r="QF310" s="33"/>
      <c r="QG310" s="33"/>
      <c r="QH310" s="33"/>
      <c r="QI310" s="33"/>
      <c r="QJ310" s="33"/>
      <c r="QK310" s="33"/>
      <c r="QL310" s="33"/>
      <c r="QM310" s="33"/>
      <c r="QN310" s="33"/>
      <c r="QO310" s="33"/>
      <c r="QP310" s="33"/>
      <c r="QQ310" s="33"/>
      <c r="QR310" s="33"/>
      <c r="QS310" s="33"/>
      <c r="QT310" s="33"/>
      <c r="QU310" s="33"/>
      <c r="QV310" s="33"/>
      <c r="QW310" s="33"/>
      <c r="QX310" s="33"/>
      <c r="QY310" s="33"/>
      <c r="QZ310" s="33"/>
      <c r="RA310" s="33"/>
      <c r="RB310" s="33"/>
      <c r="RC310" s="33"/>
      <c r="RD310" s="33"/>
      <c r="RE310" s="33"/>
      <c r="RF310" s="33"/>
      <c r="RG310" s="33"/>
      <c r="RH310" s="33"/>
      <c r="RI310" s="33"/>
      <c r="RJ310" s="33"/>
      <c r="RK310" s="33"/>
      <c r="RL310" s="33"/>
      <c r="RM310" s="33"/>
      <c r="RN310" s="33"/>
      <c r="RO310" s="33"/>
      <c r="RP310" s="33"/>
      <c r="RQ310" s="33"/>
      <c r="RR310" s="33"/>
      <c r="RS310" s="33"/>
      <c r="RT310" s="33"/>
      <c r="RU310" s="33"/>
      <c r="RV310" s="33"/>
      <c r="RW310" s="33"/>
      <c r="RX310" s="33"/>
      <c r="RY310" s="33"/>
      <c r="RZ310" s="33"/>
      <c r="SA310" s="33"/>
      <c r="SB310" s="33"/>
      <c r="SC310" s="33"/>
      <c r="SD310" s="33"/>
      <c r="SE310" s="33"/>
      <c r="SF310" s="33"/>
      <c r="SG310" s="33"/>
      <c r="SH310" s="33"/>
      <c r="SI310" s="33"/>
      <c r="SJ310" s="33"/>
      <c r="SK310" s="33"/>
      <c r="SL310" s="33"/>
      <c r="SM310" s="33"/>
      <c r="SN310" s="33"/>
      <c r="SO310" s="33"/>
      <c r="SP310" s="33"/>
      <c r="SQ310" s="33"/>
      <c r="SR310" s="33"/>
      <c r="SS310" s="33"/>
      <c r="ST310" s="33"/>
      <c r="SU310" s="33"/>
      <c r="SV310" s="33"/>
      <c r="SW310" s="33"/>
      <c r="SX310" s="33"/>
      <c r="SY310" s="33"/>
      <c r="SZ310" s="33"/>
      <c r="TA310" s="33"/>
      <c r="TB310" s="33"/>
      <c r="TC310" s="33"/>
      <c r="TD310" s="33"/>
      <c r="TE310" s="33"/>
      <c r="TF310" s="33"/>
      <c r="TG310" s="33"/>
      <c r="TH310" s="33"/>
      <c r="TI310" s="33"/>
      <c r="TJ310" s="33"/>
      <c r="TK310" s="33"/>
      <c r="TL310" s="33"/>
      <c r="TM310" s="33"/>
      <c r="TN310" s="33"/>
      <c r="TO310" s="33"/>
      <c r="TP310" s="33"/>
      <c r="TQ310" s="33"/>
      <c r="TR310" s="33"/>
      <c r="TS310" s="33"/>
      <c r="TT310" s="33"/>
      <c r="TU310" s="33"/>
      <c r="TV310" s="33"/>
      <c r="TW310" s="33"/>
      <c r="TX310" s="33"/>
      <c r="TY310" s="33"/>
      <c r="TZ310" s="33"/>
      <c r="UA310" s="33"/>
      <c r="UB310" s="33"/>
      <c r="UC310" s="33"/>
      <c r="UD310" s="33"/>
      <c r="UE310" s="33"/>
      <c r="UF310" s="33"/>
      <c r="UG310" s="33"/>
      <c r="UH310" s="33"/>
      <c r="UI310" s="33"/>
      <c r="UJ310" s="33"/>
      <c r="UK310" s="33"/>
      <c r="UL310" s="33"/>
      <c r="UM310" s="33"/>
      <c r="UN310" s="33"/>
      <c r="UO310" s="33"/>
      <c r="UP310" s="33"/>
      <c r="UQ310" s="33"/>
      <c r="UR310" s="33"/>
      <c r="US310" s="33"/>
      <c r="UT310" s="33"/>
      <c r="UU310" s="33"/>
      <c r="UV310" s="33"/>
      <c r="UW310" s="33"/>
      <c r="UX310" s="33"/>
      <c r="UY310" s="33"/>
      <c r="UZ310" s="33"/>
      <c r="VA310" s="33"/>
      <c r="VB310" s="33"/>
      <c r="VC310" s="33"/>
      <c r="VD310" s="33"/>
      <c r="VE310" s="33"/>
      <c r="VF310" s="33"/>
      <c r="VG310" s="33"/>
      <c r="VH310" s="33"/>
      <c r="VI310" s="33"/>
      <c r="VJ310" s="33"/>
      <c r="VK310" s="33"/>
      <c r="VL310" s="33"/>
      <c r="VM310" s="33"/>
      <c r="VN310" s="33"/>
      <c r="VO310" s="33"/>
      <c r="VP310" s="33"/>
      <c r="VQ310" s="33"/>
      <c r="VR310" s="33"/>
      <c r="VS310" s="33"/>
      <c r="VT310" s="33"/>
      <c r="VU310" s="33"/>
      <c r="VV310" s="33"/>
      <c r="VW310" s="33"/>
      <c r="VX310" s="33"/>
      <c r="VY310" s="33"/>
      <c r="VZ310" s="33"/>
      <c r="WA310" s="33"/>
      <c r="WB310" s="33"/>
      <c r="WC310" s="33"/>
      <c r="WD310" s="33"/>
      <c r="WE310" s="33"/>
      <c r="WF310" s="33"/>
      <c r="WG310" s="33"/>
      <c r="WH310" s="33"/>
      <c r="WI310" s="33"/>
      <c r="WJ310" s="33"/>
      <c r="WK310" s="33"/>
      <c r="WL310" s="33"/>
      <c r="WM310" s="33"/>
      <c r="WN310" s="33"/>
      <c r="WO310" s="33"/>
      <c r="WP310" s="33"/>
      <c r="WQ310" s="33"/>
      <c r="WR310" s="33"/>
      <c r="WS310" s="33"/>
      <c r="WT310" s="33"/>
      <c r="WU310" s="33"/>
      <c r="WV310" s="33"/>
      <c r="WW310" s="33"/>
      <c r="WX310" s="33"/>
      <c r="WY310" s="33"/>
      <c r="WZ310" s="33"/>
      <c r="XA310" s="33"/>
      <c r="XB310" s="33"/>
      <c r="XC310" s="33"/>
      <c r="XD310" s="33"/>
      <c r="XE310" s="33"/>
      <c r="XF310" s="33"/>
      <c r="XG310" s="33"/>
      <c r="XH310" s="33"/>
      <c r="XI310" s="33"/>
      <c r="XJ310" s="33"/>
      <c r="XK310" s="33"/>
      <c r="XL310" s="33"/>
      <c r="XM310" s="33"/>
      <c r="XN310" s="33"/>
      <c r="XO310" s="33"/>
      <c r="XP310" s="33"/>
      <c r="XQ310" s="33"/>
      <c r="XR310" s="33"/>
      <c r="XS310" s="33"/>
      <c r="XT310" s="33"/>
      <c r="XU310" s="33"/>
      <c r="XV310" s="33"/>
      <c r="XW310" s="33"/>
      <c r="XX310" s="33"/>
      <c r="XY310" s="33"/>
      <c r="XZ310" s="33"/>
      <c r="YA310" s="33"/>
      <c r="YB310" s="33"/>
      <c r="YC310" s="33"/>
      <c r="YD310" s="33"/>
      <c r="YE310" s="33"/>
      <c r="YF310" s="33"/>
      <c r="YG310" s="33"/>
      <c r="YH310" s="33"/>
      <c r="YI310" s="33"/>
      <c r="YJ310" s="33"/>
      <c r="YK310" s="33"/>
      <c r="YL310" s="33"/>
      <c r="YM310" s="33"/>
      <c r="YN310" s="33"/>
      <c r="YO310" s="33"/>
      <c r="YP310" s="33"/>
      <c r="YQ310" s="33"/>
      <c r="YR310" s="33"/>
      <c r="YS310" s="33"/>
      <c r="YT310" s="33"/>
      <c r="YU310" s="33"/>
      <c r="YV310" s="33"/>
      <c r="YW310" s="33"/>
      <c r="YX310" s="33"/>
      <c r="YY310" s="33"/>
      <c r="YZ310" s="33"/>
      <c r="ZA310" s="33"/>
      <c r="ZB310" s="33"/>
      <c r="ZC310" s="33"/>
      <c r="ZD310" s="33"/>
      <c r="ZE310" s="33"/>
      <c r="ZF310" s="33"/>
      <c r="ZG310" s="33"/>
      <c r="ZH310" s="33"/>
      <c r="ZI310" s="33"/>
      <c r="ZJ310" s="33"/>
      <c r="ZK310" s="33"/>
      <c r="ZL310" s="33"/>
      <c r="ZM310" s="33"/>
      <c r="ZN310" s="33"/>
      <c r="ZO310" s="33"/>
      <c r="ZP310" s="33"/>
      <c r="ZQ310" s="33"/>
      <c r="ZR310" s="33"/>
      <c r="ZS310" s="33"/>
      <c r="ZT310" s="33"/>
      <c r="ZU310" s="33"/>
      <c r="ZV310" s="33"/>
      <c r="ZW310" s="33"/>
      <c r="ZX310" s="33"/>
      <c r="ZY310" s="33"/>
      <c r="ZZ310" s="33"/>
      <c r="AAA310" s="33"/>
      <c r="AAB310" s="33"/>
      <c r="AAC310" s="33"/>
      <c r="AAD310" s="33"/>
      <c r="AAE310" s="33"/>
      <c r="AAF310" s="33"/>
      <c r="AAG310" s="33"/>
      <c r="AAH310" s="33"/>
      <c r="AAI310" s="33"/>
      <c r="AAJ310" s="33"/>
      <c r="AAK310" s="33"/>
      <c r="AAL310" s="33"/>
      <c r="AAM310" s="33"/>
      <c r="AAN310" s="33"/>
      <c r="AAO310" s="33"/>
      <c r="AAP310" s="33"/>
      <c r="AAQ310" s="33"/>
      <c r="AAR310" s="33"/>
      <c r="AAS310" s="33"/>
      <c r="AAT310" s="33"/>
      <c r="AAU310" s="33"/>
      <c r="AAV310" s="33"/>
      <c r="AAW310" s="33"/>
      <c r="AAX310" s="33"/>
      <c r="AAY310" s="33"/>
      <c r="AAZ310" s="33"/>
      <c r="ABA310" s="33"/>
      <c r="ABB310" s="33"/>
      <c r="ABC310" s="33"/>
      <c r="ABD310" s="33"/>
      <c r="ABE310" s="33"/>
      <c r="ABF310" s="33"/>
      <c r="ABG310" s="33"/>
      <c r="ABH310" s="33"/>
      <c r="ABI310" s="33"/>
      <c r="ABJ310" s="33"/>
      <c r="ABK310" s="33"/>
      <c r="ABL310" s="33"/>
      <c r="ABM310" s="33"/>
      <c r="ABN310" s="33"/>
      <c r="ABO310" s="33"/>
      <c r="ABP310" s="33"/>
      <c r="ABQ310" s="33"/>
      <c r="ABR310" s="33"/>
      <c r="ABS310" s="33"/>
      <c r="ABT310" s="33"/>
      <c r="ABU310" s="33"/>
      <c r="ABV310" s="33"/>
      <c r="ABW310" s="33"/>
      <c r="ABX310" s="33"/>
      <c r="ABY310" s="33"/>
      <c r="ABZ310" s="33"/>
      <c r="ACA310" s="33"/>
      <c r="ACB310" s="33"/>
      <c r="ACC310" s="33"/>
      <c r="ACD310" s="33"/>
      <c r="ACE310" s="33"/>
      <c r="ACF310" s="33"/>
      <c r="ACG310" s="33"/>
      <c r="ACH310" s="33"/>
      <c r="ACI310" s="33"/>
      <c r="ACJ310" s="33"/>
      <c r="ACK310" s="33"/>
      <c r="ACL310" s="33"/>
      <c r="ACM310" s="33"/>
      <c r="ACN310" s="33"/>
      <c r="ACO310" s="33"/>
      <c r="ACP310" s="33"/>
      <c r="ACQ310" s="33"/>
      <c r="ACR310" s="33"/>
      <c r="ACS310" s="33"/>
      <c r="ACT310" s="33"/>
      <c r="ACU310" s="33"/>
      <c r="ACV310" s="33"/>
      <c r="ACW310" s="33"/>
      <c r="ACX310" s="33"/>
      <c r="ACY310" s="33"/>
      <c r="ACZ310" s="33"/>
      <c r="ADA310" s="33"/>
      <c r="ADB310" s="33"/>
      <c r="ADC310" s="33"/>
      <c r="ADD310" s="33"/>
      <c r="ADE310" s="33"/>
      <c r="ADF310" s="33"/>
      <c r="ADG310" s="33"/>
      <c r="ADH310" s="33"/>
      <c r="ADI310" s="33"/>
      <c r="ADJ310" s="33"/>
      <c r="ADK310" s="33"/>
      <c r="ADL310" s="33"/>
      <c r="ADM310" s="33"/>
      <c r="ADN310" s="33"/>
      <c r="ADO310" s="33"/>
      <c r="ADP310" s="33"/>
      <c r="ADQ310" s="33"/>
      <c r="ADR310" s="33"/>
      <c r="ADS310" s="33"/>
      <c r="ADT310" s="33"/>
      <c r="ADU310" s="33"/>
      <c r="ADV310" s="33"/>
      <c r="ADW310" s="33"/>
      <c r="ADX310" s="33"/>
      <c r="ADY310" s="33"/>
      <c r="ADZ310" s="33"/>
      <c r="AEA310" s="33"/>
      <c r="AEB310" s="33"/>
      <c r="AEC310" s="33"/>
      <c r="AED310" s="33"/>
      <c r="AEE310" s="33"/>
      <c r="AEF310" s="33"/>
      <c r="AEG310" s="33"/>
      <c r="AEH310" s="33"/>
      <c r="AEI310" s="33"/>
      <c r="AEJ310" s="33"/>
      <c r="AEK310" s="33"/>
      <c r="AEL310" s="33"/>
      <c r="AEM310" s="33"/>
      <c r="AEN310" s="33"/>
      <c r="AEO310" s="33"/>
      <c r="AEP310" s="33"/>
      <c r="AEQ310" s="33"/>
      <c r="AER310" s="33"/>
      <c r="AES310" s="33"/>
      <c r="AET310" s="33"/>
      <c r="AEU310" s="33"/>
      <c r="AEV310" s="33"/>
      <c r="AEW310" s="33"/>
      <c r="AEX310" s="33"/>
      <c r="AEY310" s="33"/>
      <c r="AEZ310" s="33"/>
      <c r="AFA310" s="33"/>
      <c r="AFB310" s="33"/>
      <c r="AFC310" s="33"/>
      <c r="AFD310" s="33"/>
      <c r="AFE310" s="33"/>
      <c r="AFF310" s="33"/>
      <c r="AFG310" s="33"/>
      <c r="AFH310" s="33"/>
      <c r="AFI310" s="33"/>
      <c r="AFJ310" s="33"/>
      <c r="AFK310" s="33"/>
      <c r="AFL310" s="33"/>
      <c r="AFM310" s="33"/>
      <c r="AFN310" s="33"/>
      <c r="AFO310" s="33"/>
      <c r="AFP310" s="33"/>
      <c r="AFQ310" s="33"/>
      <c r="AFR310" s="33"/>
      <c r="AFS310" s="33"/>
      <c r="AFT310" s="33"/>
      <c r="AFU310" s="33"/>
      <c r="AFV310" s="33"/>
      <c r="AFW310" s="33"/>
      <c r="AFX310" s="33"/>
      <c r="AFY310" s="33"/>
      <c r="AFZ310" s="33"/>
      <c r="AGA310" s="33"/>
      <c r="AGB310" s="33"/>
      <c r="AGC310" s="33"/>
      <c r="AGD310" s="33"/>
      <c r="AGE310" s="33"/>
      <c r="AGF310" s="33"/>
      <c r="AGG310" s="33"/>
      <c r="AGH310" s="33"/>
      <c r="AGI310" s="33"/>
      <c r="AGJ310" s="33"/>
      <c r="AGK310" s="33"/>
      <c r="AGL310" s="33"/>
      <c r="AGM310" s="33"/>
      <c r="AGN310" s="33"/>
      <c r="AGO310" s="33"/>
      <c r="AGP310" s="33"/>
      <c r="AGQ310" s="33"/>
      <c r="AGR310" s="33"/>
      <c r="AGS310" s="33"/>
      <c r="AGT310" s="33"/>
      <c r="AGU310" s="33"/>
      <c r="AGV310" s="33"/>
      <c r="AGW310" s="33"/>
      <c r="AGX310" s="33"/>
      <c r="AGY310" s="33"/>
      <c r="AGZ310" s="33"/>
      <c r="AHA310" s="33"/>
      <c r="AHB310" s="33"/>
      <c r="AHC310" s="33"/>
      <c r="AHD310" s="33"/>
      <c r="AHE310" s="33"/>
      <c r="AHF310" s="33"/>
      <c r="AHG310" s="33"/>
      <c r="AHH310" s="33"/>
      <c r="AHI310" s="33"/>
      <c r="AHJ310" s="33"/>
      <c r="AHK310" s="33"/>
      <c r="AHL310" s="33"/>
      <c r="AHM310" s="33"/>
      <c r="AHN310" s="33"/>
      <c r="AHO310" s="33"/>
      <c r="AHP310" s="33"/>
      <c r="AHQ310" s="33"/>
      <c r="AHR310" s="33"/>
      <c r="AHS310" s="33"/>
      <c r="AHT310" s="33"/>
      <c r="AHU310" s="33"/>
      <c r="AHV310" s="33"/>
      <c r="AHW310" s="33"/>
      <c r="AHX310" s="33"/>
      <c r="AHY310" s="33"/>
      <c r="AHZ310" s="33"/>
      <c r="AIA310" s="33"/>
      <c r="AIB310" s="33"/>
      <c r="AIC310" s="33"/>
      <c r="AID310" s="33"/>
      <c r="AIE310" s="33"/>
      <c r="AIF310" s="33"/>
      <c r="AIG310" s="33"/>
      <c r="AIH310" s="33"/>
      <c r="AII310" s="33"/>
      <c r="AIJ310" s="33"/>
      <c r="AIK310" s="33"/>
      <c r="AIL310" s="33"/>
      <c r="AIM310" s="33"/>
      <c r="AIN310" s="33"/>
      <c r="AIO310" s="33"/>
      <c r="AIP310" s="33"/>
      <c r="AIQ310" s="33"/>
      <c r="AIR310" s="33"/>
      <c r="AIS310" s="33"/>
      <c r="AIT310" s="33"/>
      <c r="AIU310" s="33"/>
      <c r="AIV310" s="33"/>
      <c r="AIW310" s="33"/>
      <c r="AIX310" s="33"/>
      <c r="AIY310" s="33"/>
      <c r="AIZ310" s="33"/>
      <c r="AJA310" s="33"/>
      <c r="AJB310" s="33"/>
      <c r="AJC310" s="33"/>
      <c r="AJD310" s="33"/>
      <c r="AJE310" s="33"/>
      <c r="AJF310" s="33"/>
      <c r="AJG310" s="33"/>
      <c r="AJH310" s="33"/>
      <c r="AJI310" s="33"/>
      <c r="AJJ310" s="33"/>
      <c r="AJK310" s="33"/>
      <c r="AJL310" s="33"/>
      <c r="AJM310" s="33"/>
      <c r="AJN310" s="33"/>
      <c r="AJO310" s="33"/>
      <c r="AJP310" s="33"/>
      <c r="AJQ310" s="33"/>
      <c r="AJR310" s="33"/>
      <c r="AJS310" s="33"/>
      <c r="AJT310" s="33"/>
      <c r="AJU310" s="33"/>
      <c r="AJV310" s="33"/>
      <c r="AJW310" s="33"/>
      <c r="AJX310" s="33"/>
      <c r="AJY310" s="33"/>
      <c r="AJZ310" s="33"/>
      <c r="AKA310" s="33"/>
      <c r="AKB310" s="33"/>
      <c r="AKC310" s="33"/>
      <c r="AKD310" s="33"/>
      <c r="AKE310" s="33"/>
      <c r="AKF310" s="33"/>
      <c r="AKG310" s="33"/>
      <c r="AKH310" s="33"/>
      <c r="AKI310" s="33"/>
      <c r="AKJ310" s="33"/>
      <c r="AKK310" s="33"/>
      <c r="AKL310" s="33"/>
      <c r="AKM310" s="33"/>
      <c r="AKN310" s="33"/>
      <c r="AKO310" s="33"/>
      <c r="AKP310" s="33"/>
      <c r="AKQ310" s="33"/>
      <c r="AKR310" s="33"/>
      <c r="AKS310" s="33"/>
      <c r="AKT310" s="33"/>
      <c r="AKU310" s="33"/>
      <c r="AKV310" s="33"/>
      <c r="AKW310" s="33"/>
      <c r="AKX310" s="33"/>
      <c r="AKY310" s="33"/>
      <c r="AKZ310" s="33"/>
      <c r="ALA310" s="33"/>
      <c r="ALB310" s="33"/>
      <c r="ALC310" s="33"/>
      <c r="ALD310" s="33"/>
      <c r="ALE310" s="33"/>
      <c r="ALF310" s="33"/>
      <c r="ALG310" s="33"/>
      <c r="ALH310" s="33"/>
      <c r="ALI310" s="33"/>
      <c r="ALJ310" s="33"/>
      <c r="ALK310" s="33"/>
      <c r="ALL310" s="33"/>
      <c r="ALM310" s="33"/>
      <c r="ALN310" s="33"/>
      <c r="ALO310" s="33"/>
      <c r="ALP310" s="33"/>
      <c r="ALQ310" s="33"/>
      <c r="ALR310" s="33"/>
      <c r="ALS310" s="33"/>
      <c r="ALT310" s="33"/>
      <c r="ALU310" s="33"/>
      <c r="ALV310" s="33"/>
      <c r="ALW310" s="33"/>
      <c r="ALX310" s="33"/>
      <c r="ALY310" s="33"/>
      <c r="ALZ310" s="33"/>
      <c r="AMA310" s="33"/>
      <c r="AMB310" s="33"/>
      <c r="AMC310" s="33"/>
      <c r="AMD310" s="33"/>
      <c r="AME310" s="33"/>
      <c r="AMF310" s="33"/>
      <c r="AMG310" s="33"/>
      <c r="AMH310" s="33"/>
      <c r="AMI310" s="33"/>
      <c r="AMJ310" s="33"/>
      <c r="AMK310" s="33"/>
      <c r="AML310" s="33"/>
    </row>
    <row r="311" spans="1:1027" s="33" customFormat="1" x14ac:dyDescent="0.2">
      <c r="A311" s="1" t="s">
        <v>504</v>
      </c>
      <c r="B311" s="1" t="s">
        <v>919</v>
      </c>
      <c r="C311" s="1"/>
      <c r="D311" s="1">
        <v>231</v>
      </c>
      <c r="E311" s="10" t="s">
        <v>506</v>
      </c>
      <c r="F311" s="10" t="s">
        <v>508</v>
      </c>
      <c r="G311" s="11" t="s">
        <v>508</v>
      </c>
      <c r="H311" s="10" t="s">
        <v>507</v>
      </c>
      <c r="I311" s="10"/>
      <c r="J311" s="10" t="s">
        <v>507</v>
      </c>
      <c r="K311" s="12"/>
      <c r="L311" s="26" t="s">
        <v>920</v>
      </c>
      <c r="M311" s="1" t="s">
        <v>598</v>
      </c>
      <c r="N311" s="1"/>
      <c r="O311" s="1"/>
      <c r="P311" s="1"/>
      <c r="Q311" s="1"/>
      <c r="R311" s="1"/>
      <c r="S311" s="13"/>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c r="DV311" s="18"/>
      <c r="DW311" s="18"/>
      <c r="DX311" s="18"/>
      <c r="DY311" s="18"/>
      <c r="DZ311" s="18"/>
      <c r="EA311" s="18"/>
      <c r="EB311" s="18"/>
      <c r="EC311" s="18"/>
      <c r="ED311" s="18"/>
      <c r="EE311" s="18"/>
      <c r="EF311" s="18"/>
      <c r="EG311" s="18"/>
      <c r="EH311" s="18"/>
      <c r="EI311" s="18"/>
      <c r="EJ311" s="18"/>
      <c r="EK311" s="18"/>
      <c r="EL311" s="18"/>
      <c r="EM311" s="18"/>
      <c r="EN311" s="18"/>
      <c r="EO311" s="18"/>
      <c r="EP311" s="18"/>
      <c r="EQ311" s="18"/>
      <c r="ER311" s="18"/>
      <c r="ES311" s="18"/>
      <c r="ET311" s="18"/>
      <c r="EU311" s="18"/>
      <c r="EV311" s="18"/>
      <c r="EW311" s="18"/>
      <c r="EX311" s="18"/>
      <c r="EY311" s="18"/>
      <c r="EZ311" s="18"/>
      <c r="FA311" s="18"/>
      <c r="FB311" s="18"/>
      <c r="FC311" s="18"/>
      <c r="FD311" s="18"/>
      <c r="FE311" s="18"/>
      <c r="FF311" s="18"/>
      <c r="FG311" s="18"/>
      <c r="FH311" s="18"/>
      <c r="FI311" s="18"/>
      <c r="FJ311" s="18"/>
      <c r="FK311" s="18"/>
      <c r="FL311" s="18"/>
      <c r="FM311" s="18"/>
      <c r="FN311" s="18"/>
      <c r="FO311" s="18"/>
      <c r="FP311" s="18"/>
      <c r="FQ311" s="18"/>
      <c r="FR311" s="18"/>
      <c r="FS311" s="18"/>
      <c r="FT311" s="18"/>
      <c r="FU311" s="18"/>
      <c r="FV311" s="18"/>
      <c r="FW311" s="18"/>
      <c r="FX311" s="18"/>
      <c r="FY311" s="18"/>
      <c r="FZ311" s="18"/>
      <c r="GA311" s="18"/>
      <c r="GB311" s="18"/>
      <c r="GC311" s="18"/>
      <c r="GD311" s="18"/>
      <c r="GE311" s="18"/>
      <c r="GF311" s="18"/>
      <c r="GG311" s="18"/>
      <c r="GH311" s="18"/>
      <c r="GI311" s="18"/>
      <c r="GJ311" s="18"/>
      <c r="GK311" s="18"/>
      <c r="GL311" s="18"/>
      <c r="GM311" s="18"/>
      <c r="GN311" s="18"/>
      <c r="GO311" s="18"/>
      <c r="GP311" s="18"/>
      <c r="GQ311" s="18"/>
      <c r="GR311" s="18"/>
      <c r="GS311" s="18"/>
      <c r="GT311" s="18"/>
      <c r="GU311" s="18"/>
      <c r="GV311" s="18"/>
      <c r="GW311" s="18"/>
      <c r="GX311" s="18"/>
      <c r="GY311" s="18"/>
      <c r="GZ311" s="18"/>
      <c r="HA311" s="18"/>
      <c r="HB311" s="18"/>
      <c r="HC311" s="18"/>
      <c r="HD311" s="18"/>
      <c r="HE311" s="18"/>
      <c r="HF311" s="18"/>
      <c r="HG311" s="18"/>
      <c r="HH311" s="18"/>
      <c r="HI311" s="18"/>
      <c r="HJ311" s="18"/>
      <c r="HK311" s="18"/>
      <c r="HL311" s="18"/>
      <c r="HM311" s="18"/>
      <c r="HN311" s="18"/>
      <c r="HO311" s="18"/>
      <c r="HP311" s="18"/>
      <c r="HQ311" s="18"/>
      <c r="HR311" s="18"/>
      <c r="HS311" s="18"/>
      <c r="HT311" s="18"/>
      <c r="HU311" s="18"/>
      <c r="HV311" s="18"/>
      <c r="HW311" s="18"/>
      <c r="HX311" s="18"/>
      <c r="HY311" s="18"/>
      <c r="HZ311" s="18"/>
      <c r="IA311" s="18"/>
      <c r="IB311" s="18"/>
      <c r="IC311" s="18"/>
      <c r="ID311" s="18"/>
      <c r="IE311" s="18"/>
      <c r="IF311" s="18"/>
      <c r="IG311" s="18"/>
      <c r="IH311" s="18"/>
      <c r="II311" s="18"/>
      <c r="IJ311" s="18"/>
      <c r="IK311" s="18"/>
      <c r="IL311" s="18"/>
      <c r="IM311" s="18"/>
      <c r="IN311" s="18"/>
      <c r="IO311" s="18"/>
      <c r="IP311" s="18"/>
      <c r="IQ311" s="18"/>
      <c r="IR311" s="18"/>
      <c r="IS311" s="18"/>
      <c r="IT311" s="18"/>
      <c r="IU311" s="18"/>
      <c r="IV311" s="18"/>
      <c r="IW311" s="18"/>
      <c r="IX311" s="18"/>
      <c r="IY311" s="18"/>
      <c r="IZ311" s="18"/>
      <c r="JA311" s="18"/>
      <c r="JB311" s="18"/>
      <c r="JC311" s="18"/>
      <c r="JD311" s="18"/>
      <c r="JE311" s="18"/>
      <c r="JF311" s="18"/>
      <c r="JG311" s="18"/>
      <c r="JH311" s="18"/>
      <c r="JI311" s="18"/>
      <c r="JJ311" s="18"/>
      <c r="JK311" s="18"/>
      <c r="JL311" s="18"/>
      <c r="JM311" s="18"/>
      <c r="JN311" s="18"/>
      <c r="JO311" s="18"/>
      <c r="JP311" s="18"/>
      <c r="JQ311" s="18"/>
      <c r="JR311" s="18"/>
      <c r="JS311" s="18"/>
      <c r="JT311" s="18"/>
      <c r="JU311" s="18"/>
      <c r="JV311" s="18"/>
      <c r="JW311" s="18"/>
      <c r="JX311" s="18"/>
      <c r="JY311" s="18"/>
      <c r="JZ311" s="18"/>
      <c r="KA311" s="18"/>
      <c r="KB311" s="18"/>
      <c r="KC311" s="18"/>
      <c r="KD311" s="18"/>
      <c r="KE311" s="18"/>
      <c r="KF311" s="18"/>
      <c r="KG311" s="18"/>
      <c r="KH311" s="18"/>
      <c r="KI311" s="18"/>
      <c r="KJ311" s="18"/>
      <c r="KK311" s="18"/>
      <c r="KL311" s="18"/>
      <c r="KM311" s="18"/>
      <c r="KN311" s="18"/>
      <c r="KO311" s="18"/>
      <c r="KP311" s="18"/>
      <c r="KQ311" s="18"/>
      <c r="KR311" s="18"/>
      <c r="KS311" s="18"/>
      <c r="KT311" s="18"/>
      <c r="KU311" s="18"/>
      <c r="KV311" s="18"/>
      <c r="KW311" s="18"/>
      <c r="KX311" s="18"/>
      <c r="KY311" s="18"/>
      <c r="KZ311" s="18"/>
      <c r="LA311" s="18"/>
      <c r="LB311" s="18"/>
      <c r="LC311" s="18"/>
      <c r="LD311" s="18"/>
      <c r="LE311" s="18"/>
      <c r="LF311" s="18"/>
      <c r="LG311" s="18"/>
      <c r="LH311" s="18"/>
      <c r="LI311" s="18"/>
      <c r="LJ311" s="18"/>
      <c r="LK311" s="18"/>
      <c r="LL311" s="18"/>
      <c r="LM311" s="18"/>
      <c r="LN311" s="18"/>
      <c r="LO311" s="18"/>
      <c r="LP311" s="18"/>
      <c r="LQ311" s="18"/>
      <c r="LR311" s="18"/>
      <c r="LS311" s="18"/>
      <c r="LT311" s="18"/>
      <c r="LU311" s="18"/>
      <c r="LV311" s="18"/>
      <c r="LW311" s="18"/>
      <c r="LX311" s="18"/>
      <c r="LY311" s="18"/>
      <c r="LZ311" s="18"/>
      <c r="MA311" s="18"/>
      <c r="MB311" s="18"/>
      <c r="MC311" s="18"/>
      <c r="MD311" s="18"/>
      <c r="ME311" s="18"/>
      <c r="MF311" s="18"/>
      <c r="MG311" s="18"/>
      <c r="MH311" s="18"/>
      <c r="MI311" s="18"/>
      <c r="MJ311" s="18"/>
      <c r="MK311" s="18"/>
      <c r="ML311" s="18"/>
      <c r="MM311" s="18"/>
      <c r="MN311" s="18"/>
      <c r="MO311" s="18"/>
      <c r="MP311" s="18"/>
      <c r="MQ311" s="18"/>
      <c r="MR311" s="18"/>
      <c r="MS311" s="18"/>
      <c r="MT311" s="18"/>
      <c r="MU311" s="18"/>
      <c r="MV311" s="18"/>
      <c r="MW311" s="18"/>
      <c r="MX311" s="18"/>
      <c r="MY311" s="18"/>
      <c r="MZ311" s="18"/>
      <c r="NA311" s="18"/>
      <c r="NB311" s="18"/>
      <c r="NC311" s="18"/>
      <c r="ND311" s="18"/>
      <c r="NE311" s="18"/>
      <c r="NF311" s="18"/>
      <c r="NG311" s="18"/>
      <c r="NH311" s="18"/>
      <c r="NI311" s="18"/>
      <c r="NJ311" s="18"/>
      <c r="NK311" s="18"/>
      <c r="NL311" s="18"/>
      <c r="NM311" s="18"/>
      <c r="NN311" s="18"/>
      <c r="NO311" s="18"/>
      <c r="NP311" s="18"/>
      <c r="NQ311" s="18"/>
      <c r="NR311" s="18"/>
      <c r="NS311" s="18"/>
      <c r="NT311" s="18"/>
      <c r="NU311" s="18"/>
      <c r="NV311" s="18"/>
      <c r="NW311" s="18"/>
      <c r="NX311" s="18"/>
      <c r="NY311" s="18"/>
      <c r="NZ311" s="18"/>
      <c r="OA311" s="18"/>
      <c r="OB311" s="18"/>
      <c r="OC311" s="18"/>
      <c r="OD311" s="18"/>
      <c r="OE311" s="18"/>
      <c r="OF311" s="18"/>
      <c r="OG311" s="18"/>
      <c r="OH311" s="18"/>
      <c r="OI311" s="18"/>
      <c r="OJ311" s="18"/>
      <c r="OK311" s="18"/>
      <c r="OL311" s="18"/>
      <c r="OM311" s="18"/>
      <c r="ON311" s="18"/>
      <c r="OO311" s="18"/>
      <c r="OP311" s="18"/>
      <c r="OQ311" s="18"/>
      <c r="OR311" s="18"/>
      <c r="OS311" s="18"/>
      <c r="OT311" s="18"/>
      <c r="OU311" s="18"/>
      <c r="OV311" s="18"/>
      <c r="OW311" s="18"/>
      <c r="OX311" s="18"/>
      <c r="OY311" s="18"/>
      <c r="OZ311" s="18"/>
      <c r="PA311" s="18"/>
      <c r="PB311" s="18"/>
      <c r="PC311" s="18"/>
      <c r="PD311" s="18"/>
      <c r="PE311" s="18"/>
      <c r="PF311" s="18"/>
      <c r="PG311" s="18"/>
      <c r="PH311" s="18"/>
      <c r="PI311" s="18"/>
      <c r="PJ311" s="18"/>
      <c r="PK311" s="18"/>
      <c r="PL311" s="18"/>
      <c r="PM311" s="18"/>
      <c r="PN311" s="18"/>
      <c r="PO311" s="18"/>
      <c r="PP311" s="18"/>
      <c r="PQ311" s="18"/>
      <c r="PR311" s="18"/>
      <c r="PS311" s="18"/>
      <c r="PT311" s="18"/>
      <c r="PU311" s="18"/>
      <c r="PV311" s="18"/>
      <c r="PW311" s="18"/>
      <c r="PX311" s="18"/>
      <c r="PY311" s="18"/>
      <c r="PZ311" s="18"/>
      <c r="QA311" s="18"/>
      <c r="QB311" s="18"/>
      <c r="QC311" s="18"/>
      <c r="QD311" s="18"/>
      <c r="QE311" s="18"/>
      <c r="QF311" s="18"/>
      <c r="QG311" s="18"/>
      <c r="QH311" s="18"/>
      <c r="QI311" s="18"/>
      <c r="QJ311" s="18"/>
      <c r="QK311" s="18"/>
      <c r="QL311" s="18"/>
      <c r="QM311" s="18"/>
      <c r="QN311" s="18"/>
      <c r="QO311" s="18"/>
      <c r="QP311" s="18"/>
      <c r="QQ311" s="18"/>
      <c r="QR311" s="18"/>
      <c r="QS311" s="18"/>
      <c r="QT311" s="18"/>
      <c r="QU311" s="18"/>
      <c r="QV311" s="18"/>
      <c r="QW311" s="18"/>
      <c r="QX311" s="18"/>
      <c r="QY311" s="18"/>
      <c r="QZ311" s="18"/>
      <c r="RA311" s="18"/>
      <c r="RB311" s="18"/>
      <c r="RC311" s="18"/>
      <c r="RD311" s="18"/>
      <c r="RE311" s="18"/>
      <c r="RF311" s="18"/>
      <c r="RG311" s="18"/>
      <c r="RH311" s="18"/>
      <c r="RI311" s="18"/>
      <c r="RJ311" s="18"/>
      <c r="RK311" s="18"/>
      <c r="RL311" s="18"/>
      <c r="RM311" s="18"/>
      <c r="RN311" s="18"/>
      <c r="RO311" s="18"/>
      <c r="RP311" s="18"/>
      <c r="RQ311" s="18"/>
      <c r="RR311" s="18"/>
      <c r="RS311" s="18"/>
      <c r="RT311" s="18"/>
      <c r="RU311" s="18"/>
      <c r="RV311" s="18"/>
      <c r="RW311" s="18"/>
      <c r="RX311" s="18"/>
      <c r="RY311" s="18"/>
      <c r="RZ311" s="18"/>
      <c r="SA311" s="18"/>
      <c r="SB311" s="18"/>
      <c r="SC311" s="18"/>
      <c r="SD311" s="18"/>
      <c r="SE311" s="18"/>
      <c r="SF311" s="18"/>
      <c r="SG311" s="18"/>
      <c r="SH311" s="18"/>
      <c r="SI311" s="18"/>
      <c r="SJ311" s="18"/>
      <c r="SK311" s="18"/>
      <c r="SL311" s="18"/>
      <c r="SM311" s="18"/>
      <c r="SN311" s="18"/>
      <c r="SO311" s="18"/>
      <c r="SP311" s="18"/>
      <c r="SQ311" s="18"/>
      <c r="SR311" s="18"/>
      <c r="SS311" s="18"/>
      <c r="ST311" s="18"/>
      <c r="SU311" s="18"/>
      <c r="SV311" s="18"/>
      <c r="SW311" s="18"/>
      <c r="SX311" s="18"/>
      <c r="SY311" s="18"/>
      <c r="SZ311" s="18"/>
      <c r="TA311" s="18"/>
      <c r="TB311" s="18"/>
      <c r="TC311" s="18"/>
      <c r="TD311" s="18"/>
      <c r="TE311" s="18"/>
      <c r="TF311" s="18"/>
      <c r="TG311" s="18"/>
      <c r="TH311" s="18"/>
      <c r="TI311" s="18"/>
      <c r="TJ311" s="18"/>
      <c r="TK311" s="18"/>
      <c r="TL311" s="18"/>
      <c r="TM311" s="18"/>
      <c r="TN311" s="18"/>
      <c r="TO311" s="18"/>
      <c r="TP311" s="18"/>
      <c r="TQ311" s="18"/>
      <c r="TR311" s="18"/>
      <c r="TS311" s="18"/>
      <c r="TT311" s="18"/>
      <c r="TU311" s="18"/>
      <c r="TV311" s="18"/>
      <c r="TW311" s="18"/>
      <c r="TX311" s="18"/>
      <c r="TY311" s="18"/>
      <c r="TZ311" s="18"/>
      <c r="UA311" s="18"/>
      <c r="UB311" s="18"/>
      <c r="UC311" s="18"/>
      <c r="UD311" s="18"/>
      <c r="UE311" s="18"/>
      <c r="UF311" s="18"/>
      <c r="UG311" s="18"/>
      <c r="UH311" s="18"/>
      <c r="UI311" s="18"/>
      <c r="UJ311" s="18"/>
      <c r="UK311" s="18"/>
      <c r="UL311" s="18"/>
      <c r="UM311" s="18"/>
      <c r="UN311" s="18"/>
      <c r="UO311" s="18"/>
      <c r="UP311" s="18"/>
      <c r="UQ311" s="18"/>
      <c r="UR311" s="18"/>
      <c r="US311" s="18"/>
      <c r="UT311" s="18"/>
      <c r="UU311" s="18"/>
      <c r="UV311" s="18"/>
      <c r="UW311" s="18"/>
      <c r="UX311" s="18"/>
      <c r="UY311" s="18"/>
      <c r="UZ311" s="18"/>
      <c r="VA311" s="18"/>
      <c r="VB311" s="18"/>
      <c r="VC311" s="18"/>
      <c r="VD311" s="18"/>
      <c r="VE311" s="18"/>
      <c r="VF311" s="18"/>
      <c r="VG311" s="18"/>
      <c r="VH311" s="18"/>
      <c r="VI311" s="18"/>
      <c r="VJ311" s="18"/>
      <c r="VK311" s="18"/>
      <c r="VL311" s="18"/>
      <c r="VM311" s="18"/>
      <c r="VN311" s="18"/>
      <c r="VO311" s="18"/>
      <c r="VP311" s="18"/>
      <c r="VQ311" s="18"/>
      <c r="VR311" s="18"/>
      <c r="VS311" s="18"/>
      <c r="VT311" s="18"/>
      <c r="VU311" s="18"/>
      <c r="VV311" s="18"/>
      <c r="VW311" s="18"/>
      <c r="VX311" s="18"/>
      <c r="VY311" s="18"/>
      <c r="VZ311" s="18"/>
      <c r="WA311" s="18"/>
      <c r="WB311" s="18"/>
      <c r="WC311" s="18"/>
      <c r="WD311" s="18"/>
      <c r="WE311" s="18"/>
      <c r="WF311" s="18"/>
      <c r="WG311" s="18"/>
      <c r="WH311" s="18"/>
      <c r="WI311" s="18"/>
      <c r="WJ311" s="18"/>
      <c r="WK311" s="18"/>
      <c r="WL311" s="18"/>
      <c r="WM311" s="18"/>
      <c r="WN311" s="18"/>
      <c r="WO311" s="18"/>
      <c r="WP311" s="18"/>
      <c r="WQ311" s="18"/>
      <c r="WR311" s="18"/>
      <c r="WS311" s="18"/>
      <c r="WT311" s="18"/>
      <c r="WU311" s="18"/>
      <c r="WV311" s="18"/>
      <c r="WW311" s="18"/>
      <c r="WX311" s="18"/>
      <c r="WY311" s="18"/>
      <c r="WZ311" s="18"/>
      <c r="XA311" s="18"/>
      <c r="XB311" s="18"/>
      <c r="XC311" s="18"/>
      <c r="XD311" s="18"/>
      <c r="XE311" s="18"/>
      <c r="XF311" s="18"/>
      <c r="XG311" s="18"/>
      <c r="XH311" s="18"/>
      <c r="XI311" s="18"/>
      <c r="XJ311" s="18"/>
      <c r="XK311" s="18"/>
      <c r="XL311" s="18"/>
      <c r="XM311" s="18"/>
      <c r="XN311" s="18"/>
      <c r="XO311" s="18"/>
      <c r="XP311" s="18"/>
      <c r="XQ311" s="18"/>
      <c r="XR311" s="18"/>
      <c r="XS311" s="18"/>
      <c r="XT311" s="18"/>
      <c r="XU311" s="18"/>
      <c r="XV311" s="18"/>
      <c r="XW311" s="18"/>
      <c r="XX311" s="18"/>
      <c r="XY311" s="18"/>
      <c r="XZ311" s="18"/>
      <c r="YA311" s="18"/>
      <c r="YB311" s="18"/>
      <c r="YC311" s="18"/>
      <c r="YD311" s="18"/>
      <c r="YE311" s="18"/>
      <c r="YF311" s="18"/>
      <c r="YG311" s="18"/>
      <c r="YH311" s="18"/>
      <c r="YI311" s="18"/>
      <c r="YJ311" s="18"/>
      <c r="YK311" s="18"/>
      <c r="YL311" s="18"/>
      <c r="YM311" s="18"/>
      <c r="YN311" s="18"/>
      <c r="YO311" s="18"/>
      <c r="YP311" s="18"/>
      <c r="YQ311" s="18"/>
      <c r="YR311" s="18"/>
      <c r="YS311" s="18"/>
      <c r="YT311" s="18"/>
      <c r="YU311" s="18"/>
      <c r="YV311" s="18"/>
      <c r="YW311" s="18"/>
      <c r="YX311" s="18"/>
      <c r="YY311" s="18"/>
      <c r="YZ311" s="18"/>
      <c r="ZA311" s="18"/>
      <c r="ZB311" s="18"/>
      <c r="ZC311" s="18"/>
      <c r="ZD311" s="18"/>
      <c r="ZE311" s="18"/>
      <c r="ZF311" s="18"/>
      <c r="ZG311" s="18"/>
      <c r="ZH311" s="18"/>
      <c r="ZI311" s="18"/>
      <c r="ZJ311" s="18"/>
      <c r="ZK311" s="18"/>
      <c r="ZL311" s="18"/>
      <c r="ZM311" s="18"/>
      <c r="ZN311" s="18"/>
      <c r="ZO311" s="18"/>
      <c r="ZP311" s="18"/>
      <c r="ZQ311" s="18"/>
      <c r="ZR311" s="18"/>
      <c r="ZS311" s="18"/>
      <c r="ZT311" s="18"/>
      <c r="ZU311" s="18"/>
      <c r="ZV311" s="18"/>
      <c r="ZW311" s="18"/>
      <c r="ZX311" s="18"/>
      <c r="ZY311" s="18"/>
      <c r="ZZ311" s="18"/>
      <c r="AAA311" s="18"/>
      <c r="AAB311" s="18"/>
      <c r="AAC311" s="18"/>
      <c r="AAD311" s="18"/>
      <c r="AAE311" s="18"/>
      <c r="AAF311" s="18"/>
      <c r="AAG311" s="18"/>
      <c r="AAH311" s="18"/>
      <c r="AAI311" s="18"/>
      <c r="AAJ311" s="18"/>
      <c r="AAK311" s="18"/>
      <c r="AAL311" s="18"/>
      <c r="AAM311" s="18"/>
      <c r="AAN311" s="18"/>
      <c r="AAO311" s="18"/>
      <c r="AAP311" s="18"/>
      <c r="AAQ311" s="18"/>
      <c r="AAR311" s="18"/>
      <c r="AAS311" s="18"/>
      <c r="AAT311" s="18"/>
      <c r="AAU311" s="18"/>
      <c r="AAV311" s="18"/>
      <c r="AAW311" s="18"/>
      <c r="AAX311" s="18"/>
      <c r="AAY311" s="18"/>
      <c r="AAZ311" s="18"/>
      <c r="ABA311" s="18"/>
      <c r="ABB311" s="18"/>
      <c r="ABC311" s="18"/>
      <c r="ABD311" s="18"/>
      <c r="ABE311" s="18"/>
      <c r="ABF311" s="18"/>
      <c r="ABG311" s="18"/>
      <c r="ABH311" s="18"/>
      <c r="ABI311" s="18"/>
      <c r="ABJ311" s="18"/>
      <c r="ABK311" s="18"/>
      <c r="ABL311" s="18"/>
      <c r="ABM311" s="18"/>
      <c r="ABN311" s="18"/>
      <c r="ABO311" s="18"/>
      <c r="ABP311" s="18"/>
      <c r="ABQ311" s="18"/>
      <c r="ABR311" s="18"/>
      <c r="ABS311" s="18"/>
      <c r="ABT311" s="18"/>
      <c r="ABU311" s="18"/>
      <c r="ABV311" s="18"/>
      <c r="ABW311" s="18"/>
      <c r="ABX311" s="18"/>
      <c r="ABY311" s="18"/>
      <c r="ABZ311" s="18"/>
      <c r="ACA311" s="18"/>
      <c r="ACB311" s="18"/>
      <c r="ACC311" s="18"/>
      <c r="ACD311" s="18"/>
      <c r="ACE311" s="18"/>
      <c r="ACF311" s="18"/>
      <c r="ACG311" s="18"/>
      <c r="ACH311" s="18"/>
      <c r="ACI311" s="18"/>
      <c r="ACJ311" s="18"/>
      <c r="ACK311" s="18"/>
      <c r="ACL311" s="18"/>
      <c r="ACM311" s="18"/>
      <c r="ACN311" s="18"/>
      <c r="ACO311" s="18"/>
      <c r="ACP311" s="18"/>
      <c r="ACQ311" s="18"/>
      <c r="ACR311" s="18"/>
      <c r="ACS311" s="18"/>
      <c r="ACT311" s="18"/>
      <c r="ACU311" s="18"/>
      <c r="ACV311" s="18"/>
      <c r="ACW311" s="18"/>
      <c r="ACX311" s="18"/>
      <c r="ACY311" s="18"/>
      <c r="ACZ311" s="18"/>
      <c r="ADA311" s="18"/>
      <c r="ADB311" s="18"/>
      <c r="ADC311" s="18"/>
      <c r="ADD311" s="18"/>
      <c r="ADE311" s="18"/>
      <c r="ADF311" s="18"/>
      <c r="ADG311" s="18"/>
      <c r="ADH311" s="18"/>
      <c r="ADI311" s="18"/>
      <c r="ADJ311" s="18"/>
      <c r="ADK311" s="18"/>
      <c r="ADL311" s="18"/>
      <c r="ADM311" s="18"/>
      <c r="ADN311" s="18"/>
      <c r="ADO311" s="18"/>
      <c r="ADP311" s="18"/>
      <c r="ADQ311" s="18"/>
      <c r="ADR311" s="18"/>
      <c r="ADS311" s="18"/>
      <c r="ADT311" s="18"/>
      <c r="ADU311" s="18"/>
      <c r="ADV311" s="18"/>
      <c r="ADW311" s="18"/>
      <c r="ADX311" s="18"/>
      <c r="ADY311" s="18"/>
      <c r="ADZ311" s="18"/>
      <c r="AEA311" s="18"/>
      <c r="AEB311" s="18"/>
      <c r="AEC311" s="18"/>
      <c r="AED311" s="18"/>
      <c r="AEE311" s="18"/>
      <c r="AEF311" s="18"/>
      <c r="AEG311" s="18"/>
      <c r="AEH311" s="18"/>
      <c r="AEI311" s="18"/>
      <c r="AEJ311" s="18"/>
      <c r="AEK311" s="18"/>
      <c r="AEL311" s="18"/>
      <c r="AEM311" s="18"/>
      <c r="AEN311" s="18"/>
      <c r="AEO311" s="18"/>
      <c r="AEP311" s="18"/>
      <c r="AEQ311" s="18"/>
      <c r="AER311" s="18"/>
      <c r="AES311" s="18"/>
      <c r="AET311" s="18"/>
      <c r="AEU311" s="18"/>
      <c r="AEV311" s="18"/>
      <c r="AEW311" s="18"/>
      <c r="AEX311" s="18"/>
      <c r="AEY311" s="18"/>
      <c r="AEZ311" s="18"/>
      <c r="AFA311" s="18"/>
      <c r="AFB311" s="18"/>
      <c r="AFC311" s="18"/>
      <c r="AFD311" s="18"/>
      <c r="AFE311" s="18"/>
      <c r="AFF311" s="18"/>
      <c r="AFG311" s="18"/>
      <c r="AFH311" s="18"/>
      <c r="AFI311" s="18"/>
      <c r="AFJ311" s="18"/>
      <c r="AFK311" s="18"/>
      <c r="AFL311" s="18"/>
      <c r="AFM311" s="18"/>
      <c r="AFN311" s="18"/>
      <c r="AFO311" s="18"/>
      <c r="AFP311" s="18"/>
      <c r="AFQ311" s="18"/>
      <c r="AFR311" s="18"/>
      <c r="AFS311" s="18"/>
      <c r="AFT311" s="18"/>
      <c r="AFU311" s="18"/>
      <c r="AFV311" s="18"/>
      <c r="AFW311" s="18"/>
      <c r="AFX311" s="18"/>
      <c r="AFY311" s="18"/>
      <c r="AFZ311" s="18"/>
      <c r="AGA311" s="18"/>
      <c r="AGB311" s="18"/>
      <c r="AGC311" s="18"/>
      <c r="AGD311" s="18"/>
      <c r="AGE311" s="18"/>
      <c r="AGF311" s="18"/>
      <c r="AGG311" s="18"/>
      <c r="AGH311" s="18"/>
      <c r="AGI311" s="18"/>
      <c r="AGJ311" s="18"/>
      <c r="AGK311" s="18"/>
      <c r="AGL311" s="18"/>
      <c r="AGM311" s="18"/>
      <c r="AGN311" s="18"/>
      <c r="AGO311" s="18"/>
      <c r="AGP311" s="18"/>
      <c r="AGQ311" s="18"/>
      <c r="AGR311" s="18"/>
      <c r="AGS311" s="18"/>
      <c r="AGT311" s="18"/>
      <c r="AGU311" s="18"/>
      <c r="AGV311" s="18"/>
      <c r="AGW311" s="18"/>
      <c r="AGX311" s="18"/>
      <c r="AGY311" s="18"/>
      <c r="AGZ311" s="18"/>
      <c r="AHA311" s="18"/>
      <c r="AHB311" s="18"/>
      <c r="AHC311" s="18"/>
      <c r="AHD311" s="18"/>
      <c r="AHE311" s="18"/>
      <c r="AHF311" s="18"/>
      <c r="AHG311" s="18"/>
      <c r="AHH311" s="18"/>
      <c r="AHI311" s="18"/>
      <c r="AHJ311" s="18"/>
      <c r="AHK311" s="18"/>
      <c r="AHL311" s="18"/>
      <c r="AHM311" s="18"/>
      <c r="AHN311" s="18"/>
      <c r="AHO311" s="18"/>
      <c r="AHP311" s="18"/>
      <c r="AHQ311" s="18"/>
      <c r="AHR311" s="18"/>
      <c r="AHS311" s="18"/>
      <c r="AHT311" s="18"/>
      <c r="AHU311" s="18"/>
      <c r="AHV311" s="18"/>
      <c r="AHW311" s="18"/>
      <c r="AHX311" s="18"/>
      <c r="AHY311" s="18"/>
      <c r="AHZ311" s="18"/>
      <c r="AIA311" s="18"/>
      <c r="AIB311" s="18"/>
      <c r="AIC311" s="18"/>
      <c r="AID311" s="18"/>
      <c r="AIE311" s="18"/>
      <c r="AIF311" s="18"/>
      <c r="AIG311" s="18"/>
      <c r="AIH311" s="18"/>
      <c r="AII311" s="18"/>
      <c r="AIJ311" s="18"/>
      <c r="AIK311" s="18"/>
      <c r="AIL311" s="18"/>
      <c r="AIM311" s="18"/>
      <c r="AIN311" s="18"/>
      <c r="AIO311" s="18"/>
      <c r="AIP311" s="18"/>
      <c r="AIQ311" s="18"/>
      <c r="AIR311" s="18"/>
      <c r="AIS311" s="18"/>
      <c r="AIT311" s="18"/>
      <c r="AIU311" s="18"/>
      <c r="AIV311" s="18"/>
      <c r="AIW311" s="18"/>
      <c r="AIX311" s="18"/>
      <c r="AIY311" s="18"/>
      <c r="AIZ311" s="18"/>
      <c r="AJA311" s="18"/>
      <c r="AJB311" s="18"/>
      <c r="AJC311" s="18"/>
      <c r="AJD311" s="18"/>
      <c r="AJE311" s="18"/>
      <c r="AJF311" s="18"/>
      <c r="AJG311" s="18"/>
      <c r="AJH311" s="18"/>
      <c r="AJI311" s="18"/>
      <c r="AJJ311" s="18"/>
      <c r="AJK311" s="18"/>
      <c r="AJL311" s="18"/>
      <c r="AJM311" s="18"/>
      <c r="AJN311" s="18"/>
      <c r="AJO311" s="18"/>
      <c r="AJP311" s="18"/>
      <c r="AJQ311" s="18"/>
      <c r="AJR311" s="18"/>
      <c r="AJS311" s="18"/>
      <c r="AJT311" s="18"/>
      <c r="AJU311" s="18"/>
      <c r="AJV311" s="18"/>
      <c r="AJW311" s="18"/>
      <c r="AJX311" s="18"/>
      <c r="AJY311" s="18"/>
      <c r="AJZ311" s="18"/>
      <c r="AKA311" s="18"/>
      <c r="AKB311" s="18"/>
      <c r="AKC311" s="18"/>
      <c r="AKD311" s="18"/>
      <c r="AKE311" s="18"/>
      <c r="AKF311" s="18"/>
      <c r="AKG311" s="18"/>
      <c r="AKH311" s="18"/>
      <c r="AKI311" s="18"/>
      <c r="AKJ311" s="18"/>
      <c r="AKK311" s="18"/>
      <c r="AKL311" s="18"/>
      <c r="AKM311" s="18"/>
      <c r="AKN311" s="18"/>
      <c r="AKO311" s="18"/>
      <c r="AKP311" s="18"/>
      <c r="AKQ311" s="18"/>
      <c r="AKR311" s="18"/>
      <c r="AKS311" s="18"/>
      <c r="AKT311" s="18"/>
      <c r="AKU311" s="18"/>
      <c r="AKV311" s="18"/>
      <c r="AKW311" s="18"/>
      <c r="AKX311" s="18"/>
      <c r="AKY311" s="18"/>
      <c r="AKZ311" s="18"/>
      <c r="ALA311" s="18"/>
      <c r="ALB311" s="18"/>
      <c r="ALC311" s="18"/>
      <c r="ALD311" s="18"/>
      <c r="ALE311" s="18"/>
      <c r="ALF311" s="18"/>
      <c r="ALG311" s="18"/>
      <c r="ALH311" s="18"/>
      <c r="ALI311" s="18"/>
      <c r="ALJ311" s="18"/>
      <c r="ALK311" s="18"/>
      <c r="ALL311" s="18"/>
      <c r="ALM311" s="18"/>
      <c r="ALN311" s="18"/>
      <c r="ALO311" s="18"/>
      <c r="ALP311" s="18"/>
      <c r="ALQ311" s="18"/>
      <c r="ALR311" s="18"/>
      <c r="ALS311" s="18"/>
      <c r="ALT311" s="18"/>
      <c r="ALU311" s="18"/>
      <c r="ALV311" s="18"/>
      <c r="ALW311" s="18"/>
      <c r="ALX311" s="18"/>
      <c r="ALY311" s="18"/>
      <c r="ALZ311" s="18"/>
      <c r="AMA311" s="18"/>
      <c r="AMB311" s="18"/>
      <c r="AMC311" s="18"/>
      <c r="AMD311" s="18"/>
      <c r="AME311" s="18"/>
      <c r="AMF311" s="18"/>
      <c r="AMG311" s="18"/>
      <c r="AMH311" s="18"/>
      <c r="AMI311" s="18"/>
      <c r="AMJ311" s="18"/>
      <c r="AMK311" s="18"/>
      <c r="AML311" s="18"/>
    </row>
    <row r="312" spans="1:1027" s="18" customFormat="1" x14ac:dyDescent="0.2">
      <c r="A312" s="18" t="s">
        <v>504</v>
      </c>
      <c r="B312" s="18" t="s">
        <v>921</v>
      </c>
      <c r="D312" s="18">
        <v>168</v>
      </c>
      <c r="E312" s="19" t="s">
        <v>506</v>
      </c>
      <c r="F312" s="19" t="s">
        <v>507</v>
      </c>
      <c r="G312" s="20" t="s">
        <v>611</v>
      </c>
      <c r="H312" s="19" t="s">
        <v>507</v>
      </c>
      <c r="I312" s="19"/>
      <c r="J312" s="67" t="s">
        <v>507</v>
      </c>
      <c r="K312" s="21" t="s">
        <v>509</v>
      </c>
      <c r="M312" s="1" t="s">
        <v>542</v>
      </c>
      <c r="N312" s="1"/>
      <c r="S312" s="13"/>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AMM312" s="33"/>
    </row>
    <row r="313" spans="1:1027" s="31" customFormat="1" x14ac:dyDescent="0.2">
      <c r="A313" s="1" t="s">
        <v>521</v>
      </c>
      <c r="B313" s="1" t="s">
        <v>922</v>
      </c>
      <c r="C313" s="1"/>
      <c r="D313" s="1">
        <v>304</v>
      </c>
      <c r="E313" s="10" t="s">
        <v>506</v>
      </c>
      <c r="F313" s="10" t="s">
        <v>508</v>
      </c>
      <c r="G313" s="11" t="s">
        <v>508</v>
      </c>
      <c r="H313" s="10" t="s">
        <v>507</v>
      </c>
      <c r="I313" s="10"/>
      <c r="J313" s="10" t="s">
        <v>507</v>
      </c>
      <c r="K313" s="12"/>
      <c r="L313" s="26"/>
      <c r="M313" s="1"/>
      <c r="N313" s="1"/>
      <c r="O313" s="1"/>
      <c r="P313" s="1"/>
      <c r="Q313" s="1"/>
      <c r="R313" s="1"/>
      <c r="S313" s="13"/>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row>
    <row r="314" spans="1:1027" s="18" customFormat="1" x14ac:dyDescent="0.2">
      <c r="A314" s="18">
        <v>2</v>
      </c>
      <c r="B314" s="18" t="s">
        <v>368</v>
      </c>
      <c r="C314" s="18" t="s">
        <v>370</v>
      </c>
      <c r="D314" s="18">
        <v>77</v>
      </c>
      <c r="E314" s="19" t="s">
        <v>507</v>
      </c>
      <c r="F314" s="19" t="s">
        <v>507</v>
      </c>
      <c r="G314" s="20" t="s">
        <v>508</v>
      </c>
      <c r="H314" s="19" t="s">
        <v>507</v>
      </c>
      <c r="I314" s="19"/>
      <c r="J314" s="84" t="s">
        <v>507</v>
      </c>
      <c r="K314" s="21" t="s">
        <v>509</v>
      </c>
      <c r="M314" s="1" t="s">
        <v>598</v>
      </c>
      <c r="N314" s="1"/>
      <c r="S314" s="13"/>
      <c r="T314" s="33"/>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31"/>
      <c r="BY314" s="31"/>
      <c r="BZ314" s="31"/>
      <c r="CA314" s="31"/>
      <c r="CB314" s="31"/>
      <c r="CC314" s="31"/>
      <c r="CD314" s="31"/>
      <c r="CE314" s="31"/>
      <c r="CF314" s="31"/>
      <c r="CG314" s="31"/>
      <c r="CH314" s="31"/>
      <c r="CI314" s="31"/>
      <c r="CJ314" s="31"/>
      <c r="CK314" s="31"/>
      <c r="CL314" s="31"/>
      <c r="CM314" s="31"/>
      <c r="CN314" s="31"/>
      <c r="CO314" s="31"/>
      <c r="CP314" s="31"/>
      <c r="CQ314" s="31"/>
      <c r="CR314" s="31"/>
      <c r="CS314" s="31"/>
      <c r="CT314" s="31"/>
      <c r="CU314" s="31"/>
      <c r="CV314" s="31"/>
      <c r="CW314" s="31"/>
      <c r="CX314" s="31"/>
      <c r="CY314" s="31"/>
      <c r="CZ314" s="31"/>
      <c r="DA314" s="31"/>
      <c r="DB314" s="31"/>
      <c r="DC314" s="31"/>
      <c r="DD314" s="31"/>
      <c r="DE314" s="31"/>
      <c r="DF314" s="31"/>
      <c r="DG314" s="31"/>
      <c r="DH314" s="31"/>
      <c r="DI314" s="31"/>
      <c r="DJ314" s="31"/>
      <c r="DK314" s="31"/>
      <c r="DL314" s="31"/>
      <c r="DM314" s="31"/>
      <c r="DN314" s="31"/>
      <c r="DO314" s="31"/>
      <c r="DP314" s="31"/>
      <c r="DQ314" s="31"/>
      <c r="DR314" s="31"/>
      <c r="DS314" s="31"/>
      <c r="DT314" s="31"/>
      <c r="DU314" s="31"/>
      <c r="DV314" s="31"/>
      <c r="DW314" s="31"/>
      <c r="DX314" s="31"/>
      <c r="DY314" s="31"/>
      <c r="DZ314" s="31"/>
      <c r="EA314" s="31"/>
      <c r="EB314" s="31"/>
      <c r="EC314" s="31"/>
      <c r="ED314" s="31"/>
      <c r="EE314" s="31"/>
      <c r="EF314" s="31"/>
      <c r="EG314" s="31"/>
      <c r="EH314" s="31"/>
      <c r="EI314" s="31"/>
      <c r="EJ314" s="31"/>
      <c r="EK314" s="31"/>
      <c r="EL314" s="31"/>
      <c r="EM314" s="31"/>
      <c r="EN314" s="31"/>
      <c r="EO314" s="31"/>
      <c r="EP314" s="31"/>
      <c r="EQ314" s="31"/>
      <c r="ER314" s="31"/>
      <c r="ES314" s="31"/>
      <c r="ET314" s="31"/>
      <c r="EU314" s="31"/>
      <c r="EV314" s="31"/>
      <c r="EW314" s="31"/>
      <c r="EX314" s="31"/>
      <c r="EY314" s="31"/>
      <c r="EZ314" s="31"/>
      <c r="FA314" s="31"/>
      <c r="FB314" s="31"/>
      <c r="FC314" s="31"/>
      <c r="FD314" s="31"/>
      <c r="FE314" s="31"/>
      <c r="FF314" s="31"/>
      <c r="FG314" s="31"/>
      <c r="FH314" s="31"/>
      <c r="FI314" s="31"/>
      <c r="FJ314" s="31"/>
      <c r="FK314" s="31"/>
      <c r="FL314" s="31"/>
      <c r="FM314" s="31"/>
      <c r="FN314" s="31"/>
      <c r="FO314" s="31"/>
      <c r="FP314" s="31"/>
      <c r="FQ314" s="31"/>
      <c r="FR314" s="31"/>
      <c r="FS314" s="31"/>
      <c r="FT314" s="31"/>
      <c r="FU314" s="31"/>
      <c r="FV314" s="31"/>
      <c r="FW314" s="31"/>
      <c r="FX314" s="31"/>
      <c r="FY314" s="31"/>
      <c r="FZ314" s="31"/>
      <c r="GA314" s="31"/>
      <c r="GB314" s="31"/>
      <c r="GC314" s="31"/>
      <c r="GD314" s="31"/>
      <c r="GE314" s="31"/>
      <c r="GF314" s="31"/>
      <c r="GG314" s="31"/>
      <c r="GH314" s="31"/>
      <c r="GI314" s="31"/>
      <c r="GJ314" s="31"/>
      <c r="GK314" s="31"/>
      <c r="GL314" s="31"/>
      <c r="GM314" s="31"/>
      <c r="GN314" s="31"/>
      <c r="GO314" s="31"/>
      <c r="GP314" s="31"/>
      <c r="GQ314" s="31"/>
      <c r="GR314" s="31"/>
      <c r="GS314" s="31"/>
      <c r="GT314" s="31"/>
      <c r="GU314" s="31"/>
      <c r="GV314" s="31"/>
      <c r="GW314" s="31"/>
      <c r="GX314" s="31"/>
      <c r="GY314" s="31"/>
      <c r="GZ314" s="31"/>
      <c r="HA314" s="31"/>
      <c r="HB314" s="31"/>
      <c r="HC314" s="31"/>
      <c r="HD314" s="31"/>
      <c r="HE314" s="31"/>
      <c r="HF314" s="31"/>
      <c r="HG314" s="31"/>
      <c r="HH314" s="31"/>
      <c r="HI314" s="31"/>
      <c r="HJ314" s="31"/>
      <c r="HK314" s="31"/>
      <c r="HL314" s="31"/>
      <c r="HM314" s="31"/>
      <c r="HN314" s="31"/>
      <c r="HO314" s="31"/>
      <c r="HP314" s="31"/>
      <c r="HQ314" s="31"/>
      <c r="HR314" s="31"/>
      <c r="HS314" s="31"/>
      <c r="HT314" s="31"/>
      <c r="HU314" s="31"/>
      <c r="HV314" s="31"/>
      <c r="HW314" s="31"/>
      <c r="HX314" s="31"/>
      <c r="HY314" s="31"/>
      <c r="HZ314" s="31"/>
      <c r="IA314" s="31"/>
      <c r="IB314" s="31"/>
      <c r="IC314" s="31"/>
      <c r="ID314" s="31"/>
      <c r="IE314" s="31"/>
      <c r="IF314" s="31"/>
      <c r="IG314" s="31"/>
      <c r="IH314" s="31"/>
      <c r="II314" s="31"/>
      <c r="IJ314" s="31"/>
      <c r="IK314" s="31"/>
      <c r="IL314" s="31"/>
      <c r="IM314" s="31"/>
      <c r="IN314" s="31"/>
      <c r="IO314" s="31"/>
      <c r="IP314" s="31"/>
      <c r="IQ314" s="31"/>
      <c r="IR314" s="31"/>
      <c r="IS314" s="31"/>
      <c r="IT314" s="31"/>
      <c r="IU314" s="31"/>
      <c r="IV314" s="31"/>
      <c r="IW314" s="31"/>
      <c r="IX314" s="31"/>
      <c r="IY314" s="31"/>
      <c r="IZ314" s="31"/>
      <c r="JA314" s="31"/>
      <c r="JB314" s="31"/>
      <c r="JC314" s="31"/>
      <c r="JD314" s="31"/>
      <c r="JE314" s="31"/>
      <c r="JF314" s="31"/>
      <c r="JG314" s="31"/>
      <c r="JH314" s="31"/>
      <c r="JI314" s="31"/>
      <c r="JJ314" s="31"/>
      <c r="JK314" s="31"/>
      <c r="JL314" s="31"/>
      <c r="JM314" s="31"/>
      <c r="JN314" s="31"/>
      <c r="JO314" s="31"/>
      <c r="JP314" s="31"/>
      <c r="JQ314" s="31"/>
      <c r="JR314" s="31"/>
      <c r="JS314" s="31"/>
      <c r="JT314" s="31"/>
      <c r="JU314" s="31"/>
      <c r="JV314" s="31"/>
      <c r="JW314" s="31"/>
      <c r="JX314" s="31"/>
      <c r="JY314" s="31"/>
      <c r="JZ314" s="31"/>
      <c r="KA314" s="31"/>
      <c r="KB314" s="31"/>
      <c r="KC314" s="31"/>
      <c r="KD314" s="31"/>
      <c r="KE314" s="31"/>
      <c r="KF314" s="31"/>
      <c r="KG314" s="31"/>
      <c r="KH314" s="31"/>
      <c r="KI314" s="31"/>
      <c r="KJ314" s="31"/>
      <c r="KK314" s="31"/>
      <c r="KL314" s="31"/>
      <c r="KM314" s="31"/>
      <c r="KN314" s="31"/>
      <c r="KO314" s="31"/>
      <c r="KP314" s="31"/>
      <c r="KQ314" s="31"/>
      <c r="KR314" s="31"/>
      <c r="KS314" s="31"/>
      <c r="KT314" s="31"/>
      <c r="KU314" s="31"/>
      <c r="KV314" s="31"/>
      <c r="KW314" s="31"/>
      <c r="KX314" s="31"/>
      <c r="KY314" s="31"/>
      <c r="KZ314" s="31"/>
      <c r="LA314" s="31"/>
      <c r="LB314" s="31"/>
      <c r="LC314" s="31"/>
      <c r="LD314" s="31"/>
      <c r="LE314" s="31"/>
      <c r="LF314" s="31"/>
      <c r="LG314" s="31"/>
      <c r="LH314" s="31"/>
      <c r="LI314" s="31"/>
      <c r="LJ314" s="31"/>
      <c r="LK314" s="31"/>
      <c r="LL314" s="31"/>
      <c r="LM314" s="31"/>
      <c r="LN314" s="31"/>
      <c r="LO314" s="31"/>
      <c r="LP314" s="31"/>
      <c r="LQ314" s="31"/>
      <c r="LR314" s="31"/>
      <c r="LS314" s="31"/>
      <c r="LT314" s="31"/>
      <c r="LU314" s="31"/>
      <c r="LV314" s="31"/>
      <c r="LW314" s="31"/>
      <c r="LX314" s="31"/>
      <c r="LY314" s="31"/>
      <c r="LZ314" s="31"/>
      <c r="MA314" s="31"/>
      <c r="MB314" s="31"/>
      <c r="MC314" s="31"/>
      <c r="MD314" s="31"/>
      <c r="ME314" s="31"/>
      <c r="MF314" s="31"/>
      <c r="MG314" s="31"/>
      <c r="MH314" s="31"/>
      <c r="MI314" s="31"/>
      <c r="MJ314" s="31"/>
      <c r="MK314" s="31"/>
      <c r="ML314" s="31"/>
      <c r="MM314" s="31"/>
      <c r="MN314" s="31"/>
      <c r="MO314" s="31"/>
      <c r="MP314" s="31"/>
      <c r="MQ314" s="31"/>
      <c r="MR314" s="31"/>
      <c r="MS314" s="31"/>
      <c r="MT314" s="31"/>
      <c r="MU314" s="31"/>
      <c r="MV314" s="31"/>
      <c r="MW314" s="31"/>
      <c r="MX314" s="31"/>
      <c r="MY314" s="31"/>
      <c r="MZ314" s="31"/>
      <c r="NA314" s="31"/>
      <c r="NB314" s="31"/>
      <c r="NC314" s="31"/>
      <c r="ND314" s="31"/>
      <c r="NE314" s="31"/>
      <c r="NF314" s="31"/>
      <c r="NG314" s="31"/>
      <c r="NH314" s="31"/>
      <c r="NI314" s="31"/>
      <c r="NJ314" s="31"/>
      <c r="NK314" s="31"/>
      <c r="NL314" s="31"/>
      <c r="NM314" s="31"/>
      <c r="NN314" s="31"/>
      <c r="NO314" s="31"/>
      <c r="NP314" s="31"/>
      <c r="NQ314" s="31"/>
      <c r="NR314" s="31"/>
      <c r="NS314" s="31"/>
      <c r="NT314" s="31"/>
      <c r="NU314" s="31"/>
      <c r="NV314" s="31"/>
      <c r="NW314" s="31"/>
      <c r="NX314" s="31"/>
      <c r="NY314" s="31"/>
      <c r="NZ314" s="31"/>
      <c r="OA314" s="31"/>
      <c r="OB314" s="31"/>
      <c r="OC314" s="31"/>
      <c r="OD314" s="31"/>
      <c r="OE314" s="31"/>
      <c r="OF314" s="31"/>
      <c r="OG314" s="31"/>
      <c r="OH314" s="31"/>
      <c r="OI314" s="31"/>
      <c r="OJ314" s="31"/>
      <c r="OK314" s="31"/>
      <c r="OL314" s="31"/>
      <c r="OM314" s="31"/>
      <c r="ON314" s="31"/>
      <c r="OO314" s="31"/>
      <c r="OP314" s="31"/>
      <c r="OQ314" s="31"/>
      <c r="OR314" s="31"/>
      <c r="OS314" s="31"/>
      <c r="OT314" s="31"/>
      <c r="OU314" s="31"/>
      <c r="OV314" s="31"/>
      <c r="OW314" s="31"/>
      <c r="OX314" s="31"/>
      <c r="OY314" s="31"/>
      <c r="OZ314" s="31"/>
      <c r="PA314" s="31"/>
      <c r="PB314" s="31"/>
      <c r="PC314" s="31"/>
      <c r="PD314" s="31"/>
      <c r="PE314" s="31"/>
      <c r="PF314" s="31"/>
      <c r="PG314" s="31"/>
      <c r="PH314" s="31"/>
      <c r="PI314" s="31"/>
      <c r="PJ314" s="31"/>
      <c r="PK314" s="31"/>
      <c r="PL314" s="31"/>
      <c r="PM314" s="31"/>
      <c r="PN314" s="31"/>
      <c r="PO314" s="31"/>
      <c r="PP314" s="31"/>
      <c r="PQ314" s="31"/>
      <c r="PR314" s="31"/>
      <c r="PS314" s="31"/>
      <c r="PT314" s="31"/>
      <c r="PU314" s="31"/>
      <c r="PV314" s="31"/>
      <c r="PW314" s="31"/>
      <c r="PX314" s="31"/>
      <c r="PY314" s="31"/>
      <c r="PZ314" s="31"/>
      <c r="QA314" s="31"/>
      <c r="QB314" s="31"/>
      <c r="QC314" s="31"/>
      <c r="QD314" s="31"/>
      <c r="QE314" s="31"/>
      <c r="QF314" s="31"/>
      <c r="QG314" s="31"/>
      <c r="QH314" s="31"/>
      <c r="QI314" s="31"/>
      <c r="QJ314" s="31"/>
      <c r="QK314" s="31"/>
      <c r="QL314" s="31"/>
      <c r="QM314" s="31"/>
      <c r="QN314" s="31"/>
      <c r="QO314" s="31"/>
      <c r="QP314" s="31"/>
      <c r="QQ314" s="31"/>
      <c r="QR314" s="31"/>
      <c r="QS314" s="31"/>
      <c r="QT314" s="31"/>
      <c r="QU314" s="31"/>
      <c r="QV314" s="31"/>
      <c r="QW314" s="31"/>
      <c r="QX314" s="31"/>
      <c r="QY314" s="31"/>
      <c r="QZ314" s="31"/>
      <c r="RA314" s="31"/>
      <c r="RB314" s="31"/>
      <c r="RC314" s="31"/>
      <c r="RD314" s="31"/>
      <c r="RE314" s="31"/>
      <c r="RF314" s="31"/>
      <c r="RG314" s="31"/>
      <c r="RH314" s="31"/>
      <c r="RI314" s="31"/>
      <c r="RJ314" s="31"/>
      <c r="RK314" s="31"/>
      <c r="RL314" s="31"/>
      <c r="RM314" s="31"/>
      <c r="RN314" s="31"/>
      <c r="RO314" s="31"/>
      <c r="RP314" s="31"/>
      <c r="RQ314" s="31"/>
      <c r="RR314" s="31"/>
      <c r="RS314" s="31"/>
      <c r="RT314" s="31"/>
      <c r="RU314" s="31"/>
      <c r="RV314" s="31"/>
      <c r="RW314" s="31"/>
      <c r="RX314" s="31"/>
      <c r="RY314" s="31"/>
      <c r="RZ314" s="31"/>
      <c r="SA314" s="31"/>
      <c r="SB314" s="31"/>
      <c r="SC314" s="31"/>
      <c r="SD314" s="31"/>
      <c r="SE314" s="31"/>
      <c r="SF314" s="31"/>
      <c r="SG314" s="31"/>
      <c r="SH314" s="31"/>
      <c r="SI314" s="31"/>
      <c r="SJ314" s="31"/>
      <c r="SK314" s="31"/>
      <c r="SL314" s="31"/>
      <c r="SM314" s="31"/>
      <c r="SN314" s="31"/>
      <c r="SO314" s="31"/>
      <c r="SP314" s="31"/>
      <c r="SQ314" s="31"/>
      <c r="SR314" s="31"/>
      <c r="SS314" s="31"/>
      <c r="ST314" s="31"/>
      <c r="SU314" s="31"/>
      <c r="SV314" s="31"/>
      <c r="SW314" s="31"/>
      <c r="SX314" s="31"/>
      <c r="SY314" s="31"/>
      <c r="SZ314" s="31"/>
      <c r="TA314" s="31"/>
      <c r="TB314" s="31"/>
      <c r="TC314" s="31"/>
      <c r="TD314" s="31"/>
      <c r="TE314" s="31"/>
      <c r="TF314" s="31"/>
      <c r="TG314" s="31"/>
      <c r="TH314" s="31"/>
      <c r="TI314" s="31"/>
      <c r="TJ314" s="31"/>
      <c r="TK314" s="31"/>
      <c r="TL314" s="31"/>
      <c r="TM314" s="31"/>
      <c r="TN314" s="31"/>
      <c r="TO314" s="31"/>
      <c r="TP314" s="31"/>
      <c r="TQ314" s="31"/>
      <c r="TR314" s="31"/>
      <c r="TS314" s="31"/>
      <c r="TT314" s="31"/>
      <c r="TU314" s="31"/>
      <c r="TV314" s="31"/>
      <c r="TW314" s="31"/>
      <c r="TX314" s="31"/>
      <c r="TY314" s="31"/>
      <c r="TZ314" s="31"/>
      <c r="UA314" s="31"/>
      <c r="UB314" s="31"/>
      <c r="UC314" s="31"/>
      <c r="UD314" s="31"/>
      <c r="UE314" s="31"/>
      <c r="UF314" s="31"/>
      <c r="UG314" s="31"/>
      <c r="UH314" s="31"/>
      <c r="UI314" s="31"/>
      <c r="UJ314" s="31"/>
      <c r="UK314" s="31"/>
      <c r="UL314" s="31"/>
      <c r="UM314" s="31"/>
      <c r="UN314" s="31"/>
      <c r="UO314" s="31"/>
      <c r="UP314" s="31"/>
      <c r="UQ314" s="31"/>
      <c r="UR314" s="31"/>
      <c r="US314" s="31"/>
      <c r="UT314" s="31"/>
      <c r="UU314" s="31"/>
      <c r="UV314" s="31"/>
      <c r="UW314" s="31"/>
      <c r="UX314" s="31"/>
      <c r="UY314" s="31"/>
      <c r="UZ314" s="31"/>
      <c r="VA314" s="31"/>
      <c r="VB314" s="31"/>
      <c r="VC314" s="31"/>
      <c r="VD314" s="31"/>
      <c r="VE314" s="31"/>
      <c r="VF314" s="31"/>
      <c r="VG314" s="31"/>
      <c r="VH314" s="31"/>
      <c r="VI314" s="31"/>
      <c r="VJ314" s="31"/>
      <c r="VK314" s="31"/>
      <c r="VL314" s="31"/>
      <c r="VM314" s="31"/>
      <c r="VN314" s="31"/>
      <c r="VO314" s="31"/>
      <c r="VP314" s="31"/>
      <c r="VQ314" s="31"/>
      <c r="VR314" s="31"/>
      <c r="VS314" s="31"/>
      <c r="VT314" s="31"/>
      <c r="VU314" s="31"/>
      <c r="VV314" s="31"/>
      <c r="VW314" s="31"/>
      <c r="VX314" s="31"/>
      <c r="VY314" s="31"/>
      <c r="VZ314" s="31"/>
      <c r="WA314" s="31"/>
      <c r="WB314" s="31"/>
      <c r="WC314" s="31"/>
      <c r="WD314" s="31"/>
      <c r="WE314" s="31"/>
      <c r="WF314" s="31"/>
      <c r="WG314" s="31"/>
      <c r="WH314" s="31"/>
      <c r="WI314" s="31"/>
      <c r="WJ314" s="31"/>
      <c r="WK314" s="31"/>
      <c r="WL314" s="31"/>
      <c r="WM314" s="31"/>
      <c r="WN314" s="31"/>
      <c r="WO314" s="31"/>
      <c r="WP314" s="31"/>
      <c r="WQ314" s="31"/>
      <c r="WR314" s="31"/>
      <c r="WS314" s="31"/>
      <c r="WT314" s="31"/>
      <c r="WU314" s="31"/>
      <c r="WV314" s="31"/>
      <c r="WW314" s="31"/>
      <c r="WX314" s="31"/>
      <c r="WY314" s="31"/>
      <c r="WZ314" s="31"/>
      <c r="XA314" s="31"/>
      <c r="XB314" s="31"/>
      <c r="XC314" s="31"/>
      <c r="XD314" s="31"/>
      <c r="XE314" s="31"/>
      <c r="XF314" s="31"/>
      <c r="XG314" s="31"/>
      <c r="XH314" s="31"/>
      <c r="XI314" s="31"/>
      <c r="XJ314" s="31"/>
      <c r="XK314" s="31"/>
      <c r="XL314" s="31"/>
      <c r="XM314" s="31"/>
      <c r="XN314" s="31"/>
      <c r="XO314" s="31"/>
      <c r="XP314" s="31"/>
      <c r="XQ314" s="31"/>
      <c r="XR314" s="31"/>
      <c r="XS314" s="31"/>
      <c r="XT314" s="31"/>
      <c r="XU314" s="31"/>
      <c r="XV314" s="31"/>
      <c r="XW314" s="31"/>
      <c r="XX314" s="31"/>
      <c r="XY314" s="31"/>
      <c r="XZ314" s="31"/>
      <c r="YA314" s="31"/>
      <c r="YB314" s="31"/>
      <c r="YC314" s="31"/>
      <c r="YD314" s="31"/>
      <c r="YE314" s="31"/>
      <c r="YF314" s="31"/>
      <c r="YG314" s="31"/>
      <c r="YH314" s="31"/>
      <c r="YI314" s="31"/>
      <c r="YJ314" s="31"/>
      <c r="YK314" s="31"/>
      <c r="YL314" s="31"/>
      <c r="YM314" s="31"/>
      <c r="YN314" s="31"/>
      <c r="YO314" s="31"/>
      <c r="YP314" s="31"/>
      <c r="YQ314" s="31"/>
      <c r="YR314" s="31"/>
      <c r="YS314" s="31"/>
      <c r="YT314" s="31"/>
      <c r="YU314" s="31"/>
      <c r="YV314" s="31"/>
      <c r="YW314" s="31"/>
      <c r="YX314" s="31"/>
      <c r="YY314" s="31"/>
      <c r="YZ314" s="31"/>
      <c r="ZA314" s="31"/>
      <c r="ZB314" s="31"/>
      <c r="ZC314" s="31"/>
      <c r="ZD314" s="31"/>
      <c r="ZE314" s="31"/>
      <c r="ZF314" s="31"/>
      <c r="ZG314" s="31"/>
      <c r="ZH314" s="31"/>
      <c r="ZI314" s="31"/>
      <c r="ZJ314" s="31"/>
      <c r="ZK314" s="31"/>
      <c r="ZL314" s="31"/>
      <c r="ZM314" s="31"/>
      <c r="ZN314" s="31"/>
      <c r="ZO314" s="31"/>
      <c r="ZP314" s="31"/>
      <c r="ZQ314" s="31"/>
      <c r="ZR314" s="31"/>
      <c r="ZS314" s="31"/>
      <c r="ZT314" s="31"/>
      <c r="ZU314" s="31"/>
      <c r="ZV314" s="31"/>
      <c r="ZW314" s="31"/>
      <c r="ZX314" s="31"/>
      <c r="ZY314" s="31"/>
      <c r="ZZ314" s="31"/>
      <c r="AAA314" s="31"/>
      <c r="AAB314" s="31"/>
      <c r="AAC314" s="31"/>
      <c r="AAD314" s="31"/>
      <c r="AAE314" s="31"/>
      <c r="AAF314" s="31"/>
      <c r="AAG314" s="31"/>
      <c r="AAH314" s="31"/>
      <c r="AAI314" s="31"/>
      <c r="AAJ314" s="31"/>
      <c r="AAK314" s="31"/>
      <c r="AAL314" s="31"/>
      <c r="AAM314" s="31"/>
      <c r="AAN314" s="31"/>
      <c r="AAO314" s="31"/>
      <c r="AAP314" s="31"/>
      <c r="AAQ314" s="31"/>
      <c r="AAR314" s="31"/>
      <c r="AAS314" s="31"/>
      <c r="AAT314" s="31"/>
      <c r="AAU314" s="31"/>
      <c r="AAV314" s="31"/>
      <c r="AAW314" s="31"/>
      <c r="AAX314" s="31"/>
      <c r="AAY314" s="31"/>
      <c r="AAZ314" s="31"/>
      <c r="ABA314" s="31"/>
      <c r="ABB314" s="31"/>
      <c r="ABC314" s="31"/>
      <c r="ABD314" s="31"/>
      <c r="ABE314" s="31"/>
      <c r="ABF314" s="31"/>
      <c r="ABG314" s="31"/>
      <c r="ABH314" s="31"/>
      <c r="ABI314" s="31"/>
      <c r="ABJ314" s="31"/>
      <c r="ABK314" s="31"/>
      <c r="ABL314" s="31"/>
      <c r="ABM314" s="31"/>
      <c r="ABN314" s="31"/>
      <c r="ABO314" s="31"/>
      <c r="ABP314" s="31"/>
      <c r="ABQ314" s="31"/>
      <c r="ABR314" s="31"/>
      <c r="ABS314" s="31"/>
      <c r="ABT314" s="31"/>
      <c r="ABU314" s="31"/>
      <c r="ABV314" s="31"/>
      <c r="ABW314" s="31"/>
      <c r="ABX314" s="31"/>
      <c r="ABY314" s="31"/>
      <c r="ABZ314" s="31"/>
      <c r="ACA314" s="31"/>
      <c r="ACB314" s="31"/>
      <c r="ACC314" s="31"/>
      <c r="ACD314" s="31"/>
      <c r="ACE314" s="31"/>
      <c r="ACF314" s="31"/>
      <c r="ACG314" s="31"/>
      <c r="ACH314" s="31"/>
      <c r="ACI314" s="31"/>
      <c r="ACJ314" s="31"/>
      <c r="ACK314" s="31"/>
      <c r="ACL314" s="31"/>
      <c r="ACM314" s="31"/>
      <c r="ACN314" s="31"/>
      <c r="ACO314" s="31"/>
      <c r="ACP314" s="31"/>
      <c r="ACQ314" s="31"/>
      <c r="ACR314" s="31"/>
      <c r="ACS314" s="31"/>
      <c r="ACT314" s="31"/>
      <c r="ACU314" s="31"/>
      <c r="ACV314" s="31"/>
      <c r="ACW314" s="31"/>
      <c r="ACX314" s="31"/>
      <c r="ACY314" s="31"/>
      <c r="ACZ314" s="31"/>
      <c r="ADA314" s="31"/>
      <c r="ADB314" s="31"/>
      <c r="ADC314" s="31"/>
      <c r="ADD314" s="31"/>
      <c r="ADE314" s="31"/>
      <c r="ADF314" s="31"/>
      <c r="ADG314" s="31"/>
      <c r="ADH314" s="31"/>
      <c r="ADI314" s="31"/>
      <c r="ADJ314" s="31"/>
      <c r="ADK314" s="31"/>
      <c r="ADL314" s="31"/>
      <c r="ADM314" s="31"/>
      <c r="ADN314" s="31"/>
      <c r="ADO314" s="31"/>
      <c r="ADP314" s="31"/>
      <c r="ADQ314" s="31"/>
      <c r="ADR314" s="31"/>
      <c r="ADS314" s="31"/>
      <c r="ADT314" s="31"/>
      <c r="ADU314" s="31"/>
      <c r="ADV314" s="31"/>
      <c r="ADW314" s="31"/>
      <c r="ADX314" s="31"/>
      <c r="ADY314" s="31"/>
      <c r="ADZ314" s="31"/>
      <c r="AEA314" s="31"/>
      <c r="AEB314" s="31"/>
      <c r="AEC314" s="31"/>
      <c r="AED314" s="31"/>
      <c r="AEE314" s="31"/>
      <c r="AEF314" s="31"/>
      <c r="AEG314" s="31"/>
      <c r="AEH314" s="31"/>
      <c r="AEI314" s="31"/>
      <c r="AEJ314" s="31"/>
      <c r="AEK314" s="31"/>
      <c r="AEL314" s="31"/>
      <c r="AEM314" s="31"/>
      <c r="AEN314" s="31"/>
      <c r="AEO314" s="31"/>
      <c r="AEP314" s="31"/>
      <c r="AEQ314" s="31"/>
      <c r="AER314" s="31"/>
      <c r="AES314" s="31"/>
      <c r="AET314" s="31"/>
      <c r="AEU314" s="31"/>
      <c r="AEV314" s="31"/>
      <c r="AEW314" s="31"/>
      <c r="AEX314" s="31"/>
      <c r="AEY314" s="31"/>
      <c r="AEZ314" s="31"/>
      <c r="AFA314" s="31"/>
      <c r="AFB314" s="31"/>
      <c r="AFC314" s="31"/>
      <c r="AFD314" s="31"/>
      <c r="AFE314" s="31"/>
      <c r="AFF314" s="31"/>
      <c r="AFG314" s="31"/>
      <c r="AFH314" s="31"/>
      <c r="AFI314" s="31"/>
      <c r="AFJ314" s="31"/>
      <c r="AFK314" s="31"/>
      <c r="AFL314" s="31"/>
      <c r="AFM314" s="31"/>
      <c r="AFN314" s="31"/>
      <c r="AFO314" s="31"/>
      <c r="AFP314" s="31"/>
      <c r="AFQ314" s="31"/>
      <c r="AFR314" s="31"/>
      <c r="AFS314" s="31"/>
      <c r="AFT314" s="31"/>
      <c r="AFU314" s="31"/>
      <c r="AFV314" s="31"/>
      <c r="AFW314" s="31"/>
      <c r="AFX314" s="31"/>
      <c r="AFY314" s="31"/>
      <c r="AFZ314" s="31"/>
      <c r="AGA314" s="31"/>
      <c r="AGB314" s="31"/>
      <c r="AGC314" s="31"/>
      <c r="AGD314" s="31"/>
      <c r="AGE314" s="31"/>
      <c r="AGF314" s="31"/>
      <c r="AGG314" s="31"/>
      <c r="AGH314" s="31"/>
      <c r="AGI314" s="31"/>
      <c r="AGJ314" s="31"/>
      <c r="AGK314" s="31"/>
      <c r="AGL314" s="31"/>
      <c r="AGM314" s="31"/>
      <c r="AGN314" s="31"/>
      <c r="AGO314" s="31"/>
      <c r="AGP314" s="31"/>
      <c r="AGQ314" s="31"/>
      <c r="AGR314" s="31"/>
      <c r="AGS314" s="31"/>
      <c r="AGT314" s="31"/>
      <c r="AGU314" s="31"/>
      <c r="AGV314" s="31"/>
      <c r="AGW314" s="31"/>
      <c r="AGX314" s="31"/>
      <c r="AGY314" s="31"/>
      <c r="AGZ314" s="31"/>
      <c r="AHA314" s="31"/>
      <c r="AHB314" s="31"/>
      <c r="AHC314" s="31"/>
      <c r="AHD314" s="31"/>
      <c r="AHE314" s="31"/>
      <c r="AHF314" s="31"/>
      <c r="AHG314" s="31"/>
      <c r="AHH314" s="31"/>
      <c r="AHI314" s="31"/>
      <c r="AHJ314" s="31"/>
      <c r="AHK314" s="31"/>
      <c r="AHL314" s="31"/>
      <c r="AHM314" s="31"/>
      <c r="AHN314" s="31"/>
      <c r="AHO314" s="31"/>
      <c r="AHP314" s="31"/>
      <c r="AHQ314" s="31"/>
      <c r="AHR314" s="31"/>
      <c r="AHS314" s="31"/>
      <c r="AHT314" s="31"/>
      <c r="AHU314" s="31"/>
      <c r="AHV314" s="31"/>
      <c r="AHW314" s="31"/>
      <c r="AHX314" s="31"/>
      <c r="AHY314" s="31"/>
      <c r="AHZ314" s="31"/>
      <c r="AIA314" s="31"/>
      <c r="AIB314" s="31"/>
      <c r="AIC314" s="31"/>
      <c r="AID314" s="31"/>
      <c r="AIE314" s="31"/>
      <c r="AIF314" s="31"/>
      <c r="AIG314" s="31"/>
      <c r="AIH314" s="31"/>
      <c r="AII314" s="31"/>
      <c r="AIJ314" s="31"/>
      <c r="AIK314" s="31"/>
      <c r="AIL314" s="31"/>
      <c r="AIM314" s="31"/>
      <c r="AIN314" s="31"/>
      <c r="AIO314" s="31"/>
      <c r="AIP314" s="31"/>
      <c r="AIQ314" s="31"/>
      <c r="AIR314" s="31"/>
      <c r="AIS314" s="31"/>
      <c r="AIT314" s="31"/>
      <c r="AIU314" s="31"/>
      <c r="AIV314" s="31"/>
      <c r="AIW314" s="31"/>
      <c r="AIX314" s="31"/>
      <c r="AIY314" s="31"/>
      <c r="AIZ314" s="31"/>
      <c r="AJA314" s="31"/>
      <c r="AJB314" s="31"/>
      <c r="AJC314" s="31"/>
      <c r="AJD314" s="31"/>
      <c r="AJE314" s="31"/>
      <c r="AJF314" s="31"/>
      <c r="AJG314" s="31"/>
      <c r="AJH314" s="31"/>
      <c r="AJI314" s="31"/>
      <c r="AJJ314" s="31"/>
      <c r="AJK314" s="31"/>
      <c r="AJL314" s="31"/>
      <c r="AJM314" s="31"/>
      <c r="AJN314" s="31"/>
      <c r="AJO314" s="31"/>
      <c r="AJP314" s="31"/>
      <c r="AJQ314" s="31"/>
      <c r="AJR314" s="31"/>
      <c r="AJS314" s="31"/>
      <c r="AJT314" s="31"/>
      <c r="AJU314" s="31"/>
      <c r="AJV314" s="31"/>
      <c r="AJW314" s="31"/>
      <c r="AJX314" s="31"/>
      <c r="AJY314" s="31"/>
      <c r="AJZ314" s="31"/>
      <c r="AKA314" s="31"/>
      <c r="AKB314" s="31"/>
      <c r="AKC314" s="31"/>
      <c r="AKD314" s="31"/>
      <c r="AKE314" s="31"/>
      <c r="AKF314" s="31"/>
      <c r="AKG314" s="31"/>
      <c r="AKH314" s="31"/>
      <c r="AKI314" s="31"/>
      <c r="AKJ314" s="31"/>
      <c r="AKK314" s="31"/>
      <c r="AKL314" s="31"/>
      <c r="AKM314" s="31"/>
      <c r="AKN314" s="31"/>
      <c r="AKO314" s="31"/>
      <c r="AKP314" s="31"/>
      <c r="AKQ314" s="31"/>
      <c r="AKR314" s="31"/>
      <c r="AKS314" s="31"/>
      <c r="AKT314" s="31"/>
      <c r="AKU314" s="31"/>
      <c r="AKV314" s="31"/>
      <c r="AKW314" s="31"/>
      <c r="AKX314" s="31"/>
      <c r="AKY314" s="31"/>
      <c r="AKZ314" s="31"/>
      <c r="ALA314" s="31"/>
      <c r="ALB314" s="31"/>
      <c r="ALC314" s="31"/>
      <c r="ALD314" s="31"/>
      <c r="ALE314" s="31"/>
      <c r="ALF314" s="31"/>
      <c r="ALG314" s="31"/>
      <c r="ALH314" s="31"/>
      <c r="ALI314" s="31"/>
      <c r="ALJ314" s="31"/>
      <c r="ALK314" s="31"/>
      <c r="ALL314" s="31"/>
      <c r="ALM314" s="31"/>
      <c r="ALN314" s="31"/>
      <c r="ALO314" s="31"/>
      <c r="ALP314" s="31"/>
      <c r="ALQ314" s="31"/>
      <c r="ALR314" s="31"/>
      <c r="ALS314" s="31"/>
      <c r="ALT314" s="31"/>
      <c r="ALU314" s="31"/>
      <c r="ALV314" s="31"/>
      <c r="ALW314" s="31"/>
      <c r="ALX314" s="31"/>
      <c r="ALY314" s="31"/>
      <c r="ALZ314" s="31"/>
      <c r="AMA314" s="31"/>
      <c r="AMB314" s="31"/>
      <c r="AMC314" s="31"/>
      <c r="AMD314" s="31"/>
      <c r="AME314" s="31"/>
      <c r="AMF314" s="31"/>
      <c r="AMG314" s="31"/>
      <c r="AMH314" s="31"/>
      <c r="AMI314" s="31"/>
      <c r="AMJ314" s="31"/>
      <c r="AMK314" s="31"/>
      <c r="AML314" s="31"/>
    </row>
    <row r="315" spans="1:1027" s="47" customFormat="1" x14ac:dyDescent="0.2">
      <c r="A315" s="1"/>
      <c r="B315" s="1"/>
      <c r="C315" s="1"/>
      <c r="D315" s="1">
        <f>SUM(D133:D314)</f>
        <v>32773</v>
      </c>
      <c r="E315" s="10"/>
      <c r="F315" s="10"/>
      <c r="G315" s="11"/>
      <c r="H315" s="10"/>
      <c r="I315" s="10"/>
      <c r="J315" s="10"/>
      <c r="K315" s="12"/>
      <c r="L315" s="1"/>
      <c r="M315" s="1"/>
      <c r="N315" s="1"/>
      <c r="O315" s="1"/>
      <c r="P315" s="1"/>
      <c r="Q315" s="1"/>
      <c r="R315" s="1"/>
      <c r="S315" s="13"/>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c r="DV315" s="18"/>
      <c r="DW315" s="18"/>
      <c r="DX315" s="18"/>
      <c r="DY315" s="18"/>
      <c r="DZ315" s="18"/>
      <c r="EA315" s="18"/>
      <c r="EB315" s="18"/>
      <c r="EC315" s="18"/>
      <c r="ED315" s="18"/>
      <c r="EE315" s="18"/>
      <c r="EF315" s="18"/>
      <c r="EG315" s="18"/>
      <c r="EH315" s="18"/>
      <c r="EI315" s="18"/>
      <c r="EJ315" s="18"/>
      <c r="EK315" s="18"/>
      <c r="EL315" s="18"/>
      <c r="EM315" s="18"/>
      <c r="EN315" s="18"/>
      <c r="EO315" s="18"/>
      <c r="EP315" s="18"/>
      <c r="EQ315" s="18"/>
      <c r="ER315" s="18"/>
      <c r="ES315" s="18"/>
      <c r="ET315" s="18"/>
      <c r="EU315" s="18"/>
      <c r="EV315" s="18"/>
      <c r="EW315" s="18"/>
      <c r="EX315" s="18"/>
      <c r="EY315" s="18"/>
      <c r="EZ315" s="18"/>
      <c r="FA315" s="18"/>
      <c r="FB315" s="18"/>
      <c r="FC315" s="18"/>
      <c r="FD315" s="18"/>
      <c r="FE315" s="18"/>
      <c r="FF315" s="18"/>
      <c r="FG315" s="18"/>
      <c r="FH315" s="18"/>
      <c r="FI315" s="18"/>
      <c r="FJ315" s="18"/>
      <c r="FK315" s="18"/>
      <c r="FL315" s="18"/>
      <c r="FM315" s="18"/>
      <c r="FN315" s="18"/>
      <c r="FO315" s="18"/>
      <c r="FP315" s="18"/>
      <c r="FQ315" s="18"/>
      <c r="FR315" s="18"/>
      <c r="FS315" s="18"/>
      <c r="FT315" s="18"/>
      <c r="FU315" s="18"/>
      <c r="FV315" s="18"/>
      <c r="FW315" s="18"/>
      <c r="FX315" s="18"/>
      <c r="FY315" s="18"/>
      <c r="FZ315" s="18"/>
      <c r="GA315" s="18"/>
      <c r="GB315" s="18"/>
      <c r="GC315" s="18"/>
      <c r="GD315" s="18"/>
      <c r="GE315" s="18"/>
      <c r="GF315" s="18"/>
      <c r="GG315" s="18"/>
      <c r="GH315" s="18"/>
      <c r="GI315" s="18"/>
      <c r="GJ315" s="18"/>
      <c r="GK315" s="18"/>
      <c r="GL315" s="18"/>
      <c r="GM315" s="18"/>
      <c r="GN315" s="18"/>
      <c r="GO315" s="18"/>
      <c r="GP315" s="18"/>
      <c r="GQ315" s="18"/>
      <c r="GR315" s="18"/>
      <c r="GS315" s="18"/>
      <c r="GT315" s="18"/>
      <c r="GU315" s="18"/>
      <c r="GV315" s="18"/>
      <c r="GW315" s="18"/>
      <c r="GX315" s="18"/>
      <c r="GY315" s="18"/>
      <c r="GZ315" s="18"/>
      <c r="HA315" s="18"/>
      <c r="HB315" s="18"/>
      <c r="HC315" s="18"/>
      <c r="HD315" s="18"/>
      <c r="HE315" s="18"/>
      <c r="HF315" s="18"/>
      <c r="HG315" s="18"/>
      <c r="HH315" s="18"/>
      <c r="HI315" s="18"/>
      <c r="HJ315" s="18"/>
      <c r="HK315" s="18"/>
      <c r="HL315" s="18"/>
      <c r="HM315" s="18"/>
      <c r="HN315" s="18"/>
      <c r="HO315" s="18"/>
      <c r="HP315" s="18"/>
      <c r="HQ315" s="18"/>
      <c r="HR315" s="18"/>
      <c r="HS315" s="18"/>
      <c r="HT315" s="18"/>
      <c r="HU315" s="18"/>
      <c r="HV315" s="18"/>
      <c r="HW315" s="18"/>
      <c r="HX315" s="18"/>
      <c r="HY315" s="18"/>
      <c r="HZ315" s="18"/>
      <c r="IA315" s="18"/>
      <c r="IB315" s="18"/>
      <c r="IC315" s="18"/>
      <c r="ID315" s="18"/>
      <c r="IE315" s="18"/>
      <c r="IF315" s="18"/>
      <c r="IG315" s="18"/>
      <c r="IH315" s="18"/>
      <c r="II315" s="18"/>
      <c r="IJ315" s="18"/>
      <c r="IK315" s="18"/>
      <c r="IL315" s="18"/>
      <c r="IM315" s="18"/>
      <c r="IN315" s="18"/>
      <c r="IO315" s="18"/>
      <c r="IP315" s="18"/>
      <c r="IQ315" s="18"/>
      <c r="IR315" s="18"/>
      <c r="IS315" s="18"/>
      <c r="IT315" s="18"/>
      <c r="IU315" s="18"/>
      <c r="IV315" s="18"/>
      <c r="IW315" s="18"/>
      <c r="IX315" s="18"/>
      <c r="IY315" s="18"/>
      <c r="IZ315" s="18"/>
      <c r="JA315" s="18"/>
      <c r="JB315" s="18"/>
      <c r="JC315" s="18"/>
      <c r="JD315" s="18"/>
      <c r="JE315" s="18"/>
      <c r="JF315" s="18"/>
      <c r="JG315" s="18"/>
      <c r="JH315" s="18"/>
      <c r="JI315" s="18"/>
      <c r="JJ315" s="18"/>
      <c r="JK315" s="18"/>
      <c r="JL315" s="18"/>
      <c r="JM315" s="18"/>
      <c r="JN315" s="18"/>
      <c r="JO315" s="18"/>
      <c r="JP315" s="18"/>
      <c r="JQ315" s="18"/>
      <c r="JR315" s="18"/>
      <c r="JS315" s="18"/>
      <c r="JT315" s="18"/>
      <c r="JU315" s="18"/>
      <c r="JV315" s="18"/>
      <c r="JW315" s="18"/>
      <c r="JX315" s="18"/>
      <c r="JY315" s="18"/>
      <c r="JZ315" s="18"/>
      <c r="KA315" s="18"/>
      <c r="KB315" s="18"/>
      <c r="KC315" s="18"/>
      <c r="KD315" s="18"/>
      <c r="KE315" s="18"/>
      <c r="KF315" s="18"/>
      <c r="KG315" s="18"/>
      <c r="KH315" s="18"/>
      <c r="KI315" s="18"/>
      <c r="KJ315" s="18"/>
      <c r="KK315" s="18"/>
      <c r="KL315" s="18"/>
      <c r="KM315" s="18"/>
      <c r="KN315" s="18"/>
      <c r="KO315" s="18"/>
      <c r="KP315" s="18"/>
      <c r="KQ315" s="18"/>
      <c r="KR315" s="18"/>
      <c r="KS315" s="18"/>
      <c r="KT315" s="18"/>
      <c r="KU315" s="18"/>
      <c r="KV315" s="18"/>
      <c r="KW315" s="18"/>
      <c r="KX315" s="18"/>
      <c r="KY315" s="18"/>
      <c r="KZ315" s="18"/>
      <c r="LA315" s="18"/>
      <c r="LB315" s="18"/>
      <c r="LC315" s="18"/>
      <c r="LD315" s="18"/>
      <c r="LE315" s="18"/>
      <c r="LF315" s="18"/>
      <c r="LG315" s="18"/>
      <c r="LH315" s="18"/>
      <c r="LI315" s="18"/>
      <c r="LJ315" s="18"/>
      <c r="LK315" s="18"/>
      <c r="LL315" s="18"/>
      <c r="LM315" s="18"/>
      <c r="LN315" s="18"/>
      <c r="LO315" s="18"/>
      <c r="LP315" s="18"/>
      <c r="LQ315" s="18"/>
      <c r="LR315" s="18"/>
      <c r="LS315" s="18"/>
      <c r="LT315" s="18"/>
      <c r="LU315" s="18"/>
      <c r="LV315" s="18"/>
      <c r="LW315" s="18"/>
      <c r="LX315" s="18"/>
      <c r="LY315" s="18"/>
      <c r="LZ315" s="18"/>
      <c r="MA315" s="18"/>
      <c r="MB315" s="18"/>
      <c r="MC315" s="18"/>
      <c r="MD315" s="18"/>
      <c r="ME315" s="18"/>
      <c r="MF315" s="18"/>
      <c r="MG315" s="18"/>
      <c r="MH315" s="18"/>
      <c r="MI315" s="18"/>
      <c r="MJ315" s="18"/>
      <c r="MK315" s="18"/>
      <c r="ML315" s="18"/>
      <c r="MM315" s="18"/>
      <c r="MN315" s="18"/>
      <c r="MO315" s="18"/>
      <c r="MP315" s="18"/>
      <c r="MQ315" s="18"/>
      <c r="MR315" s="18"/>
      <c r="MS315" s="18"/>
      <c r="MT315" s="18"/>
      <c r="MU315" s="18"/>
      <c r="MV315" s="18"/>
      <c r="MW315" s="18"/>
      <c r="MX315" s="18"/>
      <c r="MY315" s="18"/>
      <c r="MZ315" s="18"/>
      <c r="NA315" s="18"/>
      <c r="NB315" s="18"/>
      <c r="NC315" s="18"/>
      <c r="ND315" s="18"/>
      <c r="NE315" s="18"/>
      <c r="NF315" s="18"/>
      <c r="NG315" s="18"/>
      <c r="NH315" s="18"/>
      <c r="NI315" s="18"/>
      <c r="NJ315" s="18"/>
      <c r="NK315" s="18"/>
      <c r="NL315" s="18"/>
      <c r="NM315" s="18"/>
      <c r="NN315" s="18"/>
      <c r="NO315" s="18"/>
      <c r="NP315" s="18"/>
      <c r="NQ315" s="18"/>
      <c r="NR315" s="18"/>
      <c r="NS315" s="18"/>
      <c r="NT315" s="18"/>
      <c r="NU315" s="18"/>
      <c r="NV315" s="18"/>
      <c r="NW315" s="18"/>
      <c r="NX315" s="18"/>
      <c r="NY315" s="18"/>
      <c r="NZ315" s="18"/>
      <c r="OA315" s="18"/>
      <c r="OB315" s="18"/>
      <c r="OC315" s="18"/>
      <c r="OD315" s="18"/>
      <c r="OE315" s="18"/>
      <c r="OF315" s="18"/>
      <c r="OG315" s="18"/>
      <c r="OH315" s="18"/>
      <c r="OI315" s="18"/>
      <c r="OJ315" s="18"/>
      <c r="OK315" s="18"/>
      <c r="OL315" s="18"/>
      <c r="OM315" s="18"/>
      <c r="ON315" s="18"/>
      <c r="OO315" s="18"/>
      <c r="OP315" s="18"/>
      <c r="OQ315" s="18"/>
      <c r="OR315" s="18"/>
      <c r="OS315" s="18"/>
      <c r="OT315" s="18"/>
      <c r="OU315" s="18"/>
      <c r="OV315" s="18"/>
      <c r="OW315" s="18"/>
      <c r="OX315" s="18"/>
      <c r="OY315" s="18"/>
      <c r="OZ315" s="18"/>
      <c r="PA315" s="18"/>
      <c r="PB315" s="18"/>
      <c r="PC315" s="18"/>
      <c r="PD315" s="18"/>
      <c r="PE315" s="18"/>
      <c r="PF315" s="18"/>
      <c r="PG315" s="18"/>
      <c r="PH315" s="18"/>
      <c r="PI315" s="18"/>
      <c r="PJ315" s="18"/>
      <c r="PK315" s="18"/>
      <c r="PL315" s="18"/>
      <c r="PM315" s="18"/>
      <c r="PN315" s="18"/>
      <c r="PO315" s="18"/>
      <c r="PP315" s="18"/>
      <c r="PQ315" s="18"/>
      <c r="PR315" s="18"/>
      <c r="PS315" s="18"/>
      <c r="PT315" s="18"/>
      <c r="PU315" s="18"/>
      <c r="PV315" s="18"/>
      <c r="PW315" s="18"/>
      <c r="PX315" s="18"/>
      <c r="PY315" s="18"/>
      <c r="PZ315" s="18"/>
      <c r="QA315" s="18"/>
      <c r="QB315" s="18"/>
      <c r="QC315" s="18"/>
      <c r="QD315" s="18"/>
      <c r="QE315" s="18"/>
      <c r="QF315" s="18"/>
      <c r="QG315" s="18"/>
      <c r="QH315" s="18"/>
      <c r="QI315" s="18"/>
      <c r="QJ315" s="18"/>
      <c r="QK315" s="18"/>
      <c r="QL315" s="18"/>
      <c r="QM315" s="18"/>
      <c r="QN315" s="18"/>
      <c r="QO315" s="18"/>
      <c r="QP315" s="18"/>
      <c r="QQ315" s="18"/>
      <c r="QR315" s="18"/>
      <c r="QS315" s="18"/>
      <c r="QT315" s="18"/>
      <c r="QU315" s="18"/>
      <c r="QV315" s="18"/>
      <c r="QW315" s="18"/>
      <c r="QX315" s="18"/>
      <c r="QY315" s="18"/>
      <c r="QZ315" s="18"/>
      <c r="RA315" s="18"/>
      <c r="RB315" s="18"/>
      <c r="RC315" s="18"/>
      <c r="RD315" s="18"/>
      <c r="RE315" s="18"/>
      <c r="RF315" s="18"/>
      <c r="RG315" s="18"/>
      <c r="RH315" s="18"/>
      <c r="RI315" s="18"/>
      <c r="RJ315" s="18"/>
      <c r="RK315" s="18"/>
      <c r="RL315" s="18"/>
      <c r="RM315" s="18"/>
      <c r="RN315" s="18"/>
      <c r="RO315" s="18"/>
      <c r="RP315" s="18"/>
      <c r="RQ315" s="18"/>
      <c r="RR315" s="18"/>
      <c r="RS315" s="18"/>
      <c r="RT315" s="18"/>
      <c r="RU315" s="18"/>
      <c r="RV315" s="18"/>
      <c r="RW315" s="18"/>
      <c r="RX315" s="18"/>
      <c r="RY315" s="18"/>
      <c r="RZ315" s="18"/>
      <c r="SA315" s="18"/>
      <c r="SB315" s="18"/>
      <c r="SC315" s="18"/>
      <c r="SD315" s="18"/>
      <c r="SE315" s="18"/>
      <c r="SF315" s="18"/>
      <c r="SG315" s="18"/>
      <c r="SH315" s="18"/>
      <c r="SI315" s="18"/>
      <c r="SJ315" s="18"/>
      <c r="SK315" s="18"/>
      <c r="SL315" s="18"/>
      <c r="SM315" s="18"/>
      <c r="SN315" s="18"/>
      <c r="SO315" s="18"/>
      <c r="SP315" s="18"/>
      <c r="SQ315" s="18"/>
      <c r="SR315" s="18"/>
      <c r="SS315" s="18"/>
      <c r="ST315" s="18"/>
      <c r="SU315" s="18"/>
      <c r="SV315" s="18"/>
      <c r="SW315" s="18"/>
      <c r="SX315" s="18"/>
      <c r="SY315" s="18"/>
      <c r="SZ315" s="18"/>
      <c r="TA315" s="18"/>
      <c r="TB315" s="18"/>
      <c r="TC315" s="18"/>
      <c r="TD315" s="18"/>
      <c r="TE315" s="18"/>
      <c r="TF315" s="18"/>
      <c r="TG315" s="18"/>
      <c r="TH315" s="18"/>
      <c r="TI315" s="18"/>
      <c r="TJ315" s="18"/>
      <c r="TK315" s="18"/>
      <c r="TL315" s="18"/>
      <c r="TM315" s="18"/>
      <c r="TN315" s="18"/>
      <c r="TO315" s="18"/>
      <c r="TP315" s="18"/>
      <c r="TQ315" s="18"/>
      <c r="TR315" s="18"/>
      <c r="TS315" s="18"/>
      <c r="TT315" s="18"/>
      <c r="TU315" s="18"/>
      <c r="TV315" s="18"/>
      <c r="TW315" s="18"/>
      <c r="TX315" s="18"/>
      <c r="TY315" s="18"/>
      <c r="TZ315" s="18"/>
      <c r="UA315" s="18"/>
      <c r="UB315" s="18"/>
      <c r="UC315" s="18"/>
      <c r="UD315" s="18"/>
      <c r="UE315" s="18"/>
      <c r="UF315" s="18"/>
      <c r="UG315" s="18"/>
      <c r="UH315" s="18"/>
      <c r="UI315" s="18"/>
      <c r="UJ315" s="18"/>
      <c r="UK315" s="18"/>
      <c r="UL315" s="18"/>
      <c r="UM315" s="18"/>
      <c r="UN315" s="18"/>
      <c r="UO315" s="18"/>
      <c r="UP315" s="18"/>
      <c r="UQ315" s="18"/>
      <c r="UR315" s="18"/>
      <c r="US315" s="18"/>
      <c r="UT315" s="18"/>
      <c r="UU315" s="18"/>
      <c r="UV315" s="18"/>
      <c r="UW315" s="18"/>
      <c r="UX315" s="18"/>
      <c r="UY315" s="18"/>
      <c r="UZ315" s="18"/>
      <c r="VA315" s="18"/>
      <c r="VB315" s="18"/>
      <c r="VC315" s="18"/>
      <c r="VD315" s="18"/>
      <c r="VE315" s="18"/>
      <c r="VF315" s="18"/>
      <c r="VG315" s="18"/>
      <c r="VH315" s="18"/>
      <c r="VI315" s="18"/>
      <c r="VJ315" s="18"/>
      <c r="VK315" s="18"/>
      <c r="VL315" s="18"/>
      <c r="VM315" s="18"/>
      <c r="VN315" s="18"/>
      <c r="VO315" s="18"/>
      <c r="VP315" s="18"/>
      <c r="VQ315" s="18"/>
      <c r="VR315" s="18"/>
      <c r="VS315" s="18"/>
      <c r="VT315" s="18"/>
      <c r="VU315" s="18"/>
      <c r="VV315" s="18"/>
      <c r="VW315" s="18"/>
      <c r="VX315" s="18"/>
      <c r="VY315" s="18"/>
      <c r="VZ315" s="18"/>
      <c r="WA315" s="18"/>
      <c r="WB315" s="18"/>
      <c r="WC315" s="18"/>
      <c r="WD315" s="18"/>
      <c r="WE315" s="18"/>
      <c r="WF315" s="18"/>
      <c r="WG315" s="18"/>
      <c r="WH315" s="18"/>
      <c r="WI315" s="18"/>
      <c r="WJ315" s="18"/>
      <c r="WK315" s="18"/>
      <c r="WL315" s="18"/>
      <c r="WM315" s="18"/>
      <c r="WN315" s="18"/>
      <c r="WO315" s="18"/>
      <c r="WP315" s="18"/>
      <c r="WQ315" s="18"/>
      <c r="WR315" s="18"/>
      <c r="WS315" s="18"/>
      <c r="WT315" s="18"/>
      <c r="WU315" s="18"/>
      <c r="WV315" s="18"/>
      <c r="WW315" s="18"/>
      <c r="WX315" s="18"/>
      <c r="WY315" s="18"/>
      <c r="WZ315" s="18"/>
      <c r="XA315" s="18"/>
      <c r="XB315" s="18"/>
      <c r="XC315" s="18"/>
      <c r="XD315" s="18"/>
      <c r="XE315" s="18"/>
      <c r="XF315" s="18"/>
      <c r="XG315" s="18"/>
      <c r="XH315" s="18"/>
      <c r="XI315" s="18"/>
      <c r="XJ315" s="18"/>
      <c r="XK315" s="18"/>
      <c r="XL315" s="18"/>
      <c r="XM315" s="18"/>
      <c r="XN315" s="18"/>
      <c r="XO315" s="18"/>
      <c r="XP315" s="18"/>
      <c r="XQ315" s="18"/>
      <c r="XR315" s="18"/>
      <c r="XS315" s="18"/>
      <c r="XT315" s="18"/>
      <c r="XU315" s="18"/>
      <c r="XV315" s="18"/>
      <c r="XW315" s="18"/>
      <c r="XX315" s="18"/>
      <c r="XY315" s="18"/>
      <c r="XZ315" s="18"/>
      <c r="YA315" s="18"/>
      <c r="YB315" s="18"/>
      <c r="YC315" s="18"/>
      <c r="YD315" s="18"/>
      <c r="YE315" s="18"/>
      <c r="YF315" s="18"/>
      <c r="YG315" s="18"/>
      <c r="YH315" s="18"/>
      <c r="YI315" s="18"/>
      <c r="YJ315" s="18"/>
      <c r="YK315" s="18"/>
      <c r="YL315" s="18"/>
      <c r="YM315" s="18"/>
      <c r="YN315" s="18"/>
      <c r="YO315" s="18"/>
      <c r="YP315" s="18"/>
      <c r="YQ315" s="18"/>
      <c r="YR315" s="18"/>
      <c r="YS315" s="18"/>
      <c r="YT315" s="18"/>
      <c r="YU315" s="18"/>
      <c r="YV315" s="18"/>
      <c r="YW315" s="18"/>
      <c r="YX315" s="18"/>
      <c r="YY315" s="18"/>
      <c r="YZ315" s="18"/>
      <c r="ZA315" s="18"/>
      <c r="ZB315" s="18"/>
      <c r="ZC315" s="18"/>
      <c r="ZD315" s="18"/>
      <c r="ZE315" s="18"/>
      <c r="ZF315" s="18"/>
      <c r="ZG315" s="18"/>
      <c r="ZH315" s="18"/>
      <c r="ZI315" s="18"/>
      <c r="ZJ315" s="18"/>
      <c r="ZK315" s="18"/>
      <c r="ZL315" s="18"/>
      <c r="ZM315" s="18"/>
      <c r="ZN315" s="18"/>
      <c r="ZO315" s="18"/>
      <c r="ZP315" s="18"/>
      <c r="ZQ315" s="18"/>
      <c r="ZR315" s="18"/>
      <c r="ZS315" s="18"/>
      <c r="ZT315" s="18"/>
      <c r="ZU315" s="18"/>
      <c r="ZV315" s="18"/>
      <c r="ZW315" s="18"/>
      <c r="ZX315" s="18"/>
      <c r="ZY315" s="18"/>
      <c r="ZZ315" s="18"/>
      <c r="AAA315" s="18"/>
      <c r="AAB315" s="18"/>
      <c r="AAC315" s="18"/>
      <c r="AAD315" s="18"/>
      <c r="AAE315" s="18"/>
      <c r="AAF315" s="18"/>
      <c r="AAG315" s="18"/>
      <c r="AAH315" s="18"/>
      <c r="AAI315" s="18"/>
      <c r="AAJ315" s="18"/>
      <c r="AAK315" s="18"/>
      <c r="AAL315" s="18"/>
      <c r="AAM315" s="18"/>
      <c r="AAN315" s="18"/>
      <c r="AAO315" s="18"/>
      <c r="AAP315" s="18"/>
      <c r="AAQ315" s="18"/>
      <c r="AAR315" s="18"/>
      <c r="AAS315" s="18"/>
      <c r="AAT315" s="18"/>
      <c r="AAU315" s="18"/>
      <c r="AAV315" s="18"/>
      <c r="AAW315" s="18"/>
      <c r="AAX315" s="18"/>
      <c r="AAY315" s="18"/>
      <c r="AAZ315" s="18"/>
      <c r="ABA315" s="18"/>
      <c r="ABB315" s="18"/>
      <c r="ABC315" s="18"/>
      <c r="ABD315" s="18"/>
      <c r="ABE315" s="18"/>
      <c r="ABF315" s="18"/>
      <c r="ABG315" s="18"/>
      <c r="ABH315" s="18"/>
      <c r="ABI315" s="18"/>
      <c r="ABJ315" s="18"/>
      <c r="ABK315" s="18"/>
      <c r="ABL315" s="18"/>
      <c r="ABM315" s="18"/>
      <c r="ABN315" s="18"/>
      <c r="ABO315" s="18"/>
      <c r="ABP315" s="18"/>
      <c r="ABQ315" s="18"/>
      <c r="ABR315" s="18"/>
      <c r="ABS315" s="18"/>
      <c r="ABT315" s="18"/>
      <c r="ABU315" s="18"/>
      <c r="ABV315" s="18"/>
      <c r="ABW315" s="18"/>
      <c r="ABX315" s="18"/>
      <c r="ABY315" s="18"/>
      <c r="ABZ315" s="18"/>
      <c r="ACA315" s="18"/>
      <c r="ACB315" s="18"/>
      <c r="ACC315" s="18"/>
      <c r="ACD315" s="18"/>
      <c r="ACE315" s="18"/>
      <c r="ACF315" s="18"/>
      <c r="ACG315" s="18"/>
      <c r="ACH315" s="18"/>
      <c r="ACI315" s="18"/>
      <c r="ACJ315" s="18"/>
      <c r="ACK315" s="18"/>
      <c r="ACL315" s="18"/>
      <c r="ACM315" s="18"/>
      <c r="ACN315" s="18"/>
      <c r="ACO315" s="18"/>
      <c r="ACP315" s="18"/>
      <c r="ACQ315" s="18"/>
      <c r="ACR315" s="18"/>
      <c r="ACS315" s="18"/>
      <c r="ACT315" s="18"/>
      <c r="ACU315" s="18"/>
      <c r="ACV315" s="18"/>
      <c r="ACW315" s="18"/>
      <c r="ACX315" s="18"/>
      <c r="ACY315" s="18"/>
      <c r="ACZ315" s="18"/>
      <c r="ADA315" s="18"/>
      <c r="ADB315" s="18"/>
      <c r="ADC315" s="18"/>
      <c r="ADD315" s="18"/>
      <c r="ADE315" s="18"/>
      <c r="ADF315" s="18"/>
      <c r="ADG315" s="18"/>
      <c r="ADH315" s="18"/>
      <c r="ADI315" s="18"/>
      <c r="ADJ315" s="18"/>
      <c r="ADK315" s="18"/>
      <c r="ADL315" s="18"/>
      <c r="ADM315" s="18"/>
      <c r="ADN315" s="18"/>
      <c r="ADO315" s="18"/>
      <c r="ADP315" s="18"/>
      <c r="ADQ315" s="18"/>
      <c r="ADR315" s="18"/>
      <c r="ADS315" s="18"/>
      <c r="ADT315" s="18"/>
      <c r="ADU315" s="18"/>
      <c r="ADV315" s="18"/>
      <c r="ADW315" s="18"/>
      <c r="ADX315" s="18"/>
      <c r="ADY315" s="18"/>
      <c r="ADZ315" s="18"/>
      <c r="AEA315" s="18"/>
      <c r="AEB315" s="18"/>
      <c r="AEC315" s="18"/>
      <c r="AED315" s="18"/>
      <c r="AEE315" s="18"/>
      <c r="AEF315" s="18"/>
      <c r="AEG315" s="18"/>
      <c r="AEH315" s="18"/>
      <c r="AEI315" s="18"/>
      <c r="AEJ315" s="18"/>
      <c r="AEK315" s="18"/>
      <c r="AEL315" s="18"/>
      <c r="AEM315" s="18"/>
      <c r="AEN315" s="18"/>
      <c r="AEO315" s="18"/>
      <c r="AEP315" s="18"/>
      <c r="AEQ315" s="18"/>
      <c r="AER315" s="18"/>
      <c r="AES315" s="18"/>
      <c r="AET315" s="18"/>
      <c r="AEU315" s="18"/>
      <c r="AEV315" s="18"/>
      <c r="AEW315" s="18"/>
      <c r="AEX315" s="18"/>
      <c r="AEY315" s="18"/>
      <c r="AEZ315" s="18"/>
      <c r="AFA315" s="18"/>
      <c r="AFB315" s="18"/>
      <c r="AFC315" s="18"/>
      <c r="AFD315" s="18"/>
      <c r="AFE315" s="18"/>
      <c r="AFF315" s="18"/>
      <c r="AFG315" s="18"/>
      <c r="AFH315" s="18"/>
      <c r="AFI315" s="18"/>
      <c r="AFJ315" s="18"/>
      <c r="AFK315" s="18"/>
      <c r="AFL315" s="18"/>
      <c r="AFM315" s="18"/>
      <c r="AFN315" s="18"/>
      <c r="AFO315" s="18"/>
      <c r="AFP315" s="18"/>
      <c r="AFQ315" s="18"/>
      <c r="AFR315" s="18"/>
      <c r="AFS315" s="18"/>
      <c r="AFT315" s="18"/>
      <c r="AFU315" s="18"/>
      <c r="AFV315" s="18"/>
      <c r="AFW315" s="18"/>
      <c r="AFX315" s="18"/>
      <c r="AFY315" s="18"/>
      <c r="AFZ315" s="18"/>
      <c r="AGA315" s="18"/>
      <c r="AGB315" s="18"/>
      <c r="AGC315" s="18"/>
      <c r="AGD315" s="18"/>
      <c r="AGE315" s="18"/>
      <c r="AGF315" s="18"/>
      <c r="AGG315" s="18"/>
      <c r="AGH315" s="18"/>
      <c r="AGI315" s="18"/>
      <c r="AGJ315" s="18"/>
      <c r="AGK315" s="18"/>
      <c r="AGL315" s="18"/>
      <c r="AGM315" s="18"/>
      <c r="AGN315" s="18"/>
      <c r="AGO315" s="18"/>
      <c r="AGP315" s="18"/>
      <c r="AGQ315" s="18"/>
      <c r="AGR315" s="18"/>
      <c r="AGS315" s="18"/>
      <c r="AGT315" s="18"/>
      <c r="AGU315" s="18"/>
      <c r="AGV315" s="18"/>
      <c r="AGW315" s="18"/>
      <c r="AGX315" s="18"/>
      <c r="AGY315" s="18"/>
      <c r="AGZ315" s="18"/>
      <c r="AHA315" s="18"/>
      <c r="AHB315" s="18"/>
      <c r="AHC315" s="18"/>
      <c r="AHD315" s="18"/>
      <c r="AHE315" s="18"/>
      <c r="AHF315" s="18"/>
      <c r="AHG315" s="18"/>
      <c r="AHH315" s="18"/>
      <c r="AHI315" s="18"/>
      <c r="AHJ315" s="18"/>
      <c r="AHK315" s="18"/>
      <c r="AHL315" s="18"/>
      <c r="AHM315" s="18"/>
      <c r="AHN315" s="18"/>
      <c r="AHO315" s="18"/>
      <c r="AHP315" s="18"/>
      <c r="AHQ315" s="18"/>
      <c r="AHR315" s="18"/>
      <c r="AHS315" s="18"/>
      <c r="AHT315" s="18"/>
      <c r="AHU315" s="18"/>
      <c r="AHV315" s="18"/>
      <c r="AHW315" s="18"/>
      <c r="AHX315" s="18"/>
      <c r="AHY315" s="18"/>
      <c r="AHZ315" s="18"/>
      <c r="AIA315" s="18"/>
      <c r="AIB315" s="18"/>
      <c r="AIC315" s="18"/>
      <c r="AID315" s="18"/>
      <c r="AIE315" s="18"/>
      <c r="AIF315" s="18"/>
      <c r="AIG315" s="18"/>
      <c r="AIH315" s="18"/>
      <c r="AII315" s="18"/>
      <c r="AIJ315" s="18"/>
      <c r="AIK315" s="18"/>
      <c r="AIL315" s="18"/>
      <c r="AIM315" s="18"/>
      <c r="AIN315" s="18"/>
      <c r="AIO315" s="18"/>
      <c r="AIP315" s="18"/>
      <c r="AIQ315" s="18"/>
      <c r="AIR315" s="18"/>
      <c r="AIS315" s="18"/>
      <c r="AIT315" s="18"/>
      <c r="AIU315" s="18"/>
      <c r="AIV315" s="18"/>
      <c r="AIW315" s="18"/>
      <c r="AIX315" s="18"/>
      <c r="AIY315" s="18"/>
      <c r="AIZ315" s="18"/>
      <c r="AJA315" s="18"/>
      <c r="AJB315" s="18"/>
      <c r="AJC315" s="18"/>
      <c r="AJD315" s="18"/>
      <c r="AJE315" s="18"/>
      <c r="AJF315" s="18"/>
      <c r="AJG315" s="18"/>
      <c r="AJH315" s="18"/>
      <c r="AJI315" s="18"/>
      <c r="AJJ315" s="18"/>
      <c r="AJK315" s="18"/>
      <c r="AJL315" s="18"/>
      <c r="AJM315" s="18"/>
      <c r="AJN315" s="18"/>
      <c r="AJO315" s="18"/>
      <c r="AJP315" s="18"/>
      <c r="AJQ315" s="18"/>
      <c r="AJR315" s="18"/>
      <c r="AJS315" s="18"/>
      <c r="AJT315" s="18"/>
      <c r="AJU315" s="18"/>
      <c r="AJV315" s="18"/>
      <c r="AJW315" s="18"/>
      <c r="AJX315" s="18"/>
      <c r="AJY315" s="18"/>
      <c r="AJZ315" s="18"/>
      <c r="AKA315" s="18"/>
      <c r="AKB315" s="18"/>
      <c r="AKC315" s="18"/>
      <c r="AKD315" s="18"/>
      <c r="AKE315" s="18"/>
      <c r="AKF315" s="18"/>
      <c r="AKG315" s="18"/>
      <c r="AKH315" s="18"/>
      <c r="AKI315" s="18"/>
      <c r="AKJ315" s="18"/>
      <c r="AKK315" s="18"/>
      <c r="AKL315" s="18"/>
      <c r="AKM315" s="18"/>
      <c r="AKN315" s="18"/>
      <c r="AKO315" s="18"/>
      <c r="AKP315" s="18"/>
      <c r="AKQ315" s="18"/>
      <c r="AKR315" s="18"/>
      <c r="AKS315" s="18"/>
      <c r="AKT315" s="18"/>
      <c r="AKU315" s="18"/>
      <c r="AKV315" s="18"/>
      <c r="AKW315" s="18"/>
      <c r="AKX315" s="18"/>
      <c r="AKY315" s="18"/>
      <c r="AKZ315" s="18"/>
      <c r="ALA315" s="18"/>
      <c r="ALB315" s="18"/>
      <c r="ALC315" s="18"/>
      <c r="ALD315" s="18"/>
      <c r="ALE315" s="18"/>
      <c r="ALF315" s="18"/>
      <c r="ALG315" s="18"/>
      <c r="ALH315" s="18"/>
      <c r="ALI315" s="18"/>
      <c r="ALJ315" s="18"/>
      <c r="ALK315" s="18"/>
      <c r="ALL315" s="18"/>
      <c r="ALM315" s="18"/>
      <c r="ALN315" s="18"/>
      <c r="ALO315" s="18"/>
      <c r="ALP315" s="18"/>
      <c r="ALQ315" s="18"/>
      <c r="ALR315" s="18"/>
      <c r="ALS315" s="18"/>
      <c r="ALT315" s="18"/>
      <c r="ALU315" s="18"/>
      <c r="ALV315" s="18"/>
      <c r="ALW315" s="18"/>
      <c r="ALX315" s="18"/>
      <c r="ALY315" s="18"/>
      <c r="ALZ315" s="18"/>
      <c r="AMA315" s="18"/>
      <c r="AMB315" s="18"/>
      <c r="AMC315" s="18"/>
      <c r="AMD315" s="18"/>
      <c r="AME315" s="18"/>
      <c r="AMF315" s="18"/>
      <c r="AMG315" s="18"/>
      <c r="AMH315" s="18"/>
      <c r="AMI315" s="18"/>
      <c r="AMJ315" s="18"/>
      <c r="AMK315" s="18"/>
      <c r="AML315" s="18"/>
      <c r="AMM315" s="31"/>
    </row>
    <row r="316" spans="1:1027" s="31" customFormat="1" x14ac:dyDescent="0.2">
      <c r="A316" s="1"/>
      <c r="B316" s="17"/>
      <c r="C316" s="17"/>
      <c r="D316" s="17"/>
      <c r="E316" s="10"/>
      <c r="F316" s="10"/>
      <c r="G316" s="11"/>
      <c r="H316" s="10"/>
      <c r="I316" s="10"/>
      <c r="J316" s="10"/>
      <c r="K316" s="12"/>
      <c r="L316" s="1"/>
      <c r="M316" s="1"/>
      <c r="N316" s="1"/>
      <c r="O316" s="1"/>
      <c r="P316" s="1"/>
      <c r="Q316" s="1"/>
      <c r="R316" s="1"/>
      <c r="S316" s="13"/>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c r="ADD316" s="1"/>
      <c r="ADE316" s="1"/>
      <c r="ADF316" s="1"/>
      <c r="ADG316" s="1"/>
      <c r="ADH316" s="1"/>
      <c r="ADI316" s="1"/>
      <c r="ADJ316" s="1"/>
      <c r="ADK316" s="1"/>
      <c r="ADL316" s="1"/>
      <c r="ADM316" s="1"/>
      <c r="ADN316" s="1"/>
      <c r="ADO316" s="1"/>
      <c r="ADP316" s="1"/>
      <c r="ADQ316" s="1"/>
      <c r="ADR316" s="1"/>
      <c r="ADS316" s="1"/>
      <c r="ADT316" s="1"/>
      <c r="ADU316" s="1"/>
      <c r="ADV316" s="1"/>
      <c r="ADW316" s="1"/>
      <c r="ADX316" s="1"/>
      <c r="ADY316" s="1"/>
      <c r="ADZ316" s="1"/>
      <c r="AEA316" s="1"/>
      <c r="AEB316" s="1"/>
      <c r="AEC316" s="1"/>
      <c r="AED316" s="1"/>
      <c r="AEE316" s="1"/>
      <c r="AEF316" s="1"/>
      <c r="AEG316" s="1"/>
      <c r="AEH316" s="1"/>
      <c r="AEI316" s="1"/>
      <c r="AEJ316" s="1"/>
      <c r="AEK316" s="1"/>
      <c r="AEL316" s="1"/>
      <c r="AEM316" s="1"/>
      <c r="AEN316" s="1"/>
      <c r="AEO316" s="1"/>
      <c r="AEP316" s="1"/>
      <c r="AEQ316" s="1"/>
      <c r="AER316" s="1"/>
      <c r="AES316" s="1"/>
      <c r="AET316" s="1"/>
      <c r="AEU316" s="1"/>
      <c r="AEV316" s="1"/>
      <c r="AEW316" s="1"/>
      <c r="AEX316" s="1"/>
      <c r="AEY316" s="1"/>
      <c r="AEZ316" s="1"/>
      <c r="AFA316" s="1"/>
      <c r="AFB316" s="1"/>
      <c r="AFC316" s="1"/>
      <c r="AFD316" s="1"/>
      <c r="AFE316" s="1"/>
      <c r="AFF316" s="1"/>
      <c r="AFG316" s="1"/>
      <c r="AFH316" s="1"/>
      <c r="AFI316" s="1"/>
      <c r="AFJ316" s="1"/>
      <c r="AFK316" s="1"/>
      <c r="AFL316" s="1"/>
      <c r="AFM316" s="1"/>
      <c r="AFN316" s="1"/>
      <c r="AFO316" s="1"/>
      <c r="AFP316" s="1"/>
      <c r="AFQ316" s="1"/>
      <c r="AFR316" s="1"/>
      <c r="AFS316" s="1"/>
      <c r="AFT316" s="1"/>
      <c r="AFU316" s="1"/>
      <c r="AFV316" s="1"/>
      <c r="AFW316" s="1"/>
      <c r="AFX316" s="1"/>
      <c r="AFY316" s="1"/>
      <c r="AFZ316" s="1"/>
      <c r="AGA316" s="1"/>
      <c r="AGB316" s="1"/>
      <c r="AGC316" s="1"/>
      <c r="AGD316" s="1"/>
      <c r="AGE316" s="1"/>
      <c r="AGF316" s="1"/>
      <c r="AGG316" s="1"/>
      <c r="AGH316" s="1"/>
      <c r="AGI316" s="1"/>
      <c r="AGJ316" s="1"/>
      <c r="AGK316" s="1"/>
      <c r="AGL316" s="1"/>
      <c r="AGM316" s="1"/>
      <c r="AGN316" s="1"/>
      <c r="AGO316" s="1"/>
      <c r="AGP316" s="1"/>
      <c r="AGQ316" s="1"/>
      <c r="AGR316" s="1"/>
      <c r="AGS316" s="1"/>
      <c r="AGT316" s="1"/>
      <c r="AGU316" s="1"/>
      <c r="AGV316" s="1"/>
      <c r="AGW316" s="1"/>
      <c r="AGX316" s="1"/>
      <c r="AGY316" s="1"/>
      <c r="AGZ316" s="1"/>
      <c r="AHA316" s="1"/>
      <c r="AHB316" s="1"/>
      <c r="AHC316" s="1"/>
      <c r="AHD316" s="1"/>
      <c r="AHE316" s="1"/>
      <c r="AHF316" s="1"/>
      <c r="AHG316" s="1"/>
      <c r="AHH316" s="1"/>
      <c r="AHI316" s="1"/>
      <c r="AHJ316" s="1"/>
      <c r="AHK316" s="1"/>
      <c r="AHL316" s="1"/>
      <c r="AHM316" s="1"/>
      <c r="AHN316" s="1"/>
      <c r="AHO316" s="1"/>
      <c r="AHP316" s="1"/>
      <c r="AHQ316" s="1"/>
      <c r="AHR316" s="1"/>
      <c r="AHS316" s="1"/>
      <c r="AHT316" s="1"/>
      <c r="AHU316" s="1"/>
      <c r="AHV316" s="1"/>
      <c r="AHW316" s="1"/>
      <c r="AHX316" s="1"/>
      <c r="AHY316" s="1"/>
      <c r="AHZ316" s="1"/>
      <c r="AIA316" s="1"/>
      <c r="AIB316" s="1"/>
      <c r="AIC316" s="1"/>
      <c r="AID316" s="1"/>
      <c r="AIE316" s="1"/>
      <c r="AIF316" s="1"/>
      <c r="AIG316" s="1"/>
      <c r="AIH316" s="1"/>
      <c r="AII316" s="1"/>
      <c r="AIJ316" s="1"/>
      <c r="AIK316" s="1"/>
      <c r="AIL316" s="1"/>
      <c r="AIM316" s="1"/>
      <c r="AIN316" s="1"/>
      <c r="AIO316" s="1"/>
      <c r="AIP316" s="1"/>
      <c r="AIQ316" s="1"/>
      <c r="AIR316" s="1"/>
      <c r="AIS316" s="1"/>
      <c r="AIT316" s="1"/>
      <c r="AIU316" s="1"/>
      <c r="AIV316" s="1"/>
      <c r="AIW316" s="1"/>
      <c r="AIX316" s="1"/>
      <c r="AIY316" s="1"/>
      <c r="AIZ316" s="1"/>
      <c r="AJA316" s="1"/>
      <c r="AJB316" s="1"/>
      <c r="AJC316" s="1"/>
      <c r="AJD316" s="1"/>
      <c r="AJE316" s="1"/>
      <c r="AJF316" s="1"/>
      <c r="AJG316" s="1"/>
      <c r="AJH316" s="1"/>
      <c r="AJI316" s="1"/>
      <c r="AJJ316" s="1"/>
      <c r="AJK316" s="1"/>
      <c r="AJL316" s="1"/>
      <c r="AJM316" s="1"/>
      <c r="AJN316" s="1"/>
      <c r="AJO316" s="1"/>
      <c r="AJP316" s="1"/>
      <c r="AJQ316" s="1"/>
      <c r="AJR316" s="1"/>
      <c r="AJS316" s="1"/>
      <c r="AJT316" s="1"/>
      <c r="AJU316" s="1"/>
      <c r="AJV316" s="1"/>
      <c r="AJW316" s="1"/>
      <c r="AJX316" s="1"/>
      <c r="AJY316" s="1"/>
      <c r="AJZ316" s="1"/>
      <c r="AKA316" s="1"/>
      <c r="AKB316" s="1"/>
      <c r="AKC316" s="1"/>
      <c r="AKD316" s="1"/>
      <c r="AKE316" s="1"/>
      <c r="AKF316" s="1"/>
      <c r="AKG316" s="1"/>
      <c r="AKH316" s="1"/>
      <c r="AKI316" s="1"/>
      <c r="AKJ316" s="1"/>
      <c r="AKK316" s="1"/>
      <c r="AKL316" s="1"/>
      <c r="AKM316" s="1"/>
      <c r="AKN316" s="1"/>
      <c r="AKO316" s="1"/>
      <c r="AKP316" s="1"/>
      <c r="AKQ316" s="1"/>
      <c r="AKR316" s="1"/>
      <c r="AKS316" s="1"/>
      <c r="AKT316" s="1"/>
      <c r="AKU316" s="1"/>
      <c r="AKV316" s="1"/>
      <c r="AKW316" s="1"/>
      <c r="AKX316" s="1"/>
      <c r="AKY316" s="1"/>
      <c r="AKZ316" s="1"/>
      <c r="ALA316" s="1"/>
      <c r="ALB316" s="1"/>
      <c r="ALC316" s="1"/>
      <c r="ALD316" s="1"/>
      <c r="ALE316" s="1"/>
      <c r="ALF316" s="1"/>
      <c r="ALG316" s="1"/>
      <c r="ALH316" s="1"/>
      <c r="ALI316" s="1"/>
      <c r="ALJ316" s="1"/>
      <c r="ALK316" s="1"/>
      <c r="ALL316" s="1"/>
      <c r="ALM316" s="1"/>
      <c r="ALN316" s="1"/>
      <c r="ALO316" s="1"/>
      <c r="ALP316" s="1"/>
      <c r="ALQ316" s="1"/>
      <c r="ALR316" s="1"/>
      <c r="ALS316" s="1"/>
      <c r="ALT316" s="1"/>
      <c r="ALU316" s="1"/>
      <c r="ALV316" s="1"/>
      <c r="ALW316" s="1"/>
      <c r="ALX316" s="1"/>
      <c r="ALY316" s="1"/>
      <c r="ALZ316" s="1"/>
      <c r="AMA316" s="1"/>
      <c r="AMB316" s="1"/>
      <c r="AMC316" s="1"/>
      <c r="AMD316" s="1"/>
      <c r="AME316" s="1"/>
      <c r="AMF316" s="1"/>
      <c r="AMG316" s="1"/>
      <c r="AMH316" s="1"/>
      <c r="AMI316" s="1"/>
      <c r="AMJ316" s="1"/>
      <c r="AMK316" s="1"/>
      <c r="AML316" s="18"/>
    </row>
    <row r="317" spans="1:1027" s="31" customFormat="1" x14ac:dyDescent="0.2">
      <c r="A317" s="1"/>
      <c r="B317" s="1"/>
      <c r="C317" s="1"/>
      <c r="D317" s="1"/>
      <c r="E317" s="10"/>
      <c r="F317" s="10"/>
      <c r="G317" s="11"/>
      <c r="H317" s="10"/>
      <c r="I317" s="10"/>
      <c r="J317" s="10"/>
      <c r="K317" s="12"/>
      <c r="L317" s="1"/>
      <c r="M317" s="1"/>
      <c r="N317" s="1"/>
      <c r="O317" s="1"/>
      <c r="P317" s="1"/>
      <c r="Q317" s="1"/>
      <c r="R317" s="1"/>
      <c r="S317" s="13"/>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c r="ADD317" s="1"/>
      <c r="ADE317" s="1"/>
      <c r="ADF317" s="1"/>
      <c r="ADG317" s="1"/>
      <c r="ADH317" s="1"/>
      <c r="ADI317" s="1"/>
      <c r="ADJ317" s="1"/>
      <c r="ADK317" s="1"/>
      <c r="ADL317" s="1"/>
      <c r="ADM317" s="1"/>
      <c r="ADN317" s="1"/>
      <c r="ADO317" s="1"/>
      <c r="ADP317" s="1"/>
      <c r="ADQ317" s="1"/>
      <c r="ADR317" s="1"/>
      <c r="ADS317" s="1"/>
      <c r="ADT317" s="1"/>
      <c r="ADU317" s="1"/>
      <c r="ADV317" s="1"/>
      <c r="ADW317" s="1"/>
      <c r="ADX317" s="1"/>
      <c r="ADY317" s="1"/>
      <c r="ADZ317" s="1"/>
      <c r="AEA317" s="1"/>
      <c r="AEB317" s="1"/>
      <c r="AEC317" s="1"/>
      <c r="AED317" s="1"/>
      <c r="AEE317" s="1"/>
      <c r="AEF317" s="1"/>
      <c r="AEG317" s="1"/>
      <c r="AEH317" s="1"/>
      <c r="AEI317" s="1"/>
      <c r="AEJ317" s="1"/>
      <c r="AEK317" s="1"/>
      <c r="AEL317" s="1"/>
      <c r="AEM317" s="1"/>
      <c r="AEN317" s="1"/>
      <c r="AEO317" s="1"/>
      <c r="AEP317" s="1"/>
      <c r="AEQ317" s="1"/>
      <c r="AER317" s="1"/>
      <c r="AES317" s="1"/>
      <c r="AET317" s="1"/>
      <c r="AEU317" s="1"/>
      <c r="AEV317" s="1"/>
      <c r="AEW317" s="1"/>
      <c r="AEX317" s="1"/>
      <c r="AEY317" s="1"/>
      <c r="AEZ317" s="1"/>
      <c r="AFA317" s="1"/>
      <c r="AFB317" s="1"/>
      <c r="AFC317" s="1"/>
      <c r="AFD317" s="1"/>
      <c r="AFE317" s="1"/>
      <c r="AFF317" s="1"/>
      <c r="AFG317" s="1"/>
      <c r="AFH317" s="1"/>
      <c r="AFI317" s="1"/>
      <c r="AFJ317" s="1"/>
      <c r="AFK317" s="1"/>
      <c r="AFL317" s="1"/>
      <c r="AFM317" s="1"/>
      <c r="AFN317" s="1"/>
      <c r="AFO317" s="1"/>
      <c r="AFP317" s="1"/>
      <c r="AFQ317" s="1"/>
      <c r="AFR317" s="1"/>
      <c r="AFS317" s="1"/>
      <c r="AFT317" s="1"/>
      <c r="AFU317" s="1"/>
      <c r="AFV317" s="1"/>
      <c r="AFW317" s="1"/>
      <c r="AFX317" s="1"/>
      <c r="AFY317" s="1"/>
      <c r="AFZ317" s="1"/>
      <c r="AGA317" s="1"/>
      <c r="AGB317" s="1"/>
      <c r="AGC317" s="1"/>
      <c r="AGD317" s="1"/>
      <c r="AGE317" s="1"/>
      <c r="AGF317" s="1"/>
      <c r="AGG317" s="1"/>
      <c r="AGH317" s="1"/>
      <c r="AGI317" s="1"/>
      <c r="AGJ317" s="1"/>
      <c r="AGK317" s="1"/>
      <c r="AGL317" s="1"/>
      <c r="AGM317" s="1"/>
      <c r="AGN317" s="1"/>
      <c r="AGO317" s="1"/>
      <c r="AGP317" s="1"/>
      <c r="AGQ317" s="1"/>
      <c r="AGR317" s="1"/>
      <c r="AGS317" s="1"/>
      <c r="AGT317" s="1"/>
      <c r="AGU317" s="1"/>
      <c r="AGV317" s="1"/>
      <c r="AGW317" s="1"/>
      <c r="AGX317" s="1"/>
      <c r="AGY317" s="1"/>
      <c r="AGZ317" s="1"/>
      <c r="AHA317" s="1"/>
      <c r="AHB317" s="1"/>
      <c r="AHC317" s="1"/>
      <c r="AHD317" s="1"/>
      <c r="AHE317" s="1"/>
      <c r="AHF317" s="1"/>
      <c r="AHG317" s="1"/>
      <c r="AHH317" s="1"/>
      <c r="AHI317" s="1"/>
      <c r="AHJ317" s="1"/>
      <c r="AHK317" s="1"/>
      <c r="AHL317" s="1"/>
      <c r="AHM317" s="1"/>
      <c r="AHN317" s="1"/>
      <c r="AHO317" s="1"/>
      <c r="AHP317" s="1"/>
      <c r="AHQ317" s="1"/>
      <c r="AHR317" s="1"/>
      <c r="AHS317" s="1"/>
      <c r="AHT317" s="1"/>
      <c r="AHU317" s="1"/>
      <c r="AHV317" s="1"/>
      <c r="AHW317" s="1"/>
      <c r="AHX317" s="1"/>
      <c r="AHY317" s="1"/>
      <c r="AHZ317" s="1"/>
      <c r="AIA317" s="1"/>
      <c r="AIB317" s="1"/>
      <c r="AIC317" s="1"/>
      <c r="AID317" s="1"/>
      <c r="AIE317" s="1"/>
      <c r="AIF317" s="1"/>
      <c r="AIG317" s="1"/>
      <c r="AIH317" s="1"/>
      <c r="AII317" s="1"/>
      <c r="AIJ317" s="1"/>
      <c r="AIK317" s="1"/>
      <c r="AIL317" s="1"/>
      <c r="AIM317" s="1"/>
      <c r="AIN317" s="1"/>
      <c r="AIO317" s="1"/>
      <c r="AIP317" s="1"/>
      <c r="AIQ317" s="1"/>
      <c r="AIR317" s="1"/>
      <c r="AIS317" s="1"/>
      <c r="AIT317" s="1"/>
      <c r="AIU317" s="1"/>
      <c r="AIV317" s="1"/>
      <c r="AIW317" s="1"/>
      <c r="AIX317" s="1"/>
      <c r="AIY317" s="1"/>
      <c r="AIZ317" s="1"/>
      <c r="AJA317" s="1"/>
      <c r="AJB317" s="1"/>
      <c r="AJC317" s="1"/>
      <c r="AJD317" s="1"/>
      <c r="AJE317" s="1"/>
      <c r="AJF317" s="1"/>
      <c r="AJG317" s="1"/>
      <c r="AJH317" s="1"/>
      <c r="AJI317" s="1"/>
      <c r="AJJ317" s="1"/>
      <c r="AJK317" s="1"/>
      <c r="AJL317" s="1"/>
      <c r="AJM317" s="1"/>
      <c r="AJN317" s="1"/>
      <c r="AJO317" s="1"/>
      <c r="AJP317" s="1"/>
      <c r="AJQ317" s="1"/>
      <c r="AJR317" s="1"/>
      <c r="AJS317" s="1"/>
      <c r="AJT317" s="1"/>
      <c r="AJU317" s="1"/>
      <c r="AJV317" s="1"/>
      <c r="AJW317" s="1"/>
      <c r="AJX317" s="1"/>
      <c r="AJY317" s="1"/>
      <c r="AJZ317" s="1"/>
      <c r="AKA317" s="1"/>
      <c r="AKB317" s="1"/>
      <c r="AKC317" s="1"/>
      <c r="AKD317" s="1"/>
      <c r="AKE317" s="1"/>
      <c r="AKF317" s="1"/>
      <c r="AKG317" s="1"/>
      <c r="AKH317" s="1"/>
      <c r="AKI317" s="1"/>
      <c r="AKJ317" s="1"/>
      <c r="AKK317" s="1"/>
      <c r="AKL317" s="1"/>
      <c r="AKM317" s="1"/>
      <c r="AKN317" s="1"/>
      <c r="AKO317" s="1"/>
      <c r="AKP317" s="1"/>
      <c r="AKQ317" s="1"/>
      <c r="AKR317" s="1"/>
      <c r="AKS317" s="1"/>
      <c r="AKT317" s="1"/>
      <c r="AKU317" s="1"/>
      <c r="AKV317" s="1"/>
      <c r="AKW317" s="1"/>
      <c r="AKX317" s="1"/>
      <c r="AKY317" s="1"/>
      <c r="AKZ317" s="1"/>
      <c r="ALA317" s="1"/>
      <c r="ALB317" s="1"/>
      <c r="ALC317" s="1"/>
      <c r="ALD317" s="1"/>
      <c r="ALE317" s="1"/>
      <c r="ALF317" s="1"/>
      <c r="ALG317" s="1"/>
      <c r="ALH317" s="1"/>
      <c r="ALI317" s="1"/>
      <c r="ALJ317" s="1"/>
      <c r="ALK317" s="1"/>
      <c r="ALL317" s="1"/>
      <c r="ALM317" s="1"/>
      <c r="ALN317" s="1"/>
      <c r="ALO317" s="1"/>
      <c r="ALP317" s="1"/>
      <c r="ALQ317" s="1"/>
      <c r="ALR317" s="1"/>
      <c r="ALS317" s="1"/>
      <c r="ALT317" s="1"/>
      <c r="ALU317" s="1"/>
      <c r="ALV317" s="1"/>
      <c r="ALW317" s="1"/>
      <c r="ALX317" s="1"/>
      <c r="ALY317" s="1"/>
      <c r="ALZ317" s="1"/>
      <c r="AMA317" s="1"/>
      <c r="AMB317" s="1"/>
      <c r="AMC317" s="1"/>
      <c r="AMD317" s="1"/>
      <c r="AME317" s="1"/>
      <c r="AMF317" s="1"/>
      <c r="AMG317" s="1"/>
      <c r="AMH317" s="1"/>
      <c r="AMI317" s="1"/>
      <c r="AMJ317" s="1"/>
      <c r="AMK317" s="1"/>
    </row>
    <row r="318" spans="1:1027" s="31" customFormat="1" x14ac:dyDescent="0.2">
      <c r="A318" s="1"/>
      <c r="B318" s="1"/>
      <c r="C318" s="1"/>
      <c r="D318" s="1"/>
      <c r="E318" s="10"/>
      <c r="F318" s="10"/>
      <c r="G318" s="11"/>
      <c r="H318" s="10"/>
      <c r="I318" s="10"/>
      <c r="J318" s="10"/>
      <c r="K318" s="12"/>
      <c r="L318" s="1"/>
      <c r="M318" s="1"/>
      <c r="N318" s="1"/>
      <c r="O318" s="1"/>
      <c r="P318" s="1"/>
      <c r="Q318" s="1"/>
      <c r="R318" s="1"/>
      <c r="S318" s="70"/>
      <c r="T318" s="1"/>
      <c r="U318" s="33"/>
      <c r="V318" s="33"/>
      <c r="W318" s="33"/>
      <c r="X318" s="33"/>
      <c r="Y318" s="33"/>
      <c r="Z318" s="33"/>
      <c r="AA318" s="30"/>
      <c r="AB318" s="30"/>
      <c r="AC318" s="33"/>
      <c r="AD318" s="1"/>
      <c r="AE318" s="1"/>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c r="EL318" s="33"/>
      <c r="EM318" s="33"/>
      <c r="EN318" s="33"/>
      <c r="EO318" s="33"/>
      <c r="EP318" s="33"/>
      <c r="EQ318" s="33"/>
      <c r="ER318" s="33"/>
      <c r="ES318" s="33"/>
      <c r="ET318" s="33"/>
      <c r="EU318" s="33"/>
      <c r="EV318" s="33"/>
      <c r="EW318" s="33"/>
      <c r="EX318" s="33"/>
      <c r="EY318" s="33"/>
      <c r="EZ318" s="33"/>
      <c r="FA318" s="33"/>
      <c r="FB318" s="33"/>
      <c r="FC318" s="33"/>
      <c r="FD318" s="33"/>
      <c r="FE318" s="33"/>
      <c r="FF318" s="33"/>
      <c r="FG318" s="33"/>
      <c r="FH318" s="33"/>
      <c r="FI318" s="33"/>
      <c r="FJ318" s="33"/>
      <c r="FK318" s="33"/>
      <c r="FL318" s="33"/>
      <c r="FM318" s="33"/>
      <c r="FN318" s="33"/>
      <c r="FO318" s="33"/>
      <c r="FP318" s="33"/>
      <c r="FQ318" s="33"/>
      <c r="FR318" s="33"/>
      <c r="FS318" s="33"/>
      <c r="FT318" s="33"/>
      <c r="FU318" s="33"/>
      <c r="FV318" s="33"/>
      <c r="FW318" s="33"/>
      <c r="FX318" s="33"/>
      <c r="FY318" s="33"/>
      <c r="FZ318" s="33"/>
      <c r="GA318" s="33"/>
      <c r="GB318" s="33"/>
      <c r="GC318" s="33"/>
      <c r="GD318" s="33"/>
      <c r="GE318" s="33"/>
      <c r="GF318" s="33"/>
      <c r="GG318" s="33"/>
      <c r="GH318" s="33"/>
      <c r="GI318" s="33"/>
      <c r="GJ318" s="33"/>
      <c r="GK318" s="33"/>
      <c r="GL318" s="33"/>
      <c r="GM318" s="33"/>
      <c r="GN318" s="33"/>
      <c r="GO318" s="33"/>
      <c r="GP318" s="33"/>
      <c r="GQ318" s="33"/>
      <c r="GR318" s="33"/>
      <c r="GS318" s="33"/>
      <c r="GT318" s="33"/>
      <c r="GU318" s="33"/>
      <c r="GV318" s="33"/>
      <c r="GW318" s="33"/>
      <c r="GX318" s="33"/>
      <c r="GY318" s="33"/>
      <c r="GZ318" s="33"/>
      <c r="HA318" s="33"/>
      <c r="HB318" s="33"/>
      <c r="HC318" s="33"/>
      <c r="HD318" s="33"/>
      <c r="HE318" s="33"/>
      <c r="HF318" s="33"/>
      <c r="HG318" s="33"/>
      <c r="HH318" s="33"/>
      <c r="HI318" s="33"/>
      <c r="HJ318" s="33"/>
      <c r="HK318" s="33"/>
      <c r="HL318" s="33"/>
      <c r="HM318" s="33"/>
      <c r="HN318" s="33"/>
      <c r="HO318" s="33"/>
      <c r="HP318" s="33"/>
      <c r="HQ318" s="33"/>
      <c r="HR318" s="33"/>
      <c r="HS318" s="33"/>
      <c r="HT318" s="33"/>
      <c r="HU318" s="33"/>
      <c r="HV318" s="33"/>
      <c r="HW318" s="33"/>
      <c r="HX318" s="33"/>
      <c r="HY318" s="33"/>
      <c r="HZ318" s="33"/>
      <c r="IA318" s="33"/>
      <c r="IB318" s="33"/>
      <c r="IC318" s="33"/>
      <c r="ID318" s="33"/>
      <c r="IE318" s="33"/>
      <c r="IF318" s="33"/>
      <c r="IG318" s="33"/>
      <c r="IH318" s="33"/>
      <c r="II318" s="33"/>
      <c r="IJ318" s="33"/>
      <c r="IK318" s="33"/>
      <c r="IL318" s="33"/>
      <c r="IM318" s="33"/>
      <c r="IN318" s="33"/>
      <c r="IO318" s="33"/>
      <c r="IP318" s="33"/>
      <c r="IQ318" s="33"/>
      <c r="IR318" s="33"/>
      <c r="IS318" s="33"/>
      <c r="IT318" s="33"/>
      <c r="IU318" s="33"/>
      <c r="IV318" s="33"/>
      <c r="IW318" s="33"/>
      <c r="IX318" s="33"/>
      <c r="IY318" s="33"/>
      <c r="IZ318" s="33"/>
      <c r="JA318" s="33"/>
      <c r="JB318" s="33"/>
      <c r="JC318" s="33"/>
      <c r="JD318" s="33"/>
      <c r="JE318" s="33"/>
      <c r="JF318" s="33"/>
      <c r="JG318" s="33"/>
      <c r="JH318" s="33"/>
      <c r="JI318" s="33"/>
      <c r="JJ318" s="33"/>
      <c r="JK318" s="33"/>
      <c r="JL318" s="33"/>
      <c r="JM318" s="33"/>
      <c r="JN318" s="33"/>
      <c r="JO318" s="33"/>
      <c r="JP318" s="33"/>
      <c r="JQ318" s="33"/>
      <c r="JR318" s="33"/>
      <c r="JS318" s="33"/>
      <c r="JT318" s="33"/>
      <c r="JU318" s="33"/>
      <c r="JV318" s="33"/>
      <c r="JW318" s="33"/>
      <c r="JX318" s="33"/>
      <c r="JY318" s="33"/>
      <c r="JZ318" s="33"/>
      <c r="KA318" s="33"/>
      <c r="KB318" s="33"/>
      <c r="KC318" s="33"/>
      <c r="KD318" s="33"/>
      <c r="KE318" s="33"/>
      <c r="KF318" s="33"/>
      <c r="KG318" s="33"/>
      <c r="KH318" s="33"/>
      <c r="KI318" s="33"/>
      <c r="KJ318" s="33"/>
      <c r="KK318" s="33"/>
      <c r="KL318" s="33"/>
      <c r="KM318" s="33"/>
      <c r="KN318" s="33"/>
      <c r="KO318" s="33"/>
      <c r="KP318" s="33"/>
      <c r="KQ318" s="33"/>
      <c r="KR318" s="33"/>
      <c r="KS318" s="33"/>
      <c r="KT318" s="33"/>
      <c r="KU318" s="33"/>
      <c r="KV318" s="33"/>
      <c r="KW318" s="33"/>
      <c r="KX318" s="33"/>
      <c r="KY318" s="33"/>
      <c r="KZ318" s="33"/>
      <c r="LA318" s="33"/>
      <c r="LB318" s="33"/>
      <c r="LC318" s="33"/>
      <c r="LD318" s="33"/>
      <c r="LE318" s="33"/>
      <c r="LF318" s="33"/>
      <c r="LG318" s="33"/>
      <c r="LH318" s="33"/>
      <c r="LI318" s="33"/>
      <c r="LJ318" s="33"/>
      <c r="LK318" s="33"/>
      <c r="LL318" s="33"/>
      <c r="LM318" s="33"/>
      <c r="LN318" s="33"/>
      <c r="LO318" s="33"/>
      <c r="LP318" s="33"/>
      <c r="LQ318" s="33"/>
      <c r="LR318" s="33"/>
      <c r="LS318" s="33"/>
      <c r="LT318" s="33"/>
      <c r="LU318" s="33"/>
      <c r="LV318" s="33"/>
      <c r="LW318" s="33"/>
      <c r="LX318" s="33"/>
      <c r="LY318" s="33"/>
      <c r="LZ318" s="33"/>
      <c r="MA318" s="33"/>
      <c r="MB318" s="33"/>
      <c r="MC318" s="33"/>
      <c r="MD318" s="33"/>
      <c r="ME318" s="33"/>
      <c r="MF318" s="33"/>
      <c r="MG318" s="33"/>
      <c r="MH318" s="33"/>
      <c r="MI318" s="33"/>
      <c r="MJ318" s="33"/>
      <c r="MK318" s="33"/>
      <c r="ML318" s="33"/>
      <c r="MM318" s="33"/>
      <c r="MN318" s="33"/>
      <c r="MO318" s="33"/>
      <c r="MP318" s="33"/>
      <c r="MQ318" s="33"/>
      <c r="MR318" s="33"/>
      <c r="MS318" s="33"/>
      <c r="MT318" s="33"/>
      <c r="MU318" s="33"/>
      <c r="MV318" s="33"/>
      <c r="MW318" s="33"/>
      <c r="MX318" s="33"/>
      <c r="MY318" s="33"/>
      <c r="MZ318" s="33"/>
      <c r="NA318" s="33"/>
      <c r="NB318" s="33"/>
      <c r="NC318" s="33"/>
      <c r="ND318" s="33"/>
      <c r="NE318" s="33"/>
      <c r="NF318" s="33"/>
      <c r="NG318" s="33"/>
      <c r="NH318" s="33"/>
      <c r="NI318" s="33"/>
      <c r="NJ318" s="33"/>
      <c r="NK318" s="33"/>
      <c r="NL318" s="33"/>
      <c r="NM318" s="33"/>
      <c r="NN318" s="33"/>
      <c r="NO318" s="33"/>
      <c r="NP318" s="33"/>
      <c r="NQ318" s="33"/>
      <c r="NR318" s="33"/>
      <c r="NS318" s="33"/>
      <c r="NT318" s="33"/>
      <c r="NU318" s="33"/>
      <c r="NV318" s="33"/>
      <c r="NW318" s="33"/>
      <c r="NX318" s="33"/>
      <c r="NY318" s="33"/>
      <c r="NZ318" s="33"/>
      <c r="OA318" s="33"/>
      <c r="OB318" s="33"/>
      <c r="OC318" s="33"/>
      <c r="OD318" s="33"/>
      <c r="OE318" s="33"/>
      <c r="OF318" s="33"/>
      <c r="OG318" s="33"/>
      <c r="OH318" s="33"/>
      <c r="OI318" s="33"/>
      <c r="OJ318" s="33"/>
      <c r="OK318" s="33"/>
      <c r="OL318" s="33"/>
      <c r="OM318" s="33"/>
      <c r="ON318" s="33"/>
      <c r="OO318" s="33"/>
      <c r="OP318" s="33"/>
      <c r="OQ318" s="33"/>
      <c r="OR318" s="33"/>
      <c r="OS318" s="33"/>
      <c r="OT318" s="33"/>
      <c r="OU318" s="33"/>
      <c r="OV318" s="33"/>
      <c r="OW318" s="33"/>
      <c r="OX318" s="33"/>
      <c r="OY318" s="33"/>
      <c r="OZ318" s="33"/>
      <c r="PA318" s="33"/>
      <c r="PB318" s="33"/>
      <c r="PC318" s="33"/>
      <c r="PD318" s="33"/>
      <c r="PE318" s="33"/>
      <c r="PF318" s="33"/>
      <c r="PG318" s="33"/>
      <c r="PH318" s="33"/>
      <c r="PI318" s="33"/>
      <c r="PJ318" s="33"/>
      <c r="PK318" s="33"/>
      <c r="PL318" s="33"/>
      <c r="PM318" s="33"/>
      <c r="PN318" s="33"/>
      <c r="PO318" s="33"/>
      <c r="PP318" s="33"/>
      <c r="PQ318" s="33"/>
      <c r="PR318" s="33"/>
      <c r="PS318" s="33"/>
      <c r="PT318" s="33"/>
      <c r="PU318" s="33"/>
      <c r="PV318" s="33"/>
      <c r="PW318" s="33"/>
      <c r="PX318" s="33"/>
      <c r="PY318" s="33"/>
      <c r="PZ318" s="33"/>
      <c r="QA318" s="33"/>
      <c r="QB318" s="33"/>
      <c r="QC318" s="33"/>
      <c r="QD318" s="33"/>
      <c r="QE318" s="33"/>
      <c r="QF318" s="33"/>
      <c r="QG318" s="33"/>
      <c r="QH318" s="33"/>
      <c r="QI318" s="33"/>
      <c r="QJ318" s="33"/>
      <c r="QK318" s="33"/>
      <c r="QL318" s="33"/>
      <c r="QM318" s="33"/>
      <c r="QN318" s="33"/>
      <c r="QO318" s="33"/>
      <c r="QP318" s="33"/>
      <c r="QQ318" s="33"/>
      <c r="QR318" s="33"/>
      <c r="QS318" s="33"/>
      <c r="QT318" s="33"/>
      <c r="QU318" s="33"/>
      <c r="QV318" s="33"/>
      <c r="QW318" s="33"/>
      <c r="QX318" s="33"/>
      <c r="QY318" s="33"/>
      <c r="QZ318" s="33"/>
      <c r="RA318" s="33"/>
      <c r="RB318" s="33"/>
      <c r="RC318" s="33"/>
      <c r="RD318" s="33"/>
      <c r="RE318" s="33"/>
      <c r="RF318" s="33"/>
      <c r="RG318" s="33"/>
      <c r="RH318" s="33"/>
      <c r="RI318" s="33"/>
      <c r="RJ318" s="33"/>
      <c r="RK318" s="33"/>
      <c r="RL318" s="33"/>
      <c r="RM318" s="33"/>
      <c r="RN318" s="33"/>
      <c r="RO318" s="33"/>
      <c r="RP318" s="33"/>
      <c r="RQ318" s="33"/>
      <c r="RR318" s="33"/>
      <c r="RS318" s="33"/>
      <c r="RT318" s="33"/>
      <c r="RU318" s="33"/>
      <c r="RV318" s="33"/>
      <c r="RW318" s="33"/>
      <c r="RX318" s="33"/>
      <c r="RY318" s="33"/>
      <c r="RZ318" s="33"/>
      <c r="SA318" s="33"/>
      <c r="SB318" s="33"/>
      <c r="SC318" s="33"/>
      <c r="SD318" s="33"/>
      <c r="SE318" s="33"/>
      <c r="SF318" s="33"/>
      <c r="SG318" s="33"/>
      <c r="SH318" s="33"/>
      <c r="SI318" s="33"/>
      <c r="SJ318" s="33"/>
      <c r="SK318" s="33"/>
      <c r="SL318" s="33"/>
      <c r="SM318" s="33"/>
      <c r="SN318" s="33"/>
      <c r="SO318" s="33"/>
      <c r="SP318" s="33"/>
      <c r="SQ318" s="33"/>
      <c r="SR318" s="33"/>
      <c r="SS318" s="33"/>
      <c r="ST318" s="33"/>
      <c r="SU318" s="33"/>
      <c r="SV318" s="33"/>
      <c r="SW318" s="33"/>
      <c r="SX318" s="33"/>
      <c r="SY318" s="33"/>
      <c r="SZ318" s="33"/>
      <c r="TA318" s="33"/>
      <c r="TB318" s="33"/>
      <c r="TC318" s="33"/>
      <c r="TD318" s="33"/>
      <c r="TE318" s="33"/>
      <c r="TF318" s="33"/>
      <c r="TG318" s="33"/>
      <c r="TH318" s="33"/>
      <c r="TI318" s="33"/>
      <c r="TJ318" s="33"/>
      <c r="TK318" s="33"/>
      <c r="TL318" s="33"/>
      <c r="TM318" s="33"/>
      <c r="TN318" s="33"/>
      <c r="TO318" s="33"/>
      <c r="TP318" s="33"/>
      <c r="TQ318" s="33"/>
      <c r="TR318" s="33"/>
      <c r="TS318" s="33"/>
      <c r="TT318" s="33"/>
      <c r="TU318" s="33"/>
      <c r="TV318" s="33"/>
      <c r="TW318" s="33"/>
      <c r="TX318" s="33"/>
      <c r="TY318" s="33"/>
      <c r="TZ318" s="33"/>
      <c r="UA318" s="33"/>
      <c r="UB318" s="33"/>
      <c r="UC318" s="33"/>
      <c r="UD318" s="33"/>
      <c r="UE318" s="33"/>
      <c r="UF318" s="33"/>
      <c r="UG318" s="33"/>
      <c r="UH318" s="33"/>
      <c r="UI318" s="33"/>
      <c r="UJ318" s="33"/>
      <c r="UK318" s="33"/>
      <c r="UL318" s="33"/>
      <c r="UM318" s="33"/>
      <c r="UN318" s="33"/>
      <c r="UO318" s="33"/>
      <c r="UP318" s="33"/>
      <c r="UQ318" s="33"/>
      <c r="UR318" s="33"/>
      <c r="US318" s="33"/>
      <c r="UT318" s="33"/>
      <c r="UU318" s="33"/>
      <c r="UV318" s="33"/>
      <c r="UW318" s="33"/>
      <c r="UX318" s="33"/>
      <c r="UY318" s="33"/>
      <c r="UZ318" s="33"/>
      <c r="VA318" s="33"/>
      <c r="VB318" s="33"/>
      <c r="VC318" s="33"/>
      <c r="VD318" s="33"/>
      <c r="VE318" s="33"/>
      <c r="VF318" s="33"/>
      <c r="VG318" s="33"/>
      <c r="VH318" s="33"/>
      <c r="VI318" s="33"/>
      <c r="VJ318" s="33"/>
      <c r="VK318" s="33"/>
      <c r="VL318" s="33"/>
      <c r="VM318" s="33"/>
      <c r="VN318" s="33"/>
      <c r="VO318" s="33"/>
      <c r="VP318" s="33"/>
      <c r="VQ318" s="33"/>
      <c r="VR318" s="33"/>
      <c r="VS318" s="33"/>
      <c r="VT318" s="33"/>
      <c r="VU318" s="33"/>
      <c r="VV318" s="33"/>
      <c r="VW318" s="33"/>
      <c r="VX318" s="33"/>
      <c r="VY318" s="33"/>
      <c r="VZ318" s="33"/>
      <c r="WA318" s="33"/>
      <c r="WB318" s="33"/>
      <c r="WC318" s="33"/>
      <c r="WD318" s="33"/>
      <c r="WE318" s="33"/>
      <c r="WF318" s="33"/>
      <c r="WG318" s="33"/>
      <c r="WH318" s="33"/>
      <c r="WI318" s="33"/>
      <c r="WJ318" s="33"/>
      <c r="WK318" s="33"/>
      <c r="WL318" s="33"/>
      <c r="WM318" s="33"/>
      <c r="WN318" s="33"/>
      <c r="WO318" s="33"/>
      <c r="WP318" s="33"/>
      <c r="WQ318" s="33"/>
      <c r="WR318" s="33"/>
      <c r="WS318" s="33"/>
      <c r="WT318" s="33"/>
      <c r="WU318" s="33"/>
      <c r="WV318" s="33"/>
      <c r="WW318" s="33"/>
      <c r="WX318" s="33"/>
      <c r="WY318" s="33"/>
      <c r="WZ318" s="33"/>
      <c r="XA318" s="33"/>
      <c r="XB318" s="33"/>
      <c r="XC318" s="33"/>
      <c r="XD318" s="33"/>
      <c r="XE318" s="33"/>
      <c r="XF318" s="33"/>
      <c r="XG318" s="33"/>
      <c r="XH318" s="33"/>
      <c r="XI318" s="33"/>
      <c r="XJ318" s="33"/>
      <c r="XK318" s="33"/>
      <c r="XL318" s="33"/>
      <c r="XM318" s="33"/>
      <c r="XN318" s="33"/>
      <c r="XO318" s="33"/>
      <c r="XP318" s="33"/>
      <c r="XQ318" s="33"/>
      <c r="XR318" s="33"/>
      <c r="XS318" s="33"/>
      <c r="XT318" s="33"/>
      <c r="XU318" s="33"/>
      <c r="XV318" s="33"/>
      <c r="XW318" s="33"/>
      <c r="XX318" s="33"/>
      <c r="XY318" s="33"/>
      <c r="XZ318" s="33"/>
      <c r="YA318" s="33"/>
      <c r="YB318" s="33"/>
      <c r="YC318" s="33"/>
      <c r="YD318" s="33"/>
      <c r="YE318" s="33"/>
      <c r="YF318" s="33"/>
      <c r="YG318" s="33"/>
      <c r="YH318" s="33"/>
      <c r="YI318" s="33"/>
      <c r="YJ318" s="33"/>
      <c r="YK318" s="33"/>
      <c r="YL318" s="33"/>
      <c r="YM318" s="33"/>
      <c r="YN318" s="33"/>
      <c r="YO318" s="33"/>
      <c r="YP318" s="33"/>
      <c r="YQ318" s="33"/>
      <c r="YR318" s="33"/>
      <c r="YS318" s="33"/>
      <c r="YT318" s="33"/>
      <c r="YU318" s="33"/>
      <c r="YV318" s="33"/>
      <c r="YW318" s="33"/>
      <c r="YX318" s="33"/>
      <c r="YY318" s="33"/>
      <c r="YZ318" s="33"/>
      <c r="ZA318" s="33"/>
      <c r="ZB318" s="33"/>
      <c r="ZC318" s="33"/>
      <c r="ZD318" s="33"/>
      <c r="ZE318" s="33"/>
      <c r="ZF318" s="33"/>
      <c r="ZG318" s="33"/>
      <c r="ZH318" s="33"/>
      <c r="ZI318" s="33"/>
      <c r="ZJ318" s="33"/>
      <c r="ZK318" s="33"/>
      <c r="ZL318" s="33"/>
      <c r="ZM318" s="33"/>
      <c r="ZN318" s="33"/>
      <c r="ZO318" s="33"/>
      <c r="ZP318" s="33"/>
      <c r="ZQ318" s="33"/>
      <c r="ZR318" s="33"/>
      <c r="ZS318" s="33"/>
      <c r="ZT318" s="33"/>
      <c r="ZU318" s="33"/>
      <c r="ZV318" s="33"/>
      <c r="ZW318" s="33"/>
      <c r="ZX318" s="33"/>
      <c r="ZY318" s="33"/>
      <c r="ZZ318" s="33"/>
      <c r="AAA318" s="33"/>
      <c r="AAB318" s="33"/>
      <c r="AAC318" s="33"/>
      <c r="AAD318" s="33"/>
      <c r="AAE318" s="33"/>
      <c r="AAF318" s="33"/>
      <c r="AAG318" s="33"/>
      <c r="AAH318" s="33"/>
      <c r="AAI318" s="33"/>
      <c r="AAJ318" s="33"/>
      <c r="AAK318" s="33"/>
      <c r="AAL318" s="33"/>
      <c r="AAM318" s="33"/>
      <c r="AAN318" s="33"/>
      <c r="AAO318" s="33"/>
      <c r="AAP318" s="33"/>
      <c r="AAQ318" s="33"/>
      <c r="AAR318" s="33"/>
      <c r="AAS318" s="33"/>
      <c r="AAT318" s="33"/>
      <c r="AAU318" s="33"/>
      <c r="AAV318" s="33"/>
      <c r="AAW318" s="33"/>
      <c r="AAX318" s="33"/>
      <c r="AAY318" s="33"/>
      <c r="AAZ318" s="33"/>
      <c r="ABA318" s="33"/>
      <c r="ABB318" s="33"/>
      <c r="ABC318" s="33"/>
      <c r="ABD318" s="33"/>
      <c r="ABE318" s="33"/>
      <c r="ABF318" s="33"/>
      <c r="ABG318" s="33"/>
      <c r="ABH318" s="33"/>
      <c r="ABI318" s="33"/>
      <c r="ABJ318" s="33"/>
      <c r="ABK318" s="33"/>
      <c r="ABL318" s="33"/>
      <c r="ABM318" s="33"/>
      <c r="ABN318" s="33"/>
      <c r="ABO318" s="33"/>
      <c r="ABP318" s="33"/>
      <c r="ABQ318" s="33"/>
      <c r="ABR318" s="33"/>
      <c r="ABS318" s="33"/>
      <c r="ABT318" s="33"/>
      <c r="ABU318" s="33"/>
      <c r="ABV318" s="33"/>
      <c r="ABW318" s="33"/>
      <c r="ABX318" s="33"/>
      <c r="ABY318" s="33"/>
      <c r="ABZ318" s="33"/>
      <c r="ACA318" s="33"/>
      <c r="ACB318" s="33"/>
      <c r="ACC318" s="33"/>
      <c r="ACD318" s="33"/>
      <c r="ACE318" s="33"/>
      <c r="ACF318" s="33"/>
      <c r="ACG318" s="33"/>
      <c r="ACH318" s="33"/>
      <c r="ACI318" s="33"/>
      <c r="ACJ318" s="33"/>
      <c r="ACK318" s="33"/>
      <c r="ACL318" s="33"/>
      <c r="ACM318" s="33"/>
      <c r="ACN318" s="33"/>
      <c r="ACO318" s="33"/>
      <c r="ACP318" s="33"/>
      <c r="ACQ318" s="33"/>
      <c r="ACR318" s="33"/>
      <c r="ACS318" s="33"/>
      <c r="ACT318" s="33"/>
      <c r="ACU318" s="33"/>
      <c r="ACV318" s="33"/>
      <c r="ACW318" s="33"/>
      <c r="ACX318" s="33"/>
      <c r="ACY318" s="33"/>
      <c r="ACZ318" s="33"/>
      <c r="ADA318" s="33"/>
      <c r="ADB318" s="33"/>
      <c r="ADC318" s="33"/>
      <c r="ADD318" s="33"/>
      <c r="ADE318" s="33"/>
      <c r="ADF318" s="33"/>
      <c r="ADG318" s="33"/>
      <c r="ADH318" s="33"/>
      <c r="ADI318" s="33"/>
      <c r="ADJ318" s="33"/>
      <c r="ADK318" s="33"/>
      <c r="ADL318" s="33"/>
      <c r="ADM318" s="33"/>
      <c r="ADN318" s="33"/>
      <c r="ADO318" s="33"/>
      <c r="ADP318" s="33"/>
      <c r="ADQ318" s="33"/>
      <c r="ADR318" s="33"/>
      <c r="ADS318" s="33"/>
      <c r="ADT318" s="33"/>
      <c r="ADU318" s="33"/>
      <c r="ADV318" s="33"/>
      <c r="ADW318" s="33"/>
      <c r="ADX318" s="33"/>
      <c r="ADY318" s="33"/>
      <c r="ADZ318" s="33"/>
      <c r="AEA318" s="33"/>
      <c r="AEB318" s="33"/>
      <c r="AEC318" s="33"/>
      <c r="AED318" s="33"/>
      <c r="AEE318" s="33"/>
      <c r="AEF318" s="33"/>
      <c r="AEG318" s="33"/>
      <c r="AEH318" s="33"/>
      <c r="AEI318" s="33"/>
      <c r="AEJ318" s="33"/>
      <c r="AEK318" s="33"/>
      <c r="AEL318" s="33"/>
      <c r="AEM318" s="33"/>
      <c r="AEN318" s="33"/>
      <c r="AEO318" s="33"/>
      <c r="AEP318" s="33"/>
      <c r="AEQ318" s="33"/>
      <c r="AER318" s="33"/>
      <c r="AES318" s="33"/>
      <c r="AET318" s="33"/>
      <c r="AEU318" s="33"/>
      <c r="AEV318" s="33"/>
      <c r="AEW318" s="33"/>
      <c r="AEX318" s="33"/>
      <c r="AEY318" s="33"/>
      <c r="AEZ318" s="33"/>
      <c r="AFA318" s="33"/>
      <c r="AFB318" s="33"/>
      <c r="AFC318" s="33"/>
      <c r="AFD318" s="33"/>
      <c r="AFE318" s="33"/>
      <c r="AFF318" s="33"/>
      <c r="AFG318" s="33"/>
      <c r="AFH318" s="33"/>
      <c r="AFI318" s="33"/>
      <c r="AFJ318" s="33"/>
      <c r="AFK318" s="33"/>
      <c r="AFL318" s="33"/>
      <c r="AFM318" s="33"/>
      <c r="AFN318" s="33"/>
      <c r="AFO318" s="33"/>
      <c r="AFP318" s="33"/>
      <c r="AFQ318" s="33"/>
      <c r="AFR318" s="33"/>
      <c r="AFS318" s="33"/>
      <c r="AFT318" s="33"/>
      <c r="AFU318" s="33"/>
      <c r="AFV318" s="33"/>
      <c r="AFW318" s="33"/>
      <c r="AFX318" s="33"/>
      <c r="AFY318" s="33"/>
      <c r="AFZ318" s="33"/>
      <c r="AGA318" s="33"/>
      <c r="AGB318" s="33"/>
      <c r="AGC318" s="33"/>
      <c r="AGD318" s="33"/>
      <c r="AGE318" s="33"/>
      <c r="AGF318" s="33"/>
      <c r="AGG318" s="33"/>
      <c r="AGH318" s="33"/>
      <c r="AGI318" s="33"/>
      <c r="AGJ318" s="33"/>
      <c r="AGK318" s="33"/>
      <c r="AGL318" s="33"/>
      <c r="AGM318" s="33"/>
      <c r="AGN318" s="33"/>
      <c r="AGO318" s="33"/>
      <c r="AGP318" s="33"/>
      <c r="AGQ318" s="33"/>
      <c r="AGR318" s="33"/>
      <c r="AGS318" s="33"/>
      <c r="AGT318" s="33"/>
      <c r="AGU318" s="33"/>
      <c r="AGV318" s="33"/>
      <c r="AGW318" s="33"/>
      <c r="AGX318" s="33"/>
      <c r="AGY318" s="33"/>
      <c r="AGZ318" s="33"/>
      <c r="AHA318" s="33"/>
      <c r="AHB318" s="33"/>
      <c r="AHC318" s="33"/>
      <c r="AHD318" s="33"/>
      <c r="AHE318" s="33"/>
      <c r="AHF318" s="33"/>
      <c r="AHG318" s="33"/>
      <c r="AHH318" s="33"/>
      <c r="AHI318" s="33"/>
      <c r="AHJ318" s="33"/>
      <c r="AHK318" s="33"/>
      <c r="AHL318" s="33"/>
      <c r="AHM318" s="33"/>
      <c r="AHN318" s="33"/>
      <c r="AHO318" s="33"/>
      <c r="AHP318" s="33"/>
      <c r="AHQ318" s="33"/>
      <c r="AHR318" s="33"/>
      <c r="AHS318" s="33"/>
      <c r="AHT318" s="33"/>
      <c r="AHU318" s="33"/>
      <c r="AHV318" s="33"/>
      <c r="AHW318" s="33"/>
      <c r="AHX318" s="33"/>
      <c r="AHY318" s="33"/>
      <c r="AHZ318" s="33"/>
      <c r="AIA318" s="33"/>
      <c r="AIB318" s="33"/>
      <c r="AIC318" s="33"/>
      <c r="AID318" s="33"/>
      <c r="AIE318" s="33"/>
      <c r="AIF318" s="33"/>
      <c r="AIG318" s="33"/>
      <c r="AIH318" s="33"/>
      <c r="AII318" s="33"/>
      <c r="AIJ318" s="33"/>
      <c r="AIK318" s="33"/>
      <c r="AIL318" s="33"/>
      <c r="AIM318" s="33"/>
      <c r="AIN318" s="33"/>
      <c r="AIO318" s="33"/>
      <c r="AIP318" s="33"/>
      <c r="AIQ318" s="33"/>
      <c r="AIR318" s="33"/>
      <c r="AIS318" s="33"/>
      <c r="AIT318" s="33"/>
      <c r="AIU318" s="33"/>
      <c r="AIV318" s="33"/>
      <c r="AIW318" s="33"/>
      <c r="AIX318" s="33"/>
      <c r="AIY318" s="33"/>
      <c r="AIZ318" s="33"/>
      <c r="AJA318" s="33"/>
      <c r="AJB318" s="33"/>
      <c r="AJC318" s="33"/>
      <c r="AJD318" s="33"/>
      <c r="AJE318" s="33"/>
      <c r="AJF318" s="33"/>
      <c r="AJG318" s="33"/>
      <c r="AJH318" s="33"/>
      <c r="AJI318" s="33"/>
      <c r="AJJ318" s="33"/>
      <c r="AJK318" s="33"/>
      <c r="AJL318" s="33"/>
      <c r="AJM318" s="33"/>
      <c r="AJN318" s="33"/>
      <c r="AJO318" s="33"/>
      <c r="AJP318" s="33"/>
      <c r="AJQ318" s="33"/>
      <c r="AJR318" s="33"/>
      <c r="AJS318" s="33"/>
      <c r="AJT318" s="33"/>
      <c r="AJU318" s="33"/>
      <c r="AJV318" s="33"/>
      <c r="AJW318" s="33"/>
      <c r="AJX318" s="33"/>
      <c r="AJY318" s="33"/>
      <c r="AJZ318" s="33"/>
      <c r="AKA318" s="33"/>
      <c r="AKB318" s="33"/>
      <c r="AKC318" s="33"/>
      <c r="AKD318" s="33"/>
      <c r="AKE318" s="33"/>
      <c r="AKF318" s="33"/>
      <c r="AKG318" s="33"/>
      <c r="AKH318" s="33"/>
      <c r="AKI318" s="33"/>
      <c r="AKJ318" s="33"/>
      <c r="AKK318" s="33"/>
      <c r="AKL318" s="33"/>
      <c r="AKM318" s="33"/>
      <c r="AKN318" s="33"/>
      <c r="AKO318" s="33"/>
      <c r="AKP318" s="33"/>
      <c r="AKQ318" s="33"/>
      <c r="AKR318" s="33"/>
      <c r="AKS318" s="33"/>
      <c r="AKT318" s="33"/>
      <c r="AKU318" s="33"/>
      <c r="AKV318" s="33"/>
      <c r="AKW318" s="33"/>
      <c r="AKX318" s="33"/>
      <c r="AKY318" s="33"/>
      <c r="AKZ318" s="33"/>
      <c r="ALA318" s="33"/>
      <c r="ALB318" s="33"/>
      <c r="ALC318" s="33"/>
      <c r="ALD318" s="33"/>
      <c r="ALE318" s="33"/>
      <c r="ALF318" s="33"/>
      <c r="ALG318" s="33"/>
      <c r="ALH318" s="33"/>
      <c r="ALI318" s="33"/>
      <c r="ALJ318" s="33"/>
      <c r="ALK318" s="33"/>
      <c r="ALL318" s="33"/>
      <c r="ALM318" s="33"/>
      <c r="ALN318" s="33"/>
      <c r="ALO318" s="33"/>
      <c r="ALP318" s="33"/>
      <c r="ALQ318" s="33"/>
      <c r="ALR318" s="33"/>
      <c r="ALS318" s="33"/>
      <c r="ALT318" s="33"/>
      <c r="ALU318" s="33"/>
      <c r="ALV318" s="33"/>
      <c r="ALW318" s="33"/>
      <c r="ALX318" s="33"/>
      <c r="ALY318" s="33"/>
      <c r="ALZ318" s="33"/>
      <c r="AMA318" s="33"/>
      <c r="AMB318" s="33"/>
      <c r="AMC318" s="33"/>
      <c r="AMD318" s="33"/>
      <c r="AME318" s="33"/>
      <c r="AMF318" s="33"/>
      <c r="AMG318" s="33"/>
      <c r="AMH318" s="33"/>
      <c r="AMI318" s="33"/>
      <c r="AMJ318" s="33"/>
      <c r="AMK318" s="33"/>
      <c r="AML318" s="33"/>
      <c r="AMM318" s="18"/>
    </row>
    <row r="319" spans="1:1027" s="18" customFormat="1" x14ac:dyDescent="0.2">
      <c r="A319" s="1"/>
      <c r="B319" s="1"/>
      <c r="C319" s="1"/>
      <c r="D319" s="1"/>
      <c r="E319" s="10"/>
      <c r="F319" s="10" t="s">
        <v>923</v>
      </c>
      <c r="G319" s="11">
        <f>COUNTIF(F2:F314, "Ja")</f>
        <v>197</v>
      </c>
      <c r="H319" s="10">
        <f>COUNTIF(F2:F314,"*ja*")</f>
        <v>197</v>
      </c>
      <c r="I319" s="10"/>
      <c r="J319" s="10"/>
      <c r="K319" s="12"/>
      <c r="L319" s="1"/>
      <c r="M319" s="1"/>
      <c r="N319" s="1"/>
      <c r="O319" s="1"/>
      <c r="P319" s="1"/>
      <c r="Q319" s="1"/>
      <c r="R319" s="1"/>
      <c r="S319" s="13"/>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c r="ADD319" s="1"/>
      <c r="ADE319" s="1"/>
      <c r="ADF319" s="1"/>
      <c r="ADG319" s="1"/>
      <c r="ADH319" s="1"/>
      <c r="ADI319" s="1"/>
      <c r="ADJ319" s="1"/>
      <c r="ADK319" s="1"/>
      <c r="ADL319" s="1"/>
      <c r="ADM319" s="1"/>
      <c r="ADN319" s="1"/>
      <c r="ADO319" s="1"/>
      <c r="ADP319" s="1"/>
      <c r="ADQ319" s="1"/>
      <c r="ADR319" s="1"/>
      <c r="ADS319" s="1"/>
      <c r="ADT319" s="1"/>
      <c r="ADU319" s="1"/>
      <c r="ADV319" s="1"/>
      <c r="ADW319" s="1"/>
      <c r="ADX319" s="1"/>
      <c r="ADY319" s="1"/>
      <c r="ADZ319" s="1"/>
      <c r="AEA319" s="1"/>
      <c r="AEB319" s="1"/>
      <c r="AEC319" s="1"/>
      <c r="AED319" s="1"/>
      <c r="AEE319" s="1"/>
      <c r="AEF319" s="1"/>
      <c r="AEG319" s="1"/>
      <c r="AEH319" s="1"/>
      <c r="AEI319" s="1"/>
      <c r="AEJ319" s="1"/>
      <c r="AEK319" s="1"/>
      <c r="AEL319" s="1"/>
      <c r="AEM319" s="1"/>
      <c r="AEN319" s="1"/>
      <c r="AEO319" s="1"/>
      <c r="AEP319" s="1"/>
      <c r="AEQ319" s="1"/>
      <c r="AER319" s="1"/>
      <c r="AES319" s="1"/>
      <c r="AET319" s="1"/>
      <c r="AEU319" s="1"/>
      <c r="AEV319" s="1"/>
      <c r="AEW319" s="1"/>
      <c r="AEX319" s="1"/>
      <c r="AEY319" s="1"/>
      <c r="AEZ319" s="1"/>
      <c r="AFA319" s="1"/>
      <c r="AFB319" s="1"/>
      <c r="AFC319" s="1"/>
      <c r="AFD319" s="1"/>
      <c r="AFE319" s="1"/>
      <c r="AFF319" s="1"/>
      <c r="AFG319" s="1"/>
      <c r="AFH319" s="1"/>
      <c r="AFI319" s="1"/>
      <c r="AFJ319" s="1"/>
      <c r="AFK319" s="1"/>
      <c r="AFL319" s="1"/>
      <c r="AFM319" s="1"/>
      <c r="AFN319" s="1"/>
      <c r="AFO319" s="1"/>
      <c r="AFP319" s="1"/>
      <c r="AFQ319" s="1"/>
      <c r="AFR319" s="1"/>
      <c r="AFS319" s="1"/>
      <c r="AFT319" s="1"/>
      <c r="AFU319" s="1"/>
      <c r="AFV319" s="1"/>
      <c r="AFW319" s="1"/>
      <c r="AFX319" s="1"/>
      <c r="AFY319" s="1"/>
      <c r="AFZ319" s="1"/>
      <c r="AGA319" s="1"/>
      <c r="AGB319" s="1"/>
      <c r="AGC319" s="1"/>
      <c r="AGD319" s="1"/>
      <c r="AGE319" s="1"/>
      <c r="AGF319" s="1"/>
      <c r="AGG319" s="1"/>
      <c r="AGH319" s="1"/>
      <c r="AGI319" s="1"/>
      <c r="AGJ319" s="1"/>
      <c r="AGK319" s="1"/>
      <c r="AGL319" s="1"/>
      <c r="AGM319" s="1"/>
      <c r="AGN319" s="1"/>
      <c r="AGO319" s="1"/>
      <c r="AGP319" s="1"/>
      <c r="AGQ319" s="1"/>
      <c r="AGR319" s="1"/>
      <c r="AGS319" s="1"/>
      <c r="AGT319" s="1"/>
      <c r="AGU319" s="1"/>
      <c r="AGV319" s="1"/>
      <c r="AGW319" s="1"/>
      <c r="AGX319" s="1"/>
      <c r="AGY319" s="1"/>
      <c r="AGZ319" s="1"/>
      <c r="AHA319" s="1"/>
      <c r="AHB319" s="1"/>
      <c r="AHC319" s="1"/>
      <c r="AHD319" s="1"/>
      <c r="AHE319" s="1"/>
      <c r="AHF319" s="1"/>
      <c r="AHG319" s="1"/>
      <c r="AHH319" s="1"/>
      <c r="AHI319" s="1"/>
      <c r="AHJ319" s="1"/>
      <c r="AHK319" s="1"/>
      <c r="AHL319" s="1"/>
      <c r="AHM319" s="1"/>
      <c r="AHN319" s="1"/>
      <c r="AHO319" s="1"/>
      <c r="AHP319" s="1"/>
      <c r="AHQ319" s="1"/>
      <c r="AHR319" s="1"/>
      <c r="AHS319" s="1"/>
      <c r="AHT319" s="1"/>
      <c r="AHU319" s="1"/>
      <c r="AHV319" s="1"/>
      <c r="AHW319" s="1"/>
      <c r="AHX319" s="1"/>
      <c r="AHY319" s="1"/>
      <c r="AHZ319" s="1"/>
      <c r="AIA319" s="1"/>
      <c r="AIB319" s="1"/>
      <c r="AIC319" s="1"/>
      <c r="AID319" s="1"/>
      <c r="AIE319" s="1"/>
      <c r="AIF319" s="1"/>
      <c r="AIG319" s="1"/>
      <c r="AIH319" s="1"/>
      <c r="AII319" s="1"/>
      <c r="AIJ319" s="1"/>
      <c r="AIK319" s="1"/>
      <c r="AIL319" s="1"/>
      <c r="AIM319" s="1"/>
      <c r="AIN319" s="1"/>
      <c r="AIO319" s="1"/>
      <c r="AIP319" s="1"/>
      <c r="AIQ319" s="1"/>
      <c r="AIR319" s="1"/>
      <c r="AIS319" s="1"/>
      <c r="AIT319" s="1"/>
      <c r="AIU319" s="1"/>
      <c r="AIV319" s="1"/>
      <c r="AIW319" s="1"/>
      <c r="AIX319" s="1"/>
      <c r="AIY319" s="1"/>
      <c r="AIZ319" s="1"/>
      <c r="AJA319" s="1"/>
      <c r="AJB319" s="1"/>
      <c r="AJC319" s="1"/>
      <c r="AJD319" s="1"/>
      <c r="AJE319" s="1"/>
      <c r="AJF319" s="1"/>
      <c r="AJG319" s="1"/>
      <c r="AJH319" s="1"/>
      <c r="AJI319" s="1"/>
      <c r="AJJ319" s="1"/>
      <c r="AJK319" s="1"/>
      <c r="AJL319" s="1"/>
      <c r="AJM319" s="1"/>
      <c r="AJN319" s="1"/>
      <c r="AJO319" s="1"/>
      <c r="AJP319" s="1"/>
      <c r="AJQ319" s="1"/>
      <c r="AJR319" s="1"/>
      <c r="AJS319" s="1"/>
      <c r="AJT319" s="1"/>
      <c r="AJU319" s="1"/>
      <c r="AJV319" s="1"/>
      <c r="AJW319" s="1"/>
      <c r="AJX319" s="1"/>
      <c r="AJY319" s="1"/>
      <c r="AJZ319" s="1"/>
      <c r="AKA319" s="1"/>
      <c r="AKB319" s="1"/>
      <c r="AKC319" s="1"/>
      <c r="AKD319" s="1"/>
      <c r="AKE319" s="1"/>
      <c r="AKF319" s="1"/>
      <c r="AKG319" s="1"/>
      <c r="AKH319" s="1"/>
      <c r="AKI319" s="1"/>
      <c r="AKJ319" s="1"/>
      <c r="AKK319" s="1"/>
      <c r="AKL319" s="1"/>
      <c r="AKM319" s="1"/>
      <c r="AKN319" s="1"/>
      <c r="AKO319" s="1"/>
      <c r="AKP319" s="1"/>
      <c r="AKQ319" s="1"/>
      <c r="AKR319" s="1"/>
      <c r="AKS319" s="1"/>
      <c r="AKT319" s="1"/>
      <c r="AKU319" s="1"/>
      <c r="AKV319" s="1"/>
      <c r="AKW319" s="1"/>
      <c r="AKX319" s="1"/>
      <c r="AKY319" s="1"/>
      <c r="AKZ319" s="1"/>
      <c r="ALA319" s="1"/>
      <c r="ALB319" s="1"/>
      <c r="ALC319" s="1"/>
      <c r="ALD319" s="1"/>
      <c r="ALE319" s="1"/>
      <c r="ALF319" s="1"/>
      <c r="ALG319" s="1"/>
      <c r="ALH319" s="1"/>
      <c r="ALI319" s="1"/>
      <c r="ALJ319" s="1"/>
      <c r="ALK319" s="1"/>
      <c r="ALL319" s="1"/>
      <c r="ALM319" s="1"/>
      <c r="ALN319" s="1"/>
      <c r="ALO319" s="1"/>
      <c r="ALP319" s="1"/>
      <c r="ALQ319" s="1"/>
      <c r="ALR319" s="1"/>
      <c r="ALS319" s="1"/>
      <c r="ALT319" s="1"/>
      <c r="ALU319" s="1"/>
      <c r="ALV319" s="1"/>
      <c r="ALW319" s="1"/>
      <c r="ALX319" s="1"/>
      <c r="ALY319" s="1"/>
      <c r="ALZ319" s="1"/>
      <c r="AMA319" s="1"/>
      <c r="AMB319" s="1"/>
      <c r="AMC319" s="1"/>
      <c r="AMD319" s="1"/>
      <c r="AME319" s="1"/>
      <c r="AMF319" s="1"/>
      <c r="AMG319" s="1"/>
      <c r="AMH319" s="1"/>
      <c r="AMI319" s="1"/>
      <c r="AMJ319" s="1"/>
      <c r="AMK319" s="1"/>
      <c r="AML319" s="33"/>
      <c r="AMM319"/>
    </row>
    <row r="320" spans="1:1027" x14ac:dyDescent="0.2">
      <c r="F320" s="10" t="s">
        <v>924</v>
      </c>
      <c r="G320" s="11">
        <f>COUNTIF(E2:E314, "Ja")</f>
        <v>178</v>
      </c>
      <c r="H320" s="10">
        <f>COUNTIF(E2:E314,"*ja*")</f>
        <v>178</v>
      </c>
    </row>
    <row r="321" spans="1:1027" x14ac:dyDescent="0.2">
      <c r="F321" s="10" t="s">
        <v>925</v>
      </c>
      <c r="G321" s="11">
        <f>I321+J321+K321</f>
        <v>131</v>
      </c>
      <c r="H321" s="10">
        <f>COUNTIF(E2:E314,"*n.v.t.*")</f>
        <v>130</v>
      </c>
      <c r="I321" s="10">
        <f>COUNTIF(A2:A314, "DBNL~*")</f>
        <v>14</v>
      </c>
      <c r="J321" s="10">
        <f>COUNTIF(A2:A314, "Transkr*")</f>
        <v>18</v>
      </c>
      <c r="K321" s="12">
        <f>COUNTIF(A2:A314, "DBNL")</f>
        <v>99</v>
      </c>
      <c r="AML321" s="33"/>
      <c r="AMM321" s="33"/>
    </row>
    <row r="322" spans="1:1027" s="33" customFormat="1" x14ac:dyDescent="0.2">
      <c r="A322" s="1"/>
      <c r="B322" s="1"/>
      <c r="C322" s="1"/>
      <c r="D322" s="1"/>
      <c r="E322" s="10"/>
      <c r="F322" s="10" t="s">
        <v>926</v>
      </c>
      <c r="G322" s="11">
        <v>308</v>
      </c>
      <c r="H322" s="10">
        <f>H320+H321</f>
        <v>308</v>
      </c>
      <c r="I322" s="10"/>
      <c r="J322" s="10"/>
      <c r="K322" s="12"/>
      <c r="L322" s="1"/>
      <c r="M322" s="1"/>
      <c r="N322" s="1"/>
      <c r="O322" s="1"/>
      <c r="P322" s="1"/>
      <c r="Q322" s="1"/>
      <c r="R322" s="1"/>
      <c r="S322" s="13"/>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c r="ADD322" s="1"/>
      <c r="ADE322" s="1"/>
      <c r="ADF322" s="1"/>
      <c r="ADG322" s="1"/>
      <c r="ADH322" s="1"/>
      <c r="ADI322" s="1"/>
      <c r="ADJ322" s="1"/>
      <c r="ADK322" s="1"/>
      <c r="ADL322" s="1"/>
      <c r="ADM322" s="1"/>
      <c r="ADN322" s="1"/>
      <c r="ADO322" s="1"/>
      <c r="ADP322" s="1"/>
      <c r="ADQ322" s="1"/>
      <c r="ADR322" s="1"/>
      <c r="ADS322" s="1"/>
      <c r="ADT322" s="1"/>
      <c r="ADU322" s="1"/>
      <c r="ADV322" s="1"/>
      <c r="ADW322" s="1"/>
      <c r="ADX322" s="1"/>
      <c r="ADY322" s="1"/>
      <c r="ADZ322" s="1"/>
      <c r="AEA322" s="1"/>
      <c r="AEB322" s="1"/>
      <c r="AEC322" s="1"/>
      <c r="AED322" s="1"/>
      <c r="AEE322" s="1"/>
      <c r="AEF322" s="1"/>
      <c r="AEG322" s="1"/>
      <c r="AEH322" s="1"/>
      <c r="AEI322" s="1"/>
      <c r="AEJ322" s="1"/>
      <c r="AEK322" s="1"/>
      <c r="AEL322" s="1"/>
      <c r="AEM322" s="1"/>
      <c r="AEN322" s="1"/>
      <c r="AEO322" s="1"/>
      <c r="AEP322" s="1"/>
      <c r="AEQ322" s="1"/>
      <c r="AER322" s="1"/>
      <c r="AES322" s="1"/>
      <c r="AET322" s="1"/>
      <c r="AEU322" s="1"/>
      <c r="AEV322" s="1"/>
      <c r="AEW322" s="1"/>
      <c r="AEX322" s="1"/>
      <c r="AEY322" s="1"/>
      <c r="AEZ322" s="1"/>
      <c r="AFA322" s="1"/>
      <c r="AFB322" s="1"/>
      <c r="AFC322" s="1"/>
      <c r="AFD322" s="1"/>
      <c r="AFE322" s="1"/>
      <c r="AFF322" s="1"/>
      <c r="AFG322" s="1"/>
      <c r="AFH322" s="1"/>
      <c r="AFI322" s="1"/>
      <c r="AFJ322" s="1"/>
      <c r="AFK322" s="1"/>
      <c r="AFL322" s="1"/>
      <c r="AFM322" s="1"/>
      <c r="AFN322" s="1"/>
      <c r="AFO322" s="1"/>
      <c r="AFP322" s="1"/>
      <c r="AFQ322" s="1"/>
      <c r="AFR322" s="1"/>
      <c r="AFS322" s="1"/>
      <c r="AFT322" s="1"/>
      <c r="AFU322" s="1"/>
      <c r="AFV322" s="1"/>
      <c r="AFW322" s="1"/>
      <c r="AFX322" s="1"/>
      <c r="AFY322" s="1"/>
      <c r="AFZ322" s="1"/>
      <c r="AGA322" s="1"/>
      <c r="AGB322" s="1"/>
      <c r="AGC322" s="1"/>
      <c r="AGD322" s="1"/>
      <c r="AGE322" s="1"/>
      <c r="AGF322" s="1"/>
      <c r="AGG322" s="1"/>
      <c r="AGH322" s="1"/>
      <c r="AGI322" s="1"/>
      <c r="AGJ322" s="1"/>
      <c r="AGK322" s="1"/>
      <c r="AGL322" s="1"/>
      <c r="AGM322" s="1"/>
      <c r="AGN322" s="1"/>
      <c r="AGO322" s="1"/>
      <c r="AGP322" s="1"/>
      <c r="AGQ322" s="1"/>
      <c r="AGR322" s="1"/>
      <c r="AGS322" s="1"/>
      <c r="AGT322" s="1"/>
      <c r="AGU322" s="1"/>
      <c r="AGV322" s="1"/>
      <c r="AGW322" s="1"/>
      <c r="AGX322" s="1"/>
      <c r="AGY322" s="1"/>
      <c r="AGZ322" s="1"/>
      <c r="AHA322" s="1"/>
      <c r="AHB322" s="1"/>
      <c r="AHC322" s="1"/>
      <c r="AHD322" s="1"/>
      <c r="AHE322" s="1"/>
      <c r="AHF322" s="1"/>
      <c r="AHG322" s="1"/>
      <c r="AHH322" s="1"/>
      <c r="AHI322" s="1"/>
      <c r="AHJ322" s="1"/>
      <c r="AHK322" s="1"/>
      <c r="AHL322" s="1"/>
      <c r="AHM322" s="1"/>
      <c r="AHN322" s="1"/>
      <c r="AHO322" s="1"/>
      <c r="AHP322" s="1"/>
      <c r="AHQ322" s="1"/>
      <c r="AHR322" s="1"/>
      <c r="AHS322" s="1"/>
      <c r="AHT322" s="1"/>
      <c r="AHU322" s="1"/>
      <c r="AHV322" s="1"/>
      <c r="AHW322" s="1"/>
      <c r="AHX322" s="1"/>
      <c r="AHY322" s="1"/>
      <c r="AHZ322" s="1"/>
      <c r="AIA322" s="1"/>
      <c r="AIB322" s="1"/>
      <c r="AIC322" s="1"/>
      <c r="AID322" s="1"/>
      <c r="AIE322" s="1"/>
      <c r="AIF322" s="1"/>
      <c r="AIG322" s="1"/>
      <c r="AIH322" s="1"/>
      <c r="AII322" s="1"/>
      <c r="AIJ322" s="1"/>
      <c r="AIK322" s="1"/>
      <c r="AIL322" s="1"/>
      <c r="AIM322" s="1"/>
      <c r="AIN322" s="1"/>
      <c r="AIO322" s="1"/>
      <c r="AIP322" s="1"/>
      <c r="AIQ322" s="1"/>
      <c r="AIR322" s="1"/>
      <c r="AIS322" s="1"/>
      <c r="AIT322" s="1"/>
      <c r="AIU322" s="1"/>
      <c r="AIV322" s="1"/>
      <c r="AIW322" s="1"/>
      <c r="AIX322" s="1"/>
      <c r="AIY322" s="1"/>
      <c r="AIZ322" s="1"/>
      <c r="AJA322" s="1"/>
      <c r="AJB322" s="1"/>
      <c r="AJC322" s="1"/>
      <c r="AJD322" s="1"/>
      <c r="AJE322" s="1"/>
      <c r="AJF322" s="1"/>
      <c r="AJG322" s="1"/>
      <c r="AJH322" s="1"/>
      <c r="AJI322" s="1"/>
      <c r="AJJ322" s="1"/>
      <c r="AJK322" s="1"/>
      <c r="AJL322" s="1"/>
      <c r="AJM322" s="1"/>
      <c r="AJN322" s="1"/>
      <c r="AJO322" s="1"/>
      <c r="AJP322" s="1"/>
      <c r="AJQ322" s="1"/>
      <c r="AJR322" s="1"/>
      <c r="AJS322" s="1"/>
      <c r="AJT322" s="1"/>
      <c r="AJU322" s="1"/>
      <c r="AJV322" s="1"/>
      <c r="AJW322" s="1"/>
      <c r="AJX322" s="1"/>
      <c r="AJY322" s="1"/>
      <c r="AJZ322" s="1"/>
      <c r="AKA322" s="1"/>
      <c r="AKB322" s="1"/>
      <c r="AKC322" s="1"/>
      <c r="AKD322" s="1"/>
      <c r="AKE322" s="1"/>
      <c r="AKF322" s="1"/>
      <c r="AKG322" s="1"/>
      <c r="AKH322" s="1"/>
      <c r="AKI322" s="1"/>
      <c r="AKJ322" s="1"/>
      <c r="AKK322" s="1"/>
      <c r="AKL322" s="1"/>
      <c r="AKM322" s="1"/>
      <c r="AKN322" s="1"/>
      <c r="AKO322" s="1"/>
      <c r="AKP322" s="1"/>
      <c r="AKQ322" s="1"/>
      <c r="AKR322" s="1"/>
      <c r="AKS322" s="1"/>
      <c r="AKT322" s="1"/>
      <c r="AKU322" s="1"/>
      <c r="AKV322" s="1"/>
      <c r="AKW322" s="1"/>
      <c r="AKX322" s="1"/>
      <c r="AKY322" s="1"/>
      <c r="AKZ322" s="1"/>
      <c r="ALA322" s="1"/>
      <c r="ALB322" s="1"/>
      <c r="ALC322" s="1"/>
      <c r="ALD322" s="1"/>
      <c r="ALE322" s="1"/>
      <c r="ALF322" s="1"/>
      <c r="ALG322" s="1"/>
      <c r="ALH322" s="1"/>
      <c r="ALI322" s="1"/>
      <c r="ALJ322" s="1"/>
      <c r="ALK322" s="1"/>
      <c r="ALL322" s="1"/>
      <c r="ALM322" s="1"/>
      <c r="ALN322" s="1"/>
      <c r="ALO322" s="1"/>
      <c r="ALP322" s="1"/>
      <c r="ALQ322" s="1"/>
      <c r="ALR322" s="1"/>
      <c r="ALS322" s="1"/>
      <c r="ALT322" s="1"/>
      <c r="ALU322" s="1"/>
      <c r="ALV322" s="1"/>
      <c r="ALW322" s="1"/>
      <c r="ALX322" s="1"/>
      <c r="ALY322" s="1"/>
      <c r="ALZ322" s="1"/>
      <c r="AMA322" s="1"/>
      <c r="AMB322" s="1"/>
      <c r="AMC322" s="1"/>
      <c r="AMD322" s="1"/>
      <c r="AME322" s="1"/>
      <c r="AMF322" s="1"/>
      <c r="AMG322" s="1"/>
      <c r="AMH322" s="1"/>
      <c r="AMI322" s="1"/>
      <c r="AMJ322" s="1"/>
      <c r="AMK322" s="1"/>
      <c r="AML322"/>
      <c r="AMM322"/>
    </row>
    <row r="324" spans="1:1027" x14ac:dyDescent="0.2">
      <c r="F324" s="10" t="s">
        <v>494</v>
      </c>
      <c r="G324" s="11">
        <v>179</v>
      </c>
      <c r="H324" s="10">
        <f>COUNTIF(K2:K314,"*Yes*")</f>
        <v>186</v>
      </c>
    </row>
    <row r="325" spans="1:1027" x14ac:dyDescent="0.2">
      <c r="F325" s="10" t="s">
        <v>927</v>
      </c>
      <c r="G325" s="11">
        <v>17</v>
      </c>
    </row>
    <row r="326" spans="1:1027" x14ac:dyDescent="0.2">
      <c r="F326" s="10" t="s">
        <v>521</v>
      </c>
      <c r="I326" s="10" t="s">
        <v>928</v>
      </c>
    </row>
  </sheetData>
  <sortState xmlns:xlrd2="http://schemas.microsoft.com/office/spreadsheetml/2017/richdata2" ref="A2:AMM326">
    <sortCondition ref="B2:B326"/>
  </sortState>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75"/>
  <sheetViews>
    <sheetView zoomScaleNormal="100" workbookViewId="0"/>
  </sheetViews>
  <sheetFormatPr baseColWidth="10" defaultColWidth="177.1640625" defaultRowHeight="15" x14ac:dyDescent="0.2"/>
  <cols>
    <col min="2" max="3" width="287" style="1" customWidth="1"/>
    <col min="6" max="6" width="249" style="1" customWidth="1"/>
    <col min="8" max="9" width="297.6640625" style="1" customWidth="1"/>
    <col min="13" max="16" width="145.83203125" style="1" customWidth="1"/>
    <col min="17" max="17" width="151.6640625" style="1" customWidth="1"/>
    <col min="18" max="18" width="20.5" style="91" customWidth="1"/>
  </cols>
  <sheetData>
    <row r="1" spans="1:19" ht="16" x14ac:dyDescent="0.2">
      <c r="B1" s="2" t="s">
        <v>0</v>
      </c>
      <c r="C1" s="2" t="s">
        <v>1</v>
      </c>
      <c r="D1" s="3" t="s">
        <v>3</v>
      </c>
      <c r="E1" s="3" t="s">
        <v>5</v>
      </c>
      <c r="F1" s="3" t="s">
        <v>929</v>
      </c>
      <c r="G1" s="3" t="s">
        <v>930</v>
      </c>
      <c r="H1" s="3" t="s">
        <v>931</v>
      </c>
      <c r="I1" s="3" t="s">
        <v>932</v>
      </c>
      <c r="J1" s="3" t="s">
        <v>933</v>
      </c>
      <c r="K1" s="3" t="s">
        <v>934</v>
      </c>
      <c r="L1" s="3" t="s">
        <v>935</v>
      </c>
      <c r="M1" s="3" t="s">
        <v>936</v>
      </c>
      <c r="N1" s="3" t="s">
        <v>937</v>
      </c>
      <c r="O1" s="3" t="s">
        <v>938</v>
      </c>
      <c r="P1" s="3" t="s">
        <v>939</v>
      </c>
      <c r="Q1" s="3" t="s">
        <v>940</v>
      </c>
      <c r="R1" s="92" t="s">
        <v>941</v>
      </c>
    </row>
    <row r="2" spans="1:19" x14ac:dyDescent="0.2">
      <c r="A2" s="1">
        <v>2</v>
      </c>
      <c r="B2" s="1" t="s">
        <v>11</v>
      </c>
      <c r="C2" s="1" t="s">
        <v>12</v>
      </c>
      <c r="D2" s="1">
        <v>1575</v>
      </c>
      <c r="E2" s="1">
        <v>99</v>
      </c>
      <c r="F2" s="1" t="s">
        <v>942</v>
      </c>
      <c r="G2" s="1" t="s">
        <v>943</v>
      </c>
      <c r="R2" s="91" t="s">
        <v>944</v>
      </c>
      <c r="S2" s="1" t="s">
        <v>945</v>
      </c>
    </row>
    <row r="3" spans="1:19" x14ac:dyDescent="0.2">
      <c r="A3" s="1">
        <v>3</v>
      </c>
      <c r="B3" s="1" t="s">
        <v>17</v>
      </c>
      <c r="C3" s="1" t="s">
        <v>18</v>
      </c>
      <c r="D3" s="1" t="s">
        <v>20</v>
      </c>
      <c r="E3" s="1">
        <v>15</v>
      </c>
      <c r="F3" s="1" t="s">
        <v>946</v>
      </c>
      <c r="G3" s="7" t="s">
        <v>947</v>
      </c>
      <c r="M3" s="1" t="s">
        <v>507</v>
      </c>
      <c r="N3" s="1" t="s">
        <v>507</v>
      </c>
      <c r="O3" s="1" t="s">
        <v>507</v>
      </c>
      <c r="P3" s="1" t="s">
        <v>948</v>
      </c>
      <c r="Q3" s="1" t="s">
        <v>507</v>
      </c>
      <c r="S3" s="1" t="s">
        <v>949</v>
      </c>
    </row>
    <row r="4" spans="1:19" x14ac:dyDescent="0.2">
      <c r="A4" s="1">
        <v>4</v>
      </c>
      <c r="B4" s="1" t="s">
        <v>24</v>
      </c>
      <c r="C4" s="1" t="s">
        <v>25</v>
      </c>
      <c r="D4" s="1">
        <v>1604</v>
      </c>
      <c r="E4" s="1">
        <v>135</v>
      </c>
      <c r="F4" s="1" t="s">
        <v>950</v>
      </c>
      <c r="G4" s="1" t="s">
        <v>947</v>
      </c>
      <c r="J4" s="1" t="s">
        <v>514</v>
      </c>
      <c r="M4" s="1" t="s">
        <v>507</v>
      </c>
      <c r="N4" s="1" t="s">
        <v>948</v>
      </c>
      <c r="O4" s="1" t="s">
        <v>507</v>
      </c>
      <c r="Q4" s="1" t="s">
        <v>507</v>
      </c>
      <c r="R4" s="91" t="s">
        <v>944</v>
      </c>
      <c r="S4" s="1" t="s">
        <v>951</v>
      </c>
    </row>
    <row r="5" spans="1:19" ht="16" x14ac:dyDescent="0.2">
      <c r="A5" s="93">
        <v>6</v>
      </c>
      <c r="B5" s="93" t="s">
        <v>30</v>
      </c>
      <c r="C5" s="93" t="s">
        <v>31</v>
      </c>
      <c r="D5" s="93" t="s">
        <v>20</v>
      </c>
      <c r="E5" s="93">
        <v>34</v>
      </c>
      <c r="F5" s="93" t="s">
        <v>514</v>
      </c>
      <c r="G5" s="93" t="s">
        <v>947</v>
      </c>
      <c r="H5" s="93" t="s">
        <v>952</v>
      </c>
      <c r="I5" s="93"/>
      <c r="J5" s="93"/>
      <c r="K5" s="93"/>
      <c r="L5" s="93"/>
      <c r="M5" s="40" t="s">
        <v>507</v>
      </c>
      <c r="N5" s="40" t="s">
        <v>948</v>
      </c>
      <c r="O5" s="40" t="s">
        <v>507</v>
      </c>
      <c r="P5" s="40"/>
      <c r="Q5" s="40" t="s">
        <v>507</v>
      </c>
      <c r="R5" s="94"/>
      <c r="S5" s="1" t="s">
        <v>953</v>
      </c>
    </row>
    <row r="6" spans="1:19" x14ac:dyDescent="0.2">
      <c r="A6" s="1">
        <v>7</v>
      </c>
      <c r="B6" s="1" t="s">
        <v>36</v>
      </c>
      <c r="C6" s="1" t="s">
        <v>37</v>
      </c>
      <c r="D6" s="1">
        <v>1652</v>
      </c>
      <c r="E6" s="1">
        <v>76</v>
      </c>
      <c r="F6" s="1" t="s">
        <v>942</v>
      </c>
      <c r="G6" s="1" t="s">
        <v>943</v>
      </c>
      <c r="M6" s="70" t="s">
        <v>507</v>
      </c>
      <c r="N6" s="70" t="s">
        <v>507</v>
      </c>
      <c r="O6" s="70" t="s">
        <v>507</v>
      </c>
      <c r="P6" s="70"/>
      <c r="Q6" s="70" t="s">
        <v>507</v>
      </c>
      <c r="R6" s="91" t="s">
        <v>954</v>
      </c>
    </row>
    <row r="7" spans="1:19" x14ac:dyDescent="0.2">
      <c r="A7" s="93">
        <v>8</v>
      </c>
      <c r="B7" s="93" t="s">
        <v>41</v>
      </c>
      <c r="C7" s="93" t="s">
        <v>31</v>
      </c>
      <c r="D7" s="93">
        <v>1658</v>
      </c>
      <c r="E7" s="93">
        <v>38</v>
      </c>
      <c r="F7" s="93" t="s">
        <v>955</v>
      </c>
      <c r="G7" s="93" t="s">
        <v>943</v>
      </c>
      <c r="H7" s="93" t="s">
        <v>952</v>
      </c>
      <c r="I7" s="93"/>
      <c r="J7" s="93"/>
      <c r="K7" s="93"/>
      <c r="L7" s="93"/>
      <c r="M7" s="70" t="s">
        <v>507</v>
      </c>
      <c r="N7" s="70" t="s">
        <v>948</v>
      </c>
      <c r="O7" s="70" t="s">
        <v>507</v>
      </c>
      <c r="P7" s="70"/>
      <c r="Q7" s="70" t="s">
        <v>507</v>
      </c>
      <c r="R7" s="94"/>
    </row>
    <row r="8" spans="1:19" x14ac:dyDescent="0.2">
      <c r="A8" s="1">
        <v>9</v>
      </c>
      <c r="B8" s="1" t="s">
        <v>43</v>
      </c>
      <c r="C8" s="1" t="s">
        <v>44</v>
      </c>
      <c r="D8" s="1" t="s">
        <v>20</v>
      </c>
      <c r="E8" s="1">
        <v>106</v>
      </c>
      <c r="F8" s="1" t="s">
        <v>946</v>
      </c>
      <c r="G8" s="1" t="s">
        <v>943</v>
      </c>
      <c r="H8" s="1" t="s">
        <v>952</v>
      </c>
      <c r="J8" s="1"/>
      <c r="L8" s="1" t="s">
        <v>956</v>
      </c>
      <c r="M8" s="70" t="s">
        <v>507</v>
      </c>
      <c r="N8" s="70" t="s">
        <v>508</v>
      </c>
      <c r="O8" s="70" t="s">
        <v>549</v>
      </c>
      <c r="P8" s="70"/>
      <c r="Q8" s="70" t="s">
        <v>549</v>
      </c>
      <c r="R8" s="91" t="s">
        <v>957</v>
      </c>
    </row>
    <row r="9" spans="1:19" x14ac:dyDescent="0.2">
      <c r="A9" s="95">
        <v>10</v>
      </c>
      <c r="B9" s="95" t="s">
        <v>47</v>
      </c>
      <c r="C9" s="95" t="s">
        <v>48</v>
      </c>
      <c r="D9" s="95" t="s">
        <v>20</v>
      </c>
      <c r="E9" s="95">
        <v>253</v>
      </c>
      <c r="F9" s="95" t="s">
        <v>598</v>
      </c>
      <c r="G9" s="95" t="s">
        <v>943</v>
      </c>
      <c r="H9" s="93" t="s">
        <v>952</v>
      </c>
      <c r="I9" s="95" t="s">
        <v>958</v>
      </c>
      <c r="J9" s="1" t="s">
        <v>959</v>
      </c>
      <c r="M9" s="70" t="s">
        <v>549</v>
      </c>
      <c r="N9" s="70"/>
      <c r="O9" s="70" t="s">
        <v>549</v>
      </c>
      <c r="P9" s="70"/>
      <c r="Q9" s="70" t="s">
        <v>549</v>
      </c>
      <c r="R9" s="91" t="s">
        <v>960</v>
      </c>
    </row>
    <row r="10" spans="1:19" x14ac:dyDescent="0.2">
      <c r="A10" s="1">
        <v>11</v>
      </c>
      <c r="B10" s="1" t="s">
        <v>52</v>
      </c>
      <c r="C10" s="1" t="s">
        <v>53</v>
      </c>
      <c r="D10" s="1">
        <v>1678</v>
      </c>
      <c r="E10" s="1">
        <v>100</v>
      </c>
      <c r="F10" s="1" t="s">
        <v>708</v>
      </c>
      <c r="G10" s="1" t="s">
        <v>943</v>
      </c>
      <c r="M10" s="70" t="s">
        <v>507</v>
      </c>
      <c r="N10" s="70"/>
      <c r="O10" s="70" t="s">
        <v>507</v>
      </c>
      <c r="P10" s="70"/>
      <c r="Q10" s="70" t="s">
        <v>507</v>
      </c>
      <c r="R10" s="96"/>
    </row>
    <row r="11" spans="1:19" x14ac:dyDescent="0.2">
      <c r="A11" s="93">
        <v>12</v>
      </c>
      <c r="B11" s="93" t="s">
        <v>58</v>
      </c>
      <c r="C11" s="93" t="s">
        <v>25</v>
      </c>
      <c r="D11" s="93">
        <v>1690</v>
      </c>
      <c r="E11" s="93">
        <v>39</v>
      </c>
      <c r="F11" s="93" t="s">
        <v>950</v>
      </c>
      <c r="G11" s="93" t="s">
        <v>947</v>
      </c>
      <c r="H11" s="93" t="s">
        <v>961</v>
      </c>
      <c r="I11" s="93"/>
      <c r="J11" s="93" t="s">
        <v>959</v>
      </c>
      <c r="K11" s="93"/>
      <c r="L11" s="93"/>
      <c r="M11" s="1" t="s">
        <v>507</v>
      </c>
      <c r="O11" s="1" t="s">
        <v>507</v>
      </c>
      <c r="Q11" s="1" t="s">
        <v>507</v>
      </c>
      <c r="R11" s="94"/>
      <c r="S11" s="93"/>
    </row>
    <row r="12" spans="1:19" x14ac:dyDescent="0.2">
      <c r="A12" s="93">
        <v>13</v>
      </c>
      <c r="B12" s="93" t="s">
        <v>61</v>
      </c>
      <c r="C12" s="93" t="s">
        <v>62</v>
      </c>
      <c r="D12" s="93">
        <v>1713</v>
      </c>
      <c r="E12" s="93">
        <v>32</v>
      </c>
      <c r="F12" s="93" t="s">
        <v>950</v>
      </c>
      <c r="G12" s="93" t="s">
        <v>947</v>
      </c>
      <c r="H12" s="93" t="s">
        <v>961</v>
      </c>
      <c r="I12" s="93"/>
      <c r="J12" s="93"/>
      <c r="K12" s="93"/>
      <c r="L12" s="93"/>
      <c r="M12" s="70" t="s">
        <v>507</v>
      </c>
      <c r="N12" s="70"/>
      <c r="O12" s="70" t="s">
        <v>507</v>
      </c>
      <c r="P12" s="70"/>
      <c r="Q12" s="70" t="s">
        <v>507</v>
      </c>
      <c r="R12" s="94"/>
    </row>
    <row r="13" spans="1:19" x14ac:dyDescent="0.2">
      <c r="A13" s="1">
        <v>14</v>
      </c>
      <c r="B13" s="1" t="s">
        <v>67</v>
      </c>
      <c r="C13" s="1" t="s">
        <v>25</v>
      </c>
      <c r="D13" s="1">
        <v>1716</v>
      </c>
      <c r="E13" s="1">
        <v>99</v>
      </c>
      <c r="F13" s="1" t="s">
        <v>942</v>
      </c>
      <c r="G13" s="1" t="s">
        <v>943</v>
      </c>
      <c r="M13" s="1" t="s">
        <v>507</v>
      </c>
      <c r="O13" s="1" t="s">
        <v>507</v>
      </c>
      <c r="Q13" s="1" t="s">
        <v>507</v>
      </c>
      <c r="R13" s="91" t="s">
        <v>962</v>
      </c>
    </row>
    <row r="14" spans="1:19" s="97" customFormat="1" x14ac:dyDescent="0.2">
      <c r="A14" s="97">
        <v>19</v>
      </c>
      <c r="B14" s="97" t="s">
        <v>374</v>
      </c>
      <c r="C14" s="97" t="s">
        <v>375</v>
      </c>
      <c r="D14" s="97">
        <v>1747</v>
      </c>
      <c r="E14" s="97">
        <v>100</v>
      </c>
      <c r="F14" s="97" t="s">
        <v>942</v>
      </c>
      <c r="G14" s="97" t="s">
        <v>943</v>
      </c>
      <c r="J14" s="97" t="s">
        <v>959</v>
      </c>
      <c r="L14" s="97" t="s">
        <v>963</v>
      </c>
      <c r="M14" s="1"/>
      <c r="N14" s="1"/>
      <c r="O14" s="1"/>
      <c r="P14" s="1"/>
      <c r="Q14" s="1"/>
      <c r="R14" s="97" t="s">
        <v>964</v>
      </c>
    </row>
    <row r="15" spans="1:19" x14ac:dyDescent="0.2">
      <c r="A15" s="1">
        <v>20</v>
      </c>
      <c r="B15" s="1" t="s">
        <v>79</v>
      </c>
      <c r="C15" s="1" t="s">
        <v>25</v>
      </c>
      <c r="D15" s="1">
        <v>1749</v>
      </c>
      <c r="E15" s="1">
        <v>181</v>
      </c>
      <c r="F15" s="1" t="s">
        <v>943</v>
      </c>
      <c r="G15" s="1" t="s">
        <v>943</v>
      </c>
      <c r="H15" s="1" t="s">
        <v>965</v>
      </c>
      <c r="J15" s="1" t="s">
        <v>959</v>
      </c>
      <c r="M15" s="1" t="s">
        <v>507</v>
      </c>
      <c r="O15" s="1" t="s">
        <v>507</v>
      </c>
      <c r="Q15" s="1" t="s">
        <v>507</v>
      </c>
    </row>
    <row r="16" spans="1:19" x14ac:dyDescent="0.2">
      <c r="A16" s="1">
        <v>21</v>
      </c>
      <c r="B16" s="1" t="s">
        <v>83</v>
      </c>
      <c r="C16" s="1" t="s">
        <v>84</v>
      </c>
      <c r="D16" s="1">
        <v>1749</v>
      </c>
      <c r="E16" s="1">
        <v>47</v>
      </c>
      <c r="F16" s="1" t="s">
        <v>514</v>
      </c>
      <c r="G16" s="1" t="s">
        <v>947</v>
      </c>
      <c r="M16" s="26" t="s">
        <v>507</v>
      </c>
      <c r="N16" s="98"/>
      <c r="O16" s="99" t="s">
        <v>507</v>
      </c>
      <c r="P16" s="99"/>
      <c r="Q16" s="99" t="s">
        <v>507</v>
      </c>
    </row>
    <row r="17" spans="1:19" s="100" customFormat="1" x14ac:dyDescent="0.2">
      <c r="A17" s="100">
        <v>22</v>
      </c>
      <c r="B17" s="100" t="s">
        <v>380</v>
      </c>
      <c r="C17" s="100" t="s">
        <v>381</v>
      </c>
      <c r="D17" s="100">
        <v>1752</v>
      </c>
      <c r="E17" s="100">
        <v>28</v>
      </c>
      <c r="F17" s="100" t="s">
        <v>946</v>
      </c>
      <c r="G17" s="100" t="s">
        <v>943</v>
      </c>
      <c r="M17" s="1"/>
      <c r="N17" s="1"/>
      <c r="O17" s="1"/>
      <c r="P17" s="1"/>
      <c r="Q17" s="1"/>
      <c r="R17" s="100" t="s">
        <v>966</v>
      </c>
      <c r="S17" s="100" t="s">
        <v>967</v>
      </c>
    </row>
    <row r="18" spans="1:19" x14ac:dyDescent="0.2">
      <c r="A18" s="1">
        <v>24</v>
      </c>
      <c r="B18" s="1" t="s">
        <v>86</v>
      </c>
      <c r="C18" s="1" t="s">
        <v>87</v>
      </c>
      <c r="D18" s="1">
        <v>1753</v>
      </c>
      <c r="E18" s="1">
        <v>188</v>
      </c>
      <c r="F18" s="1" t="s">
        <v>968</v>
      </c>
      <c r="G18" s="1" t="s">
        <v>943</v>
      </c>
      <c r="H18" s="1" t="s">
        <v>969</v>
      </c>
      <c r="I18" s="1" t="s">
        <v>970</v>
      </c>
      <c r="J18" s="1" t="s">
        <v>971</v>
      </c>
      <c r="K18" s="1" t="s">
        <v>972</v>
      </c>
      <c r="L18" s="101" t="s">
        <v>973</v>
      </c>
      <c r="M18" s="1" t="s">
        <v>507</v>
      </c>
      <c r="O18" s="1" t="s">
        <v>507</v>
      </c>
      <c r="Q18" s="1" t="s">
        <v>507</v>
      </c>
      <c r="R18" s="91" t="s">
        <v>974</v>
      </c>
      <c r="S18" s="1" t="s">
        <v>975</v>
      </c>
    </row>
    <row r="19" spans="1:19" x14ac:dyDescent="0.2">
      <c r="A19" s="1">
        <v>25</v>
      </c>
      <c r="B19" s="1" t="s">
        <v>92</v>
      </c>
      <c r="C19" s="1" t="s">
        <v>25</v>
      </c>
      <c r="D19" s="1">
        <v>1755</v>
      </c>
      <c r="E19" s="1">
        <v>191</v>
      </c>
      <c r="F19" s="1" t="s">
        <v>942</v>
      </c>
      <c r="G19" s="1" t="s">
        <v>943</v>
      </c>
      <c r="M19" s="70" t="s">
        <v>507</v>
      </c>
      <c r="N19" s="70"/>
      <c r="O19" s="70" t="s">
        <v>507</v>
      </c>
      <c r="P19" s="70"/>
      <c r="Q19" s="70" t="s">
        <v>507</v>
      </c>
      <c r="R19" s="91" t="s">
        <v>976</v>
      </c>
      <c r="S19" s="1" t="s">
        <v>977</v>
      </c>
    </row>
    <row r="20" spans="1:19" s="31" customFormat="1" x14ac:dyDescent="0.2">
      <c r="A20" s="31">
        <v>26</v>
      </c>
      <c r="B20" s="31" t="s">
        <v>978</v>
      </c>
      <c r="D20" s="31">
        <v>1756</v>
      </c>
      <c r="E20" s="31">
        <v>11</v>
      </c>
      <c r="F20" s="31" t="s">
        <v>979</v>
      </c>
      <c r="G20" s="31" t="s">
        <v>943</v>
      </c>
      <c r="M20" s="70"/>
      <c r="N20" s="70"/>
      <c r="O20" s="70"/>
      <c r="P20" s="70"/>
      <c r="Q20" s="70"/>
      <c r="R20" s="31" t="s">
        <v>980</v>
      </c>
    </row>
    <row r="21" spans="1:19" x14ac:dyDescent="0.2">
      <c r="A21" s="1">
        <v>27</v>
      </c>
      <c r="B21" s="1" t="s">
        <v>97</v>
      </c>
      <c r="C21" s="1" t="s">
        <v>25</v>
      </c>
      <c r="D21" s="1">
        <v>1758</v>
      </c>
      <c r="E21" s="1">
        <v>129</v>
      </c>
      <c r="F21" s="1" t="s">
        <v>946</v>
      </c>
      <c r="G21" s="1" t="s">
        <v>943</v>
      </c>
      <c r="M21" s="1" t="s">
        <v>549</v>
      </c>
      <c r="O21" s="1" t="s">
        <v>549</v>
      </c>
      <c r="Q21" s="1" t="s">
        <v>549</v>
      </c>
      <c r="R21" s="91" t="s">
        <v>981</v>
      </c>
      <c r="S21" s="1" t="s">
        <v>982</v>
      </c>
    </row>
    <row r="22" spans="1:19" x14ac:dyDescent="0.2">
      <c r="A22" s="1">
        <v>28</v>
      </c>
      <c r="B22" s="1" t="s">
        <v>100</v>
      </c>
      <c r="C22" s="1" t="s">
        <v>25</v>
      </c>
      <c r="D22" s="1">
        <v>1762</v>
      </c>
      <c r="E22" s="1">
        <v>42</v>
      </c>
      <c r="F22" s="1" t="s">
        <v>946</v>
      </c>
      <c r="G22" s="1" t="s">
        <v>947</v>
      </c>
      <c r="M22" s="1" t="s">
        <v>507</v>
      </c>
      <c r="O22" s="1" t="s">
        <v>507</v>
      </c>
      <c r="Q22" s="1" t="s">
        <v>507</v>
      </c>
    </row>
    <row r="23" spans="1:19" x14ac:dyDescent="0.2">
      <c r="A23" s="1">
        <v>29</v>
      </c>
      <c r="B23" s="1" t="s">
        <v>103</v>
      </c>
      <c r="C23" s="1" t="s">
        <v>104</v>
      </c>
      <c r="D23" s="1">
        <v>1772</v>
      </c>
      <c r="E23" s="1">
        <v>289</v>
      </c>
      <c r="F23" s="1" t="s">
        <v>983</v>
      </c>
      <c r="G23" s="1" t="s">
        <v>943</v>
      </c>
      <c r="J23" s="1" t="s">
        <v>959</v>
      </c>
      <c r="K23" s="1" t="s">
        <v>984</v>
      </c>
      <c r="L23" s="1" t="s">
        <v>985</v>
      </c>
      <c r="M23" s="70" t="s">
        <v>507</v>
      </c>
      <c r="N23" s="70"/>
      <c r="O23" s="70" t="s">
        <v>507</v>
      </c>
      <c r="P23" s="70"/>
      <c r="Q23" s="70" t="s">
        <v>507</v>
      </c>
      <c r="R23" s="91" t="s">
        <v>986</v>
      </c>
      <c r="S23" s="1" t="s">
        <v>987</v>
      </c>
    </row>
    <row r="24" spans="1:19" x14ac:dyDescent="0.2">
      <c r="A24" s="1">
        <v>30</v>
      </c>
      <c r="B24" s="1" t="s">
        <v>109</v>
      </c>
      <c r="C24" s="1" t="s">
        <v>110</v>
      </c>
      <c r="D24" s="1">
        <v>1789</v>
      </c>
      <c r="E24" s="1">
        <v>47</v>
      </c>
      <c r="F24" s="1" t="s">
        <v>514</v>
      </c>
      <c r="G24" s="1" t="s">
        <v>943</v>
      </c>
      <c r="M24" s="70" t="s">
        <v>507</v>
      </c>
      <c r="N24" s="70"/>
      <c r="O24" s="70" t="s">
        <v>507</v>
      </c>
      <c r="P24" s="70"/>
      <c r="Q24" s="70" t="s">
        <v>507</v>
      </c>
      <c r="R24" s="91" t="s">
        <v>988</v>
      </c>
    </row>
    <row r="25" spans="1:19" x14ac:dyDescent="0.2">
      <c r="A25" s="1">
        <v>31</v>
      </c>
      <c r="B25" s="1" t="s">
        <v>115</v>
      </c>
      <c r="C25" s="1" t="s">
        <v>116</v>
      </c>
      <c r="D25" s="1">
        <v>1791</v>
      </c>
      <c r="E25" s="1">
        <v>674</v>
      </c>
      <c r="F25" s="1" t="s">
        <v>989</v>
      </c>
      <c r="G25" s="1" t="s">
        <v>947</v>
      </c>
      <c r="J25" s="1" t="s">
        <v>959</v>
      </c>
      <c r="K25" s="1"/>
      <c r="L25" s="1" t="s">
        <v>990</v>
      </c>
      <c r="M25" s="70" t="s">
        <v>507</v>
      </c>
      <c r="N25" s="70"/>
      <c r="O25" s="70" t="s">
        <v>507</v>
      </c>
      <c r="P25" s="70"/>
      <c r="Q25" s="70" t="s">
        <v>507</v>
      </c>
      <c r="R25" s="91" t="s">
        <v>991</v>
      </c>
      <c r="S25" s="1" t="s">
        <v>992</v>
      </c>
    </row>
    <row r="26" spans="1:19" x14ac:dyDescent="0.2">
      <c r="A26" s="1">
        <v>33</v>
      </c>
      <c r="B26" s="1" t="s">
        <v>123</v>
      </c>
      <c r="C26" s="1" t="s">
        <v>124</v>
      </c>
      <c r="D26" s="1">
        <v>1794</v>
      </c>
      <c r="E26" s="1">
        <v>697</v>
      </c>
      <c r="F26" s="1" t="s">
        <v>942</v>
      </c>
      <c r="G26" s="1" t="s">
        <v>943</v>
      </c>
      <c r="L26" s="1" t="s">
        <v>993</v>
      </c>
      <c r="M26" s="70" t="s">
        <v>507</v>
      </c>
      <c r="N26" s="70" t="s">
        <v>507</v>
      </c>
      <c r="O26" s="70" t="s">
        <v>507</v>
      </c>
      <c r="P26" s="70"/>
      <c r="Q26" s="70" t="s">
        <v>507</v>
      </c>
      <c r="R26" s="91" t="s">
        <v>994</v>
      </c>
    </row>
    <row r="27" spans="1:19" x14ac:dyDescent="0.2">
      <c r="A27" s="1">
        <v>35</v>
      </c>
      <c r="B27" s="1" t="s">
        <v>127</v>
      </c>
      <c r="C27" s="1" t="s">
        <v>128</v>
      </c>
      <c r="D27" s="1">
        <v>1795</v>
      </c>
      <c r="E27" s="1">
        <v>19</v>
      </c>
      <c r="F27" s="1" t="s">
        <v>514</v>
      </c>
      <c r="G27" s="1" t="s">
        <v>947</v>
      </c>
      <c r="M27" s="70" t="s">
        <v>507</v>
      </c>
      <c r="N27" s="70"/>
      <c r="O27" s="70" t="s">
        <v>507</v>
      </c>
      <c r="P27" s="70"/>
      <c r="Q27" s="70" t="s">
        <v>507</v>
      </c>
      <c r="R27" s="91" t="s">
        <v>995</v>
      </c>
    </row>
    <row r="28" spans="1:19" x14ac:dyDescent="0.2">
      <c r="A28" s="1">
        <v>36</v>
      </c>
      <c r="B28" s="1" t="s">
        <v>133</v>
      </c>
      <c r="C28" s="1" t="s">
        <v>25</v>
      </c>
      <c r="D28" s="1">
        <v>1795</v>
      </c>
      <c r="E28" s="1">
        <v>217</v>
      </c>
      <c r="F28" s="1" t="s">
        <v>598</v>
      </c>
      <c r="G28" s="1" t="s">
        <v>947</v>
      </c>
      <c r="M28" s="70" t="s">
        <v>507</v>
      </c>
      <c r="O28" s="70" t="s">
        <v>507</v>
      </c>
      <c r="Q28" s="70" t="s">
        <v>507</v>
      </c>
      <c r="R28" s="91" t="s">
        <v>996</v>
      </c>
    </row>
    <row r="29" spans="1:19" s="5" customFormat="1" x14ac:dyDescent="0.2">
      <c r="A29" s="5">
        <v>37</v>
      </c>
      <c r="B29" s="5" t="s">
        <v>135</v>
      </c>
      <c r="C29" s="5" t="s">
        <v>136</v>
      </c>
      <c r="D29" s="5">
        <v>1750</v>
      </c>
      <c r="E29" s="5">
        <v>235</v>
      </c>
      <c r="J29" s="5" t="s">
        <v>997</v>
      </c>
      <c r="M29" s="70"/>
      <c r="N29" s="70"/>
      <c r="O29" s="70"/>
      <c r="P29" s="70"/>
      <c r="Q29" s="70"/>
      <c r="R29" s="5" t="s">
        <v>998</v>
      </c>
    </row>
    <row r="30" spans="1:19" x14ac:dyDescent="0.2">
      <c r="A30" s="1">
        <v>38</v>
      </c>
      <c r="B30" s="1" t="s">
        <v>142</v>
      </c>
      <c r="C30" s="1" t="s">
        <v>143</v>
      </c>
      <c r="D30" s="1">
        <v>1805</v>
      </c>
      <c r="E30" s="1">
        <v>157</v>
      </c>
      <c r="F30" s="1" t="s">
        <v>708</v>
      </c>
      <c r="G30" s="1" t="s">
        <v>947</v>
      </c>
      <c r="M30" s="1" t="s">
        <v>507</v>
      </c>
      <c r="N30" s="99"/>
      <c r="O30" s="99" t="s">
        <v>549</v>
      </c>
      <c r="P30" s="99"/>
      <c r="Q30" s="99" t="s">
        <v>549</v>
      </c>
      <c r="R30" s="91" t="s">
        <v>999</v>
      </c>
    </row>
    <row r="31" spans="1:19" x14ac:dyDescent="0.2">
      <c r="A31" s="1">
        <v>40</v>
      </c>
      <c r="B31" s="1" t="s">
        <v>147</v>
      </c>
      <c r="C31" s="1" t="s">
        <v>148</v>
      </c>
      <c r="D31" s="1">
        <v>1813</v>
      </c>
      <c r="E31" s="1">
        <v>185</v>
      </c>
      <c r="F31" s="1" t="s">
        <v>1000</v>
      </c>
      <c r="G31" s="1" t="s">
        <v>947</v>
      </c>
      <c r="J31" s="1" t="s">
        <v>959</v>
      </c>
      <c r="K31" s="1" t="s">
        <v>514</v>
      </c>
      <c r="L31" s="102" t="s">
        <v>1001</v>
      </c>
      <c r="M31" s="33" t="s">
        <v>507</v>
      </c>
      <c r="N31" s="33"/>
      <c r="O31" s="33" t="s">
        <v>507</v>
      </c>
      <c r="P31" s="33"/>
      <c r="Q31" s="33" t="s">
        <v>507</v>
      </c>
    </row>
    <row r="32" spans="1:19" x14ac:dyDescent="0.2">
      <c r="A32" s="1">
        <v>43</v>
      </c>
      <c r="B32" s="1" t="s">
        <v>153</v>
      </c>
      <c r="C32" s="1" t="s">
        <v>154</v>
      </c>
      <c r="D32" s="1">
        <v>1814</v>
      </c>
      <c r="E32" s="1">
        <v>33</v>
      </c>
      <c r="F32" s="1" t="s">
        <v>1002</v>
      </c>
      <c r="G32" s="1" t="s">
        <v>947</v>
      </c>
      <c r="M32" s="1" t="s">
        <v>507</v>
      </c>
      <c r="O32" s="1" t="s">
        <v>507</v>
      </c>
      <c r="Q32" s="1" t="s">
        <v>507</v>
      </c>
    </row>
    <row r="33" spans="1:18" x14ac:dyDescent="0.2">
      <c r="A33" s="1">
        <v>45</v>
      </c>
      <c r="B33" s="1" t="s">
        <v>158</v>
      </c>
      <c r="C33" s="1" t="s">
        <v>159</v>
      </c>
      <c r="D33" s="1">
        <v>1818</v>
      </c>
      <c r="E33" s="1">
        <v>41</v>
      </c>
      <c r="F33" s="1" t="s">
        <v>942</v>
      </c>
      <c r="G33" s="1" t="s">
        <v>947</v>
      </c>
      <c r="M33" s="1" t="s">
        <v>507</v>
      </c>
      <c r="O33" s="1" t="s">
        <v>507</v>
      </c>
      <c r="Q33" s="1" t="s">
        <v>507</v>
      </c>
      <c r="R33" s="91" t="s">
        <v>995</v>
      </c>
    </row>
    <row r="34" spans="1:18" x14ac:dyDescent="0.2">
      <c r="A34" s="1">
        <v>48</v>
      </c>
      <c r="B34" s="1" t="s">
        <v>163</v>
      </c>
      <c r="C34" s="1" t="s">
        <v>164</v>
      </c>
      <c r="D34" s="1">
        <v>1841</v>
      </c>
      <c r="E34" s="1">
        <v>49</v>
      </c>
      <c r="F34" s="1" t="s">
        <v>946</v>
      </c>
      <c r="G34" s="1" t="s">
        <v>947</v>
      </c>
      <c r="H34" s="1" t="s">
        <v>961</v>
      </c>
      <c r="M34" s="1" t="s">
        <v>549</v>
      </c>
      <c r="O34" s="1" t="s">
        <v>549</v>
      </c>
      <c r="Q34" s="1" t="s">
        <v>549</v>
      </c>
      <c r="R34" s="91" t="s">
        <v>995</v>
      </c>
    </row>
    <row r="35" spans="1:18" x14ac:dyDescent="0.2">
      <c r="A35" s="1" t="s">
        <v>1003</v>
      </c>
      <c r="E35" s="1">
        <f>SUM(E2:E34)</f>
        <v>4586</v>
      </c>
      <c r="M35" s="70"/>
      <c r="N35" s="70"/>
      <c r="O35" s="70"/>
      <c r="P35" s="70"/>
      <c r="Q35" s="70"/>
    </row>
    <row r="36" spans="1:18" x14ac:dyDescent="0.2">
      <c r="B36" s="1" t="s">
        <v>1004</v>
      </c>
      <c r="E36" s="2"/>
    </row>
    <row r="38" spans="1:18" x14ac:dyDescent="0.2">
      <c r="M38" s="70"/>
      <c r="N38" s="70"/>
      <c r="O38" s="70"/>
      <c r="P38" s="70"/>
      <c r="Q38" s="70"/>
    </row>
    <row r="39" spans="1:18" x14ac:dyDescent="0.2">
      <c r="M39" s="70"/>
      <c r="N39" s="70"/>
      <c r="O39" s="70"/>
      <c r="P39" s="70"/>
      <c r="Q39" s="70"/>
    </row>
    <row r="40" spans="1:18" x14ac:dyDescent="0.2">
      <c r="M40" s="70"/>
      <c r="N40" s="70"/>
      <c r="O40" s="70"/>
      <c r="P40" s="70"/>
      <c r="Q40" s="70"/>
    </row>
    <row r="42" spans="1:18" x14ac:dyDescent="0.2">
      <c r="M42" s="70"/>
      <c r="N42" s="70"/>
      <c r="O42" s="70"/>
      <c r="P42" s="70"/>
      <c r="Q42" s="70"/>
    </row>
    <row r="46" spans="1:18" x14ac:dyDescent="0.2">
      <c r="M46" s="33"/>
      <c r="N46" s="33"/>
      <c r="O46" s="33"/>
      <c r="P46" s="33"/>
      <c r="Q46" s="33"/>
    </row>
    <row r="60" spans="13:17" x14ac:dyDescent="0.2">
      <c r="M60" s="70"/>
      <c r="N60" s="70"/>
      <c r="O60" s="70"/>
      <c r="P60" s="70"/>
      <c r="Q60" s="70"/>
    </row>
    <row r="66" spans="13:17" x14ac:dyDescent="0.2">
      <c r="M66" s="70"/>
      <c r="N66" s="70"/>
      <c r="O66" s="70"/>
      <c r="P66" s="70"/>
      <c r="Q66" s="70"/>
    </row>
    <row r="67" spans="13:17" x14ac:dyDescent="0.2">
      <c r="M67" s="70"/>
      <c r="N67" s="70"/>
      <c r="O67" s="70"/>
      <c r="P67" s="70"/>
      <c r="Q67" s="70"/>
    </row>
    <row r="68" spans="13:17" x14ac:dyDescent="0.2">
      <c r="M68" s="70"/>
      <c r="N68" s="70"/>
      <c r="O68" s="70"/>
      <c r="P68" s="70"/>
      <c r="Q68" s="70"/>
    </row>
    <row r="69" spans="13:17" x14ac:dyDescent="0.2">
      <c r="M69" s="70"/>
      <c r="N69" s="70"/>
      <c r="O69" s="70"/>
      <c r="P69" s="70"/>
      <c r="Q69" s="70"/>
    </row>
    <row r="70" spans="13:17" x14ac:dyDescent="0.2">
      <c r="M70" s="70"/>
      <c r="N70" s="70"/>
      <c r="O70" s="70"/>
      <c r="P70" s="70"/>
      <c r="Q70" s="70"/>
    </row>
    <row r="71" spans="13:17" x14ac:dyDescent="0.2">
      <c r="M71" s="70"/>
      <c r="N71" s="70"/>
      <c r="O71" s="70"/>
      <c r="P71" s="70"/>
      <c r="Q71" s="70"/>
    </row>
    <row r="72" spans="13:17" x14ac:dyDescent="0.2">
      <c r="M72" s="70"/>
      <c r="N72" s="70"/>
      <c r="O72" s="70"/>
      <c r="P72" s="70"/>
      <c r="Q72" s="70"/>
    </row>
    <row r="73" spans="13:17" x14ac:dyDescent="0.2">
      <c r="M73" s="70"/>
      <c r="N73" s="70"/>
      <c r="O73" s="70"/>
      <c r="P73" s="70"/>
      <c r="Q73" s="70"/>
    </row>
    <row r="74" spans="13:17" x14ac:dyDescent="0.2">
      <c r="M74" s="70"/>
      <c r="N74" s="70"/>
      <c r="O74" s="70"/>
      <c r="P74" s="70"/>
      <c r="Q74" s="70"/>
    </row>
    <row r="75" spans="13:17" x14ac:dyDescent="0.2">
      <c r="M75" s="78"/>
      <c r="N75" s="78"/>
      <c r="O75" s="78"/>
      <c r="P75" s="78"/>
      <c r="Q75" s="78"/>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5"/>
  <sheetViews>
    <sheetView zoomScaleNormal="100" workbookViewId="0"/>
  </sheetViews>
  <sheetFormatPr baseColWidth="10" defaultColWidth="162.5" defaultRowHeight="15" x14ac:dyDescent="0.2"/>
  <cols>
    <col min="1" max="1" width="51.83203125" style="1" customWidth="1"/>
    <col min="2" max="2" width="225.33203125" style="1" customWidth="1"/>
    <col min="3" max="3" width="18.5" style="1" customWidth="1"/>
    <col min="8" max="8" width="149.1640625" style="1" customWidth="1"/>
    <col min="9" max="12" width="145.83203125" style="1" customWidth="1"/>
    <col min="13" max="13" width="141" style="1" customWidth="1"/>
    <col min="14" max="14" width="169.5" style="1" customWidth="1"/>
    <col min="15" max="15" width="174.83203125" style="1" customWidth="1"/>
    <col min="17" max="19" width="151.6640625" style="1" hidden="1" customWidth="1"/>
  </cols>
  <sheetData>
    <row r="1" spans="1:20" ht="16" x14ac:dyDescent="0.2">
      <c r="A1" s="2" t="s">
        <v>0</v>
      </c>
      <c r="B1" s="2" t="s">
        <v>1</v>
      </c>
      <c r="C1" s="2" t="s">
        <v>2</v>
      </c>
      <c r="D1" s="2" t="s">
        <v>3</v>
      </c>
      <c r="E1" s="2" t="s">
        <v>170</v>
      </c>
      <c r="F1" s="2" t="s">
        <v>4</v>
      </c>
      <c r="G1" s="3" t="s">
        <v>929</v>
      </c>
      <c r="H1" s="3" t="s">
        <v>930</v>
      </c>
      <c r="I1" s="3" t="s">
        <v>936</v>
      </c>
      <c r="J1" s="3" t="s">
        <v>937</v>
      </c>
      <c r="K1" s="3" t="s">
        <v>938</v>
      </c>
      <c r="L1" s="3" t="s">
        <v>939</v>
      </c>
      <c r="M1" s="3" t="s">
        <v>940</v>
      </c>
      <c r="N1" s="3" t="s">
        <v>931</v>
      </c>
      <c r="O1" s="3" t="s">
        <v>932</v>
      </c>
      <c r="P1" s="2" t="s">
        <v>935</v>
      </c>
      <c r="Q1" s="2" t="s">
        <v>7</v>
      </c>
      <c r="R1" s="2" t="s">
        <v>8</v>
      </c>
      <c r="S1" s="2" t="s">
        <v>171</v>
      </c>
      <c r="T1" s="2" t="s">
        <v>502</v>
      </c>
    </row>
    <row r="2" spans="1:20" s="5" customFormat="1" x14ac:dyDescent="0.2">
      <c r="A2" s="5" t="s">
        <v>172</v>
      </c>
      <c r="B2" s="5" t="s">
        <v>173</v>
      </c>
      <c r="C2" s="5" t="s">
        <v>174</v>
      </c>
      <c r="D2" s="5">
        <v>1496</v>
      </c>
      <c r="E2" s="5">
        <v>636</v>
      </c>
      <c r="F2" s="5">
        <v>3</v>
      </c>
      <c r="G2" s="5" t="s">
        <v>1005</v>
      </c>
      <c r="I2" s="1"/>
      <c r="J2" s="1"/>
      <c r="K2" s="1"/>
      <c r="L2" s="1"/>
      <c r="M2" s="1"/>
      <c r="Q2" s="5" t="s">
        <v>175</v>
      </c>
      <c r="R2" s="5" t="s">
        <v>176</v>
      </c>
      <c r="S2" s="5" t="s">
        <v>177</v>
      </c>
      <c r="T2" s="5" t="s">
        <v>1006</v>
      </c>
    </row>
    <row r="3" spans="1:20" x14ac:dyDescent="0.2">
      <c r="A3" s="1" t="s">
        <v>178</v>
      </c>
      <c r="B3" s="1" t="s">
        <v>179</v>
      </c>
      <c r="C3" s="1" t="s">
        <v>180</v>
      </c>
      <c r="D3" s="1">
        <v>1623</v>
      </c>
      <c r="E3" s="1">
        <v>102</v>
      </c>
      <c r="F3" s="1">
        <v>3</v>
      </c>
      <c r="G3" s="1" t="s">
        <v>946</v>
      </c>
      <c r="H3" s="1" t="s">
        <v>943</v>
      </c>
      <c r="P3" s="1"/>
      <c r="Q3" s="1" t="s">
        <v>130</v>
      </c>
      <c r="R3" s="1" t="s">
        <v>181</v>
      </c>
      <c r="S3" s="1" t="s">
        <v>182</v>
      </c>
    </row>
    <row r="4" spans="1:20" x14ac:dyDescent="0.2">
      <c r="A4" s="1" t="s">
        <v>183</v>
      </c>
      <c r="B4" s="1" t="s">
        <v>25</v>
      </c>
      <c r="C4" s="1" t="s">
        <v>184</v>
      </c>
      <c r="D4" s="1">
        <v>1643</v>
      </c>
      <c r="E4" s="1">
        <v>64</v>
      </c>
      <c r="F4" s="1">
        <v>3</v>
      </c>
      <c r="G4" s="1" t="s">
        <v>1005</v>
      </c>
      <c r="H4" s="1" t="s">
        <v>943</v>
      </c>
      <c r="I4" s="1" t="s">
        <v>507</v>
      </c>
      <c r="K4" s="1" t="s">
        <v>507</v>
      </c>
      <c r="L4" s="1" t="s">
        <v>948</v>
      </c>
      <c r="P4" s="1"/>
      <c r="Q4" s="1" t="s">
        <v>185</v>
      </c>
      <c r="R4" s="1" t="s">
        <v>186</v>
      </c>
      <c r="S4" s="1" t="s">
        <v>187</v>
      </c>
    </row>
    <row r="5" spans="1:20" ht="15" customHeight="1" x14ac:dyDescent="0.2">
      <c r="A5" s="1" t="s">
        <v>188</v>
      </c>
      <c r="B5" s="1" t="s">
        <v>25</v>
      </c>
      <c r="C5" s="1" t="s">
        <v>189</v>
      </c>
      <c r="D5" s="1">
        <v>1657</v>
      </c>
      <c r="E5" s="1">
        <v>88</v>
      </c>
      <c r="F5" s="1">
        <v>3</v>
      </c>
      <c r="G5" s="1" t="s">
        <v>1007</v>
      </c>
      <c r="H5" s="1" t="s">
        <v>943</v>
      </c>
      <c r="I5" s="40" t="s">
        <v>507</v>
      </c>
      <c r="J5" s="40"/>
      <c r="K5" s="40" t="s">
        <v>507</v>
      </c>
      <c r="L5" s="40"/>
      <c r="M5" s="40" t="s">
        <v>507</v>
      </c>
      <c r="P5" s="1"/>
      <c r="Q5" s="1" t="s">
        <v>190</v>
      </c>
      <c r="R5" s="1" t="s">
        <v>191</v>
      </c>
      <c r="S5" s="1" t="s">
        <v>192</v>
      </c>
      <c r="T5" s="132" t="s">
        <v>1008</v>
      </c>
    </row>
    <row r="6" spans="1:20" x14ac:dyDescent="0.2">
      <c r="A6" s="1" t="s">
        <v>193</v>
      </c>
      <c r="B6" s="1" t="s">
        <v>194</v>
      </c>
      <c r="C6" s="1" t="s">
        <v>195</v>
      </c>
      <c r="D6" s="1">
        <v>1665</v>
      </c>
      <c r="E6" s="1">
        <v>259</v>
      </c>
      <c r="F6" s="1">
        <v>3</v>
      </c>
      <c r="G6" s="1" t="s">
        <v>1007</v>
      </c>
      <c r="H6" s="1" t="s">
        <v>943</v>
      </c>
      <c r="I6" s="70"/>
      <c r="J6" s="70"/>
      <c r="K6" s="70"/>
      <c r="L6" s="70"/>
      <c r="M6" s="70"/>
      <c r="P6" s="1"/>
      <c r="Q6" s="1" t="s">
        <v>190</v>
      </c>
      <c r="R6" s="1" t="s">
        <v>196</v>
      </c>
      <c r="S6" s="1" t="s">
        <v>197</v>
      </c>
      <c r="T6" s="132"/>
    </row>
    <row r="7" spans="1:20" x14ac:dyDescent="0.2">
      <c r="A7" s="1" t="s">
        <v>631</v>
      </c>
      <c r="B7" s="1" t="s">
        <v>199</v>
      </c>
      <c r="C7" s="1" t="s">
        <v>200</v>
      </c>
      <c r="D7" s="1">
        <v>1666</v>
      </c>
      <c r="E7" s="1">
        <v>199</v>
      </c>
      <c r="F7" s="1">
        <v>3</v>
      </c>
      <c r="G7" s="1" t="s">
        <v>1007</v>
      </c>
      <c r="H7" s="1" t="s">
        <v>943</v>
      </c>
      <c r="I7" s="70" t="s">
        <v>507</v>
      </c>
      <c r="J7" s="70"/>
      <c r="K7" s="70" t="s">
        <v>507</v>
      </c>
      <c r="L7" s="70"/>
      <c r="M7" s="70" t="s">
        <v>507</v>
      </c>
      <c r="P7" s="1"/>
      <c r="Q7" s="1" t="s">
        <v>201</v>
      </c>
      <c r="R7" s="1" t="s">
        <v>202</v>
      </c>
      <c r="S7" s="1" t="s">
        <v>203</v>
      </c>
      <c r="T7" s="78" t="s">
        <v>1009</v>
      </c>
    </row>
    <row r="8" spans="1:20" x14ac:dyDescent="0.2">
      <c r="A8" s="1" t="s">
        <v>204</v>
      </c>
      <c r="B8" s="1" t="s">
        <v>199</v>
      </c>
      <c r="C8" s="1" t="s">
        <v>205</v>
      </c>
      <c r="D8" s="1">
        <v>1668</v>
      </c>
      <c r="E8" s="1">
        <v>190</v>
      </c>
      <c r="F8" s="1">
        <v>3</v>
      </c>
      <c r="G8" s="1" t="s">
        <v>946</v>
      </c>
      <c r="H8" s="1" t="s">
        <v>943</v>
      </c>
      <c r="I8" s="70" t="s">
        <v>549</v>
      </c>
      <c r="J8" s="70"/>
      <c r="K8" s="70" t="s">
        <v>549</v>
      </c>
      <c r="L8" s="70"/>
      <c r="M8" s="70" t="s">
        <v>549</v>
      </c>
      <c r="P8" s="1"/>
      <c r="Q8" s="1" t="s">
        <v>201</v>
      </c>
      <c r="R8" s="1" t="s">
        <v>202</v>
      </c>
      <c r="S8" s="1" t="s">
        <v>203</v>
      </c>
    </row>
    <row r="9" spans="1:20" x14ac:dyDescent="0.2">
      <c r="A9" s="1" t="s">
        <v>206</v>
      </c>
      <c r="B9" s="1" t="s">
        <v>199</v>
      </c>
      <c r="C9" s="1" t="s">
        <v>207</v>
      </c>
      <c r="D9" s="1">
        <v>1668</v>
      </c>
      <c r="E9" s="1">
        <v>198</v>
      </c>
      <c r="F9" s="1">
        <v>3</v>
      </c>
      <c r="G9" s="1" t="s">
        <v>708</v>
      </c>
      <c r="H9" s="1" t="s">
        <v>947</v>
      </c>
      <c r="I9" s="70" t="s">
        <v>507</v>
      </c>
      <c r="J9" s="70"/>
      <c r="K9" s="70" t="s">
        <v>507</v>
      </c>
      <c r="L9" s="70"/>
      <c r="M9" s="70" t="s">
        <v>507</v>
      </c>
      <c r="P9" s="1"/>
      <c r="Q9" s="1" t="s">
        <v>201</v>
      </c>
      <c r="R9" s="1" t="s">
        <v>202</v>
      </c>
      <c r="S9" s="1" t="s">
        <v>203</v>
      </c>
    </row>
    <row r="10" spans="1:20" x14ac:dyDescent="0.2">
      <c r="A10" s="1" t="s">
        <v>208</v>
      </c>
      <c r="B10" s="1" t="s">
        <v>199</v>
      </c>
      <c r="C10" s="1" t="s">
        <v>209</v>
      </c>
      <c r="D10" s="1">
        <v>1668</v>
      </c>
      <c r="E10" s="1">
        <v>193</v>
      </c>
      <c r="F10" s="1">
        <v>3</v>
      </c>
      <c r="G10" s="1" t="s">
        <v>739</v>
      </c>
      <c r="H10" s="1" t="s">
        <v>943</v>
      </c>
      <c r="I10" s="70" t="s">
        <v>507</v>
      </c>
      <c r="J10" s="70" t="s">
        <v>507</v>
      </c>
      <c r="K10" s="70" t="s">
        <v>507</v>
      </c>
      <c r="L10" s="70"/>
      <c r="M10" s="70" t="s">
        <v>507</v>
      </c>
      <c r="P10" s="1"/>
      <c r="Q10" s="1" t="s">
        <v>201</v>
      </c>
      <c r="R10" s="1" t="s">
        <v>202</v>
      </c>
      <c r="S10" s="1" t="s">
        <v>203</v>
      </c>
      <c r="T10" s="1" t="s">
        <v>1010</v>
      </c>
    </row>
    <row r="11" spans="1:20" x14ac:dyDescent="0.2">
      <c r="A11" s="1" t="s">
        <v>210</v>
      </c>
      <c r="B11" s="1" t="s">
        <v>199</v>
      </c>
      <c r="C11" s="1" t="s">
        <v>211</v>
      </c>
      <c r="D11" s="1">
        <v>1668</v>
      </c>
      <c r="E11" s="1">
        <v>191</v>
      </c>
      <c r="F11" s="1">
        <v>3</v>
      </c>
      <c r="G11" s="1" t="s">
        <v>1011</v>
      </c>
      <c r="H11" s="1" t="s">
        <v>947</v>
      </c>
      <c r="I11" s="70" t="s">
        <v>549</v>
      </c>
      <c r="K11" s="70" t="s">
        <v>549</v>
      </c>
      <c r="M11" s="70" t="s">
        <v>549</v>
      </c>
      <c r="P11" s="1"/>
      <c r="Q11" s="1" t="s">
        <v>201</v>
      </c>
      <c r="R11" s="1" t="s">
        <v>202</v>
      </c>
      <c r="S11" s="1" t="s">
        <v>203</v>
      </c>
    </row>
    <row r="12" spans="1:20" x14ac:dyDescent="0.2">
      <c r="A12" s="1" t="s">
        <v>212</v>
      </c>
      <c r="B12" s="1" t="s">
        <v>199</v>
      </c>
      <c r="C12" s="1" t="s">
        <v>213</v>
      </c>
      <c r="D12" s="1">
        <v>1668</v>
      </c>
      <c r="E12" s="1">
        <v>193</v>
      </c>
      <c r="F12" s="1">
        <v>3</v>
      </c>
      <c r="G12" s="1" t="s">
        <v>1012</v>
      </c>
      <c r="H12" s="1" t="s">
        <v>943</v>
      </c>
      <c r="I12" s="70" t="s">
        <v>507</v>
      </c>
      <c r="J12" s="70"/>
      <c r="K12" s="70" t="s">
        <v>507</v>
      </c>
      <c r="L12" s="70"/>
      <c r="M12" s="70" t="s">
        <v>507</v>
      </c>
      <c r="P12" s="1"/>
      <c r="Q12" s="1" t="s">
        <v>201</v>
      </c>
      <c r="R12" s="1" t="s">
        <v>202</v>
      </c>
      <c r="S12" s="1" t="s">
        <v>203</v>
      </c>
    </row>
    <row r="13" spans="1:20" x14ac:dyDescent="0.2">
      <c r="A13" s="1" t="s">
        <v>214</v>
      </c>
      <c r="B13" s="1" t="s">
        <v>199</v>
      </c>
      <c r="C13" s="1" t="s">
        <v>215</v>
      </c>
      <c r="D13" s="1">
        <v>1668</v>
      </c>
      <c r="E13" s="1">
        <v>193</v>
      </c>
      <c r="F13" s="1">
        <v>3</v>
      </c>
      <c r="G13" s="1" t="s">
        <v>1013</v>
      </c>
      <c r="H13" s="1" t="s">
        <v>943</v>
      </c>
      <c r="I13" s="70" t="s">
        <v>507</v>
      </c>
      <c r="K13" s="70" t="s">
        <v>507</v>
      </c>
      <c r="M13" s="70" t="s">
        <v>507</v>
      </c>
      <c r="P13" s="1"/>
      <c r="Q13" s="1" t="s">
        <v>201</v>
      </c>
      <c r="R13" s="1" t="s">
        <v>202</v>
      </c>
      <c r="S13" s="1" t="s">
        <v>203</v>
      </c>
      <c r="T13" s="1" t="s">
        <v>1014</v>
      </c>
    </row>
    <row r="14" spans="1:20" x14ac:dyDescent="0.2">
      <c r="A14" s="1" t="s">
        <v>216</v>
      </c>
      <c r="B14" s="1" t="s">
        <v>199</v>
      </c>
      <c r="C14" s="1" t="s">
        <v>217</v>
      </c>
      <c r="D14" s="1">
        <v>1668</v>
      </c>
      <c r="E14" s="1">
        <v>193</v>
      </c>
      <c r="F14" s="1">
        <v>3</v>
      </c>
      <c r="G14" s="1" t="s">
        <v>1012</v>
      </c>
      <c r="H14" s="1" t="s">
        <v>943</v>
      </c>
      <c r="I14" s="70" t="s">
        <v>507</v>
      </c>
      <c r="K14" s="70" t="s">
        <v>507</v>
      </c>
      <c r="M14" s="70" t="s">
        <v>507</v>
      </c>
      <c r="P14" s="1"/>
      <c r="Q14" s="1" t="s">
        <v>201</v>
      </c>
      <c r="R14" s="1" t="s">
        <v>202</v>
      </c>
      <c r="S14" s="1" t="s">
        <v>203</v>
      </c>
    </row>
    <row r="15" spans="1:20" x14ac:dyDescent="0.2">
      <c r="A15" s="1" t="s">
        <v>218</v>
      </c>
      <c r="B15" s="1" t="s">
        <v>199</v>
      </c>
      <c r="C15" s="1" t="s">
        <v>219</v>
      </c>
      <c r="D15" s="1">
        <v>1668</v>
      </c>
      <c r="E15" s="1">
        <v>265</v>
      </c>
      <c r="F15" s="1">
        <v>3</v>
      </c>
      <c r="G15" s="1" t="s">
        <v>1015</v>
      </c>
      <c r="H15" s="1" t="s">
        <v>943</v>
      </c>
      <c r="I15" s="70" t="s">
        <v>507</v>
      </c>
      <c r="J15" s="1" t="s">
        <v>507</v>
      </c>
      <c r="K15" s="70" t="s">
        <v>507</v>
      </c>
      <c r="P15" s="1"/>
      <c r="Q15" s="1" t="s">
        <v>201</v>
      </c>
      <c r="R15" s="1" t="s">
        <v>202</v>
      </c>
      <c r="S15" s="1" t="s">
        <v>203</v>
      </c>
      <c r="T15" s="1" t="s">
        <v>1016</v>
      </c>
    </row>
    <row r="16" spans="1:20" x14ac:dyDescent="0.2">
      <c r="A16" s="1" t="s">
        <v>220</v>
      </c>
      <c r="B16" s="1" t="s">
        <v>221</v>
      </c>
      <c r="C16" s="1" t="s">
        <v>222</v>
      </c>
      <c r="D16" s="1">
        <v>1675</v>
      </c>
      <c r="E16" s="1">
        <v>35</v>
      </c>
      <c r="F16" s="1">
        <v>3</v>
      </c>
      <c r="G16" s="1" t="s">
        <v>708</v>
      </c>
      <c r="H16" s="1" t="s">
        <v>947</v>
      </c>
      <c r="I16" s="1" t="s">
        <v>507</v>
      </c>
      <c r="J16" s="103"/>
      <c r="K16" s="1" t="s">
        <v>507</v>
      </c>
      <c r="M16" s="1" t="s">
        <v>507</v>
      </c>
      <c r="P16" s="1"/>
      <c r="Q16" s="1" t="s">
        <v>223</v>
      </c>
      <c r="R16" s="1" t="s">
        <v>224</v>
      </c>
      <c r="S16" s="1" t="s">
        <v>225</v>
      </c>
    </row>
    <row r="17" spans="1:21" x14ac:dyDescent="0.2">
      <c r="A17" s="1" t="s">
        <v>226</v>
      </c>
      <c r="B17" s="1" t="s">
        <v>227</v>
      </c>
      <c r="C17" s="1" t="s">
        <v>228</v>
      </c>
      <c r="D17" s="1">
        <v>1713</v>
      </c>
      <c r="E17" s="1">
        <v>172</v>
      </c>
      <c r="F17" s="1">
        <v>3</v>
      </c>
      <c r="G17" s="1" t="s">
        <v>1007</v>
      </c>
      <c r="H17" s="1" t="s">
        <v>947</v>
      </c>
      <c r="P17" s="1"/>
      <c r="Q17" s="1" t="s">
        <v>229</v>
      </c>
      <c r="R17" s="1" t="s">
        <v>230</v>
      </c>
      <c r="S17" s="1" t="s">
        <v>231</v>
      </c>
      <c r="T17" s="1" t="s">
        <v>1017</v>
      </c>
    </row>
    <row r="18" spans="1:21" x14ac:dyDescent="0.2">
      <c r="A18" s="1" t="s">
        <v>235</v>
      </c>
      <c r="B18" s="1" t="s">
        <v>25</v>
      </c>
      <c r="C18" s="1" t="s">
        <v>236</v>
      </c>
      <c r="D18" s="1">
        <v>1721</v>
      </c>
      <c r="E18" s="1">
        <v>34</v>
      </c>
      <c r="F18" s="1">
        <v>1</v>
      </c>
      <c r="G18" s="1" t="s">
        <v>942</v>
      </c>
      <c r="H18" s="1" t="s">
        <v>943</v>
      </c>
      <c r="I18" s="1" t="s">
        <v>507</v>
      </c>
      <c r="K18" s="1" t="s">
        <v>507</v>
      </c>
      <c r="M18" s="1" t="s">
        <v>507</v>
      </c>
      <c r="P18" s="1"/>
      <c r="Q18" s="1" t="s">
        <v>185</v>
      </c>
      <c r="R18" s="1" t="s">
        <v>186</v>
      </c>
      <c r="S18" s="1" t="s">
        <v>237</v>
      </c>
    </row>
    <row r="19" spans="1:21" x14ac:dyDescent="0.2">
      <c r="A19" s="1" t="s">
        <v>238</v>
      </c>
      <c r="B19" s="1" t="s">
        <v>239</v>
      </c>
      <c r="C19" s="1" t="s">
        <v>240</v>
      </c>
      <c r="D19" s="1">
        <v>1725</v>
      </c>
      <c r="E19" s="1">
        <v>14</v>
      </c>
      <c r="F19" s="1">
        <v>1</v>
      </c>
      <c r="G19" s="1" t="s">
        <v>708</v>
      </c>
      <c r="H19" s="1" t="s">
        <v>943</v>
      </c>
      <c r="I19" s="70" t="s">
        <v>507</v>
      </c>
      <c r="J19" s="70"/>
      <c r="K19" s="70" t="s">
        <v>507</v>
      </c>
      <c r="L19" s="70"/>
      <c r="M19" s="70"/>
      <c r="P19" s="1"/>
      <c r="Q19" s="1" t="s">
        <v>185</v>
      </c>
      <c r="R19" s="1" t="s">
        <v>186</v>
      </c>
      <c r="S19" s="1" t="s">
        <v>241</v>
      </c>
    </row>
    <row r="20" spans="1:21" x14ac:dyDescent="0.2">
      <c r="A20" s="1" t="s">
        <v>242</v>
      </c>
      <c r="B20" s="1" t="s">
        <v>243</v>
      </c>
      <c r="C20" s="1" t="s">
        <v>244</v>
      </c>
      <c r="D20" s="1">
        <v>1850</v>
      </c>
      <c r="E20" s="1">
        <v>63</v>
      </c>
      <c r="F20" s="1">
        <v>1</v>
      </c>
      <c r="G20" s="1" t="s">
        <v>1018</v>
      </c>
      <c r="H20" s="1" t="s">
        <v>943</v>
      </c>
      <c r="I20" s="70" t="s">
        <v>507</v>
      </c>
      <c r="J20" s="70"/>
      <c r="K20" s="70" t="s">
        <v>507</v>
      </c>
      <c r="L20" s="70"/>
      <c r="M20" s="70" t="s">
        <v>507</v>
      </c>
      <c r="P20" s="1"/>
      <c r="Q20" s="1" t="s">
        <v>245</v>
      </c>
      <c r="R20" s="1" t="s">
        <v>246</v>
      </c>
      <c r="S20" s="1" t="s">
        <v>247</v>
      </c>
    </row>
    <row r="21" spans="1:21" s="78" customFormat="1" x14ac:dyDescent="0.2">
      <c r="A21" s="78" t="s">
        <v>248</v>
      </c>
      <c r="B21" s="78" t="s">
        <v>249</v>
      </c>
      <c r="C21" s="78" t="s">
        <v>250</v>
      </c>
      <c r="D21" s="78">
        <v>1745</v>
      </c>
      <c r="E21" s="78">
        <v>360</v>
      </c>
      <c r="F21" s="78">
        <v>1</v>
      </c>
      <c r="G21" s="78" t="s">
        <v>979</v>
      </c>
      <c r="H21" s="78" t="s">
        <v>1019</v>
      </c>
      <c r="I21" s="1" t="s">
        <v>507</v>
      </c>
      <c r="J21" s="1"/>
      <c r="K21" s="78" t="s">
        <v>507</v>
      </c>
      <c r="L21" s="1"/>
      <c r="M21" s="1" t="s">
        <v>507</v>
      </c>
      <c r="Q21" s="78" t="s">
        <v>229</v>
      </c>
      <c r="R21" s="78" t="s">
        <v>230</v>
      </c>
      <c r="S21" s="78" t="s">
        <v>251</v>
      </c>
      <c r="T21" s="78" t="s">
        <v>1020</v>
      </c>
      <c r="U21" s="78" t="s">
        <v>1021</v>
      </c>
    </row>
    <row r="22" spans="1:21" x14ac:dyDescent="0.2">
      <c r="A22" s="1" t="s">
        <v>252</v>
      </c>
      <c r="B22" s="1" t="s">
        <v>253</v>
      </c>
      <c r="C22" s="1" t="s">
        <v>254</v>
      </c>
      <c r="D22" s="1">
        <v>1751</v>
      </c>
      <c r="E22" s="1">
        <v>128</v>
      </c>
      <c r="F22" s="1">
        <v>1</v>
      </c>
      <c r="G22" s="1" t="s">
        <v>1012</v>
      </c>
      <c r="H22" s="1" t="s">
        <v>943</v>
      </c>
      <c r="P22" s="1"/>
      <c r="Q22" s="1" t="s">
        <v>229</v>
      </c>
      <c r="R22" s="1" t="s">
        <v>230</v>
      </c>
      <c r="S22" s="1" t="s">
        <v>255</v>
      </c>
    </row>
    <row r="23" spans="1:21" x14ac:dyDescent="0.2">
      <c r="A23" s="1" t="s">
        <v>261</v>
      </c>
      <c r="B23" s="1" t="s">
        <v>25</v>
      </c>
      <c r="C23" s="1" t="s">
        <v>262</v>
      </c>
      <c r="D23" s="1">
        <v>1753</v>
      </c>
      <c r="E23" s="1">
        <v>23</v>
      </c>
      <c r="F23" s="1">
        <v>3</v>
      </c>
      <c r="G23" s="1" t="s">
        <v>1005</v>
      </c>
      <c r="H23" s="1" t="s">
        <v>947</v>
      </c>
      <c r="I23" s="70"/>
      <c r="J23" s="70"/>
      <c r="K23" s="70"/>
      <c r="L23" s="70"/>
      <c r="M23" s="70"/>
      <c r="P23" s="1"/>
      <c r="Q23" s="1" t="s">
        <v>185</v>
      </c>
      <c r="R23" s="1" t="s">
        <v>186</v>
      </c>
      <c r="S23" s="1" t="s">
        <v>263</v>
      </c>
    </row>
    <row r="24" spans="1:21" x14ac:dyDescent="0.2">
      <c r="A24" s="1" t="s">
        <v>269</v>
      </c>
      <c r="B24" s="1" t="s">
        <v>25</v>
      </c>
      <c r="C24" s="1" t="s">
        <v>270</v>
      </c>
      <c r="D24" s="1">
        <v>1766</v>
      </c>
      <c r="E24" s="1">
        <v>232</v>
      </c>
      <c r="F24" s="1">
        <v>3</v>
      </c>
      <c r="G24" s="1" t="s">
        <v>1005</v>
      </c>
      <c r="H24" s="1" t="s">
        <v>947</v>
      </c>
      <c r="I24" s="70"/>
      <c r="J24" s="70"/>
      <c r="K24" s="70"/>
      <c r="L24" s="70"/>
      <c r="M24" s="70"/>
      <c r="P24" s="1"/>
      <c r="Q24" s="1" t="s">
        <v>190</v>
      </c>
      <c r="R24" s="1" t="s">
        <v>196</v>
      </c>
      <c r="S24" s="1" t="s">
        <v>271</v>
      </c>
    </row>
    <row r="25" spans="1:21" x14ac:dyDescent="0.2">
      <c r="A25" s="1" t="s">
        <v>272</v>
      </c>
      <c r="B25" s="1" t="s">
        <v>273</v>
      </c>
      <c r="C25" s="1" t="s">
        <v>274</v>
      </c>
      <c r="D25" s="1">
        <v>1776</v>
      </c>
      <c r="E25" s="1">
        <v>129</v>
      </c>
      <c r="F25" s="1">
        <v>2</v>
      </c>
      <c r="G25" s="1" t="s">
        <v>708</v>
      </c>
      <c r="H25" s="1" t="s">
        <v>947</v>
      </c>
      <c r="I25" s="70" t="s">
        <v>507</v>
      </c>
      <c r="J25" s="70"/>
      <c r="K25" s="70" t="s">
        <v>507</v>
      </c>
      <c r="L25" s="70"/>
      <c r="M25" s="70" t="s">
        <v>507</v>
      </c>
      <c r="P25" s="1"/>
      <c r="Q25" s="1" t="s">
        <v>190</v>
      </c>
      <c r="R25" s="1" t="s">
        <v>196</v>
      </c>
      <c r="S25" s="1" t="s">
        <v>275</v>
      </c>
    </row>
    <row r="26" spans="1:21" x14ac:dyDescent="0.2">
      <c r="A26" s="1" t="s">
        <v>276</v>
      </c>
      <c r="B26" s="1" t="s">
        <v>273</v>
      </c>
      <c r="C26" s="1" t="s">
        <v>277</v>
      </c>
      <c r="D26" s="1">
        <v>1776</v>
      </c>
      <c r="E26" s="1">
        <v>179</v>
      </c>
      <c r="F26" s="1">
        <v>2</v>
      </c>
      <c r="G26" s="1" t="s">
        <v>598</v>
      </c>
      <c r="H26" s="1" t="s">
        <v>947</v>
      </c>
      <c r="I26" s="70" t="s">
        <v>507</v>
      </c>
      <c r="J26" s="70"/>
      <c r="K26" s="70" t="s">
        <v>507</v>
      </c>
      <c r="L26" s="70"/>
      <c r="M26" s="70" t="s">
        <v>507</v>
      </c>
      <c r="P26" s="1"/>
      <c r="Q26" s="1" t="s">
        <v>190</v>
      </c>
      <c r="R26" s="1" t="s">
        <v>196</v>
      </c>
      <c r="S26" s="1" t="s">
        <v>275</v>
      </c>
    </row>
    <row r="27" spans="1:21" x14ac:dyDescent="0.2">
      <c r="A27" s="1" t="s">
        <v>278</v>
      </c>
      <c r="B27" s="1" t="s">
        <v>273</v>
      </c>
      <c r="C27" s="1" t="s">
        <v>279</v>
      </c>
      <c r="D27" s="1">
        <v>1776</v>
      </c>
      <c r="E27" s="1">
        <v>93</v>
      </c>
      <c r="F27" s="1">
        <v>2</v>
      </c>
      <c r="G27" s="1" t="s">
        <v>942</v>
      </c>
      <c r="H27" s="1" t="s">
        <v>943</v>
      </c>
      <c r="I27" s="70" t="s">
        <v>507</v>
      </c>
      <c r="J27" s="70"/>
      <c r="K27" s="70" t="s">
        <v>507</v>
      </c>
      <c r="L27" s="70"/>
      <c r="M27" s="70" t="s">
        <v>507</v>
      </c>
      <c r="P27" s="1"/>
      <c r="Q27" s="1" t="s">
        <v>190</v>
      </c>
      <c r="R27" s="1" t="s">
        <v>196</v>
      </c>
      <c r="S27" s="1" t="s">
        <v>275</v>
      </c>
      <c r="T27" s="1" t="s">
        <v>1022</v>
      </c>
    </row>
    <row r="28" spans="1:21" x14ac:dyDescent="0.2">
      <c r="A28" s="1" t="s">
        <v>280</v>
      </c>
      <c r="B28" s="1" t="s">
        <v>273</v>
      </c>
      <c r="C28" s="1" t="s">
        <v>281</v>
      </c>
      <c r="D28" s="1">
        <v>1776</v>
      </c>
      <c r="E28" s="1">
        <v>96</v>
      </c>
      <c r="F28" s="1">
        <v>2</v>
      </c>
      <c r="G28" s="1" t="s">
        <v>942</v>
      </c>
      <c r="H28" s="1" t="s">
        <v>943</v>
      </c>
      <c r="I28" s="1" t="s">
        <v>549</v>
      </c>
      <c r="K28" s="1" t="s">
        <v>549</v>
      </c>
      <c r="M28" s="1" t="s">
        <v>549</v>
      </c>
      <c r="P28" s="1"/>
      <c r="Q28" s="1" t="s">
        <v>190</v>
      </c>
      <c r="R28" s="1" t="s">
        <v>196</v>
      </c>
      <c r="S28" s="1" t="s">
        <v>275</v>
      </c>
    </row>
    <row r="29" spans="1:21" x14ac:dyDescent="0.2">
      <c r="A29" s="1" t="s">
        <v>282</v>
      </c>
      <c r="B29" s="1" t="s">
        <v>273</v>
      </c>
      <c r="C29" s="1" t="s">
        <v>283</v>
      </c>
      <c r="D29" s="1">
        <v>1776</v>
      </c>
      <c r="E29" s="1">
        <v>153</v>
      </c>
      <c r="F29" s="1">
        <v>2</v>
      </c>
      <c r="G29" s="1" t="s">
        <v>1023</v>
      </c>
      <c r="H29" s="1" t="s">
        <v>943</v>
      </c>
      <c r="I29" s="70" t="s">
        <v>507</v>
      </c>
      <c r="J29" s="70"/>
      <c r="K29" s="70" t="s">
        <v>507</v>
      </c>
      <c r="L29" s="70"/>
      <c r="M29" s="70" t="s">
        <v>507</v>
      </c>
      <c r="P29" s="1"/>
      <c r="Q29" s="1" t="s">
        <v>190</v>
      </c>
      <c r="R29" s="1" t="s">
        <v>196</v>
      </c>
      <c r="S29" s="1" t="s">
        <v>275</v>
      </c>
    </row>
    <row r="30" spans="1:21" x14ac:dyDescent="0.2">
      <c r="A30" s="1" t="s">
        <v>284</v>
      </c>
      <c r="B30" s="1" t="s">
        <v>285</v>
      </c>
      <c r="C30" s="1" t="s">
        <v>286</v>
      </c>
      <c r="D30" s="1">
        <v>1779</v>
      </c>
      <c r="E30" s="1">
        <v>17</v>
      </c>
      <c r="F30" s="1">
        <v>1</v>
      </c>
      <c r="G30" s="1" t="s">
        <v>942</v>
      </c>
      <c r="H30" s="1" t="s">
        <v>943</v>
      </c>
      <c r="I30" s="47" t="s">
        <v>507</v>
      </c>
      <c r="J30" s="99"/>
      <c r="K30" s="99" t="s">
        <v>507</v>
      </c>
      <c r="L30" s="99"/>
      <c r="M30" s="99" t="s">
        <v>507</v>
      </c>
      <c r="P30" s="1"/>
      <c r="Q30" s="1" t="s">
        <v>287</v>
      </c>
      <c r="R30" s="1" t="s">
        <v>15</v>
      </c>
      <c r="S30" s="1" t="s">
        <v>288</v>
      </c>
    </row>
    <row r="31" spans="1:21" x14ac:dyDescent="0.2">
      <c r="A31" s="1" t="s">
        <v>289</v>
      </c>
      <c r="B31" s="1" t="s">
        <v>25</v>
      </c>
      <c r="C31" s="1" t="s">
        <v>290</v>
      </c>
      <c r="D31" s="1">
        <v>1787</v>
      </c>
      <c r="E31" s="1">
        <v>12</v>
      </c>
      <c r="F31" s="1">
        <v>1</v>
      </c>
      <c r="G31" s="1" t="s">
        <v>942</v>
      </c>
      <c r="H31" s="1" t="s">
        <v>943</v>
      </c>
      <c r="I31" s="33" t="s">
        <v>507</v>
      </c>
      <c r="J31" s="33"/>
      <c r="K31" s="33" t="s">
        <v>507</v>
      </c>
      <c r="L31" s="33"/>
      <c r="M31" s="33" t="s">
        <v>507</v>
      </c>
      <c r="P31" s="1"/>
      <c r="Q31" s="1" t="s">
        <v>291</v>
      </c>
      <c r="R31" s="1" t="s">
        <v>292</v>
      </c>
      <c r="S31" s="1" t="s">
        <v>293</v>
      </c>
    </row>
    <row r="32" spans="1:21" x14ac:dyDescent="0.2">
      <c r="A32" s="1" t="s">
        <v>294</v>
      </c>
      <c r="B32" s="1" t="s">
        <v>295</v>
      </c>
      <c r="C32" s="1" t="s">
        <v>296</v>
      </c>
      <c r="D32" s="1">
        <v>1790</v>
      </c>
      <c r="E32" s="1">
        <v>209</v>
      </c>
      <c r="F32" s="1">
        <v>1</v>
      </c>
      <c r="G32" s="1" t="s">
        <v>1007</v>
      </c>
      <c r="H32" s="1" t="s">
        <v>943</v>
      </c>
      <c r="I32" s="1" t="s">
        <v>507</v>
      </c>
      <c r="K32" s="1" t="s">
        <v>507</v>
      </c>
      <c r="M32" s="1" t="s">
        <v>507</v>
      </c>
      <c r="P32" s="1"/>
      <c r="Q32" s="1" t="s">
        <v>190</v>
      </c>
      <c r="R32" s="1" t="s">
        <v>196</v>
      </c>
      <c r="S32" s="1" t="s">
        <v>297</v>
      </c>
      <c r="T32" s="1" t="s">
        <v>1024</v>
      </c>
    </row>
    <row r="33" spans="1:20" x14ac:dyDescent="0.2">
      <c r="A33" s="1" t="s">
        <v>119</v>
      </c>
      <c r="B33" s="1" t="s">
        <v>87</v>
      </c>
      <c r="D33" s="1">
        <v>1793</v>
      </c>
      <c r="E33" s="1">
        <v>97</v>
      </c>
      <c r="F33" s="1">
        <v>1</v>
      </c>
      <c r="G33" s="1" t="s">
        <v>942</v>
      </c>
      <c r="H33" s="1" t="s">
        <v>943</v>
      </c>
      <c r="I33" s="1" t="s">
        <v>507</v>
      </c>
      <c r="K33" s="1" t="s">
        <v>507</v>
      </c>
      <c r="M33" s="1" t="s">
        <v>507</v>
      </c>
      <c r="P33" s="1"/>
      <c r="Q33" s="1" t="s">
        <v>56</v>
      </c>
      <c r="R33" s="1" t="s">
        <v>22</v>
      </c>
      <c r="S33" s="1" t="s">
        <v>301</v>
      </c>
    </row>
    <row r="34" spans="1:20" x14ac:dyDescent="0.2">
      <c r="A34" s="1" t="s">
        <v>298</v>
      </c>
      <c r="B34" s="1" t="s">
        <v>299</v>
      </c>
      <c r="C34" s="1" t="s">
        <v>300</v>
      </c>
      <c r="D34" s="1">
        <v>1794</v>
      </c>
      <c r="E34" s="1">
        <v>71</v>
      </c>
      <c r="F34" s="1">
        <v>1</v>
      </c>
      <c r="G34" s="1" t="s">
        <v>942</v>
      </c>
      <c r="H34" s="1" t="s">
        <v>943</v>
      </c>
      <c r="I34" s="1" t="s">
        <v>507</v>
      </c>
      <c r="K34" s="1" t="s">
        <v>507</v>
      </c>
      <c r="M34" s="1" t="s">
        <v>507</v>
      </c>
      <c r="P34" s="1"/>
      <c r="Q34" s="1" t="s">
        <v>305</v>
      </c>
      <c r="R34" s="1" t="s">
        <v>246</v>
      </c>
      <c r="S34" s="1" t="s">
        <v>306</v>
      </c>
    </row>
    <row r="35" spans="1:20" x14ac:dyDescent="0.2">
      <c r="A35" s="1" t="s">
        <v>302</v>
      </c>
      <c r="B35" s="1" t="s">
        <v>303</v>
      </c>
      <c r="C35" s="1" t="s">
        <v>304</v>
      </c>
      <c r="D35" s="1">
        <v>1795</v>
      </c>
      <c r="E35" s="1">
        <v>30</v>
      </c>
      <c r="F35" s="1">
        <v>1</v>
      </c>
      <c r="G35" s="1" t="s">
        <v>942</v>
      </c>
      <c r="H35" s="1" t="s">
        <v>943</v>
      </c>
      <c r="I35" s="70" t="s">
        <v>507</v>
      </c>
      <c r="J35" s="70"/>
      <c r="K35" s="70" t="s">
        <v>507</v>
      </c>
      <c r="L35" s="70"/>
      <c r="M35" s="70" t="s">
        <v>507</v>
      </c>
      <c r="P35" s="1"/>
      <c r="Q35" s="1" t="s">
        <v>185</v>
      </c>
      <c r="R35" s="1" t="s">
        <v>186</v>
      </c>
      <c r="S35" s="1" t="s">
        <v>310</v>
      </c>
    </row>
    <row r="36" spans="1:20" x14ac:dyDescent="0.2">
      <c r="A36" s="1" t="s">
        <v>307</v>
      </c>
      <c r="B36" s="1" t="s">
        <v>308</v>
      </c>
      <c r="C36" s="1" t="s">
        <v>309</v>
      </c>
      <c r="D36" s="1">
        <v>1794</v>
      </c>
      <c r="E36" s="1">
        <v>41</v>
      </c>
      <c r="F36" s="1">
        <v>1</v>
      </c>
      <c r="G36" s="1" t="s">
        <v>598</v>
      </c>
      <c r="H36" s="1" t="s">
        <v>943</v>
      </c>
      <c r="I36" s="1" t="s">
        <v>507</v>
      </c>
      <c r="K36" s="1" t="s">
        <v>507</v>
      </c>
      <c r="M36" s="1" t="s">
        <v>507</v>
      </c>
      <c r="P36" s="1"/>
      <c r="Q36" s="1" t="s">
        <v>314</v>
      </c>
      <c r="R36" s="1" t="s">
        <v>315</v>
      </c>
      <c r="S36" s="1" t="s">
        <v>316</v>
      </c>
    </row>
    <row r="37" spans="1:20" x14ac:dyDescent="0.2">
      <c r="A37" s="1" t="s">
        <v>311</v>
      </c>
      <c r="B37" s="1" t="s">
        <v>312</v>
      </c>
      <c r="C37" s="1" t="s">
        <v>313</v>
      </c>
      <c r="D37" s="1">
        <v>1796</v>
      </c>
      <c r="E37" s="1">
        <v>26</v>
      </c>
      <c r="F37" s="1">
        <v>1</v>
      </c>
      <c r="G37" s="1" t="s">
        <v>708</v>
      </c>
      <c r="H37" s="1" t="s">
        <v>947</v>
      </c>
      <c r="I37" s="1" t="s">
        <v>507</v>
      </c>
      <c r="K37" s="1" t="s">
        <v>507</v>
      </c>
      <c r="M37" s="1" t="s">
        <v>507</v>
      </c>
      <c r="P37" s="1"/>
      <c r="Q37" s="1" t="s">
        <v>320</v>
      </c>
      <c r="R37" s="1" t="s">
        <v>321</v>
      </c>
      <c r="S37" s="1" t="s">
        <v>322</v>
      </c>
    </row>
    <row r="38" spans="1:20" x14ac:dyDescent="0.2">
      <c r="A38" s="1" t="s">
        <v>323</v>
      </c>
      <c r="B38" s="1" t="s">
        <v>324</v>
      </c>
      <c r="C38" s="1" t="s">
        <v>325</v>
      </c>
      <c r="D38" s="1">
        <v>1813</v>
      </c>
      <c r="E38" s="1">
        <v>197</v>
      </c>
      <c r="F38" s="1">
        <v>1</v>
      </c>
      <c r="G38" s="1" t="s">
        <v>1007</v>
      </c>
      <c r="H38" s="1" t="s">
        <v>947</v>
      </c>
      <c r="I38" s="70" t="s">
        <v>507</v>
      </c>
      <c r="J38" s="70"/>
      <c r="K38" s="70" t="s">
        <v>507</v>
      </c>
      <c r="L38" s="70"/>
      <c r="M38" s="70" t="s">
        <v>507</v>
      </c>
      <c r="P38" s="1"/>
      <c r="Q38" s="1" t="s">
        <v>332</v>
      </c>
      <c r="R38" s="1" t="s">
        <v>267</v>
      </c>
      <c r="S38" s="1" t="s">
        <v>333</v>
      </c>
      <c r="T38" s="1" t="s">
        <v>1025</v>
      </c>
    </row>
    <row r="39" spans="1:20" x14ac:dyDescent="0.2">
      <c r="A39" s="1" t="s">
        <v>384</v>
      </c>
      <c r="B39" s="1" t="s">
        <v>385</v>
      </c>
      <c r="C39" s="1" t="s">
        <v>386</v>
      </c>
      <c r="D39" s="1">
        <v>1814</v>
      </c>
      <c r="E39" s="1">
        <v>42</v>
      </c>
      <c r="F39" s="1">
        <v>1</v>
      </c>
      <c r="G39" s="1" t="s">
        <v>708</v>
      </c>
      <c r="H39" s="1" t="s">
        <v>947</v>
      </c>
      <c r="I39" s="70" t="s">
        <v>507</v>
      </c>
      <c r="J39" s="70"/>
      <c r="K39" s="70" t="s">
        <v>507</v>
      </c>
      <c r="L39" s="70"/>
      <c r="M39" s="70" t="s">
        <v>507</v>
      </c>
      <c r="P39" s="1"/>
      <c r="T39" s="1" t="s">
        <v>1026</v>
      </c>
    </row>
    <row r="40" spans="1:20" x14ac:dyDescent="0.2">
      <c r="A40" s="1" t="s">
        <v>334</v>
      </c>
      <c r="B40" s="1" t="s">
        <v>285</v>
      </c>
      <c r="C40" s="1" t="s">
        <v>335</v>
      </c>
      <c r="D40" s="1">
        <v>1816</v>
      </c>
      <c r="E40" s="1">
        <v>46</v>
      </c>
      <c r="F40" s="1">
        <v>1</v>
      </c>
      <c r="G40" s="1" t="s">
        <v>708</v>
      </c>
      <c r="H40" s="1" t="s">
        <v>947</v>
      </c>
      <c r="I40" s="70" t="s">
        <v>507</v>
      </c>
      <c r="J40" s="70"/>
      <c r="K40" s="70" t="s">
        <v>507</v>
      </c>
      <c r="L40" s="70"/>
      <c r="M40" s="70" t="s">
        <v>507</v>
      </c>
      <c r="P40" s="1"/>
      <c r="Q40" s="1" t="s">
        <v>339</v>
      </c>
      <c r="R40" s="1" t="s">
        <v>267</v>
      </c>
      <c r="S40" s="1" t="s">
        <v>340</v>
      </c>
    </row>
    <row r="41" spans="1:20" x14ac:dyDescent="0.2">
      <c r="A41" s="1" t="s">
        <v>336</v>
      </c>
      <c r="B41" s="1" t="s">
        <v>337</v>
      </c>
      <c r="C41" s="1" t="s">
        <v>338</v>
      </c>
      <c r="D41" s="1">
        <v>1819</v>
      </c>
      <c r="E41" s="1">
        <v>34</v>
      </c>
      <c r="F41" s="1">
        <v>1</v>
      </c>
      <c r="G41" s="1" t="s">
        <v>942</v>
      </c>
      <c r="H41" s="1" t="s">
        <v>943</v>
      </c>
      <c r="I41" s="1" t="s">
        <v>507</v>
      </c>
      <c r="K41" s="1" t="s">
        <v>507</v>
      </c>
      <c r="M41" s="1" t="s">
        <v>507</v>
      </c>
      <c r="P41" s="1"/>
      <c r="Q41" s="1" t="s">
        <v>150</v>
      </c>
      <c r="R41" s="1" t="s">
        <v>151</v>
      </c>
      <c r="S41" s="1" t="s">
        <v>344</v>
      </c>
    </row>
    <row r="42" spans="1:20" x14ac:dyDescent="0.2">
      <c r="A42" s="1" t="s">
        <v>341</v>
      </c>
      <c r="B42" s="1" t="s">
        <v>342</v>
      </c>
      <c r="C42" s="1" t="s">
        <v>343</v>
      </c>
      <c r="D42" s="1">
        <v>1823</v>
      </c>
      <c r="E42" s="1">
        <v>49</v>
      </c>
      <c r="F42" s="1">
        <v>1</v>
      </c>
      <c r="G42" s="1" t="s">
        <v>942</v>
      </c>
      <c r="H42" s="1" t="s">
        <v>943</v>
      </c>
      <c r="I42" s="70" t="s">
        <v>507</v>
      </c>
      <c r="J42" s="70"/>
      <c r="K42" s="70" t="s">
        <v>507</v>
      </c>
      <c r="L42" s="70"/>
      <c r="M42" s="70" t="s">
        <v>507</v>
      </c>
      <c r="P42" s="1"/>
      <c r="Q42" s="1" t="s">
        <v>185</v>
      </c>
      <c r="R42" s="1" t="s">
        <v>186</v>
      </c>
      <c r="S42" s="1" t="s">
        <v>348</v>
      </c>
      <c r="T42" s="1" t="s">
        <v>1027</v>
      </c>
    </row>
    <row r="43" spans="1:20" x14ac:dyDescent="0.2">
      <c r="A43" s="1" t="s">
        <v>345</v>
      </c>
      <c r="B43" s="1" t="s">
        <v>346</v>
      </c>
      <c r="C43" s="1" t="s">
        <v>347</v>
      </c>
      <c r="D43" s="1">
        <v>1846</v>
      </c>
      <c r="E43" s="1">
        <v>157</v>
      </c>
      <c r="F43" s="1">
        <v>1</v>
      </c>
      <c r="G43" s="1" t="s">
        <v>1028</v>
      </c>
      <c r="H43" s="1" t="s">
        <v>943</v>
      </c>
      <c r="I43" s="1" t="s">
        <v>507</v>
      </c>
      <c r="K43" s="1" t="s">
        <v>507</v>
      </c>
      <c r="M43" s="1" t="s">
        <v>507</v>
      </c>
      <c r="P43" s="1"/>
      <c r="Q43" s="1" t="s">
        <v>185</v>
      </c>
      <c r="R43" s="1" t="s">
        <v>186</v>
      </c>
      <c r="S43" s="1" t="s">
        <v>351</v>
      </c>
    </row>
    <row r="44" spans="1:20" x14ac:dyDescent="0.2">
      <c r="A44" s="1" t="s">
        <v>349</v>
      </c>
      <c r="B44" s="1" t="s">
        <v>346</v>
      </c>
      <c r="C44" s="1" t="s">
        <v>350</v>
      </c>
      <c r="D44" s="1">
        <v>1846</v>
      </c>
      <c r="E44" s="1">
        <v>181</v>
      </c>
      <c r="F44" s="1">
        <v>1</v>
      </c>
      <c r="G44" s="1" t="s">
        <v>739</v>
      </c>
      <c r="H44" s="1" t="s">
        <v>943</v>
      </c>
      <c r="I44" s="1" t="s">
        <v>507</v>
      </c>
      <c r="K44" s="1" t="s">
        <v>507</v>
      </c>
      <c r="M44" s="1" t="s">
        <v>507</v>
      </c>
      <c r="P44" s="1"/>
      <c r="Q44" s="1" t="s">
        <v>185</v>
      </c>
      <c r="R44" s="1" t="s">
        <v>186</v>
      </c>
      <c r="S44" s="1" t="s">
        <v>354</v>
      </c>
    </row>
    <row r="45" spans="1:20" x14ac:dyDescent="0.2">
      <c r="A45" s="1" t="s">
        <v>352</v>
      </c>
      <c r="B45" s="1" t="s">
        <v>346</v>
      </c>
      <c r="C45" s="1" t="s">
        <v>353</v>
      </c>
      <c r="D45" s="1">
        <v>1846</v>
      </c>
      <c r="E45" s="1">
        <v>140</v>
      </c>
      <c r="F45" s="1">
        <v>1</v>
      </c>
      <c r="G45" s="1" t="s">
        <v>739</v>
      </c>
      <c r="H45" s="1" t="s">
        <v>943</v>
      </c>
      <c r="I45" s="1" t="s">
        <v>549</v>
      </c>
      <c r="K45" s="1" t="s">
        <v>549</v>
      </c>
      <c r="M45" s="1" t="s">
        <v>549</v>
      </c>
      <c r="P45" s="1"/>
      <c r="Q45" s="1" t="s">
        <v>185</v>
      </c>
      <c r="R45" s="1" t="s">
        <v>186</v>
      </c>
      <c r="S45" s="1" t="s">
        <v>357</v>
      </c>
    </row>
    <row r="46" spans="1:20" x14ac:dyDescent="0.2">
      <c r="A46" s="1" t="s">
        <v>355</v>
      </c>
      <c r="B46" s="1" t="s">
        <v>346</v>
      </c>
      <c r="C46" s="1" t="s">
        <v>356</v>
      </c>
      <c r="D46" s="1">
        <v>1846</v>
      </c>
      <c r="E46" s="1">
        <v>56</v>
      </c>
      <c r="F46" s="1">
        <v>1</v>
      </c>
      <c r="G46" s="1" t="s">
        <v>1029</v>
      </c>
      <c r="H46" s="1" t="s">
        <v>947</v>
      </c>
      <c r="I46" s="33" t="s">
        <v>507</v>
      </c>
      <c r="J46" s="33"/>
      <c r="K46" s="33" t="s">
        <v>507</v>
      </c>
      <c r="L46" s="33"/>
      <c r="M46" s="33" t="s">
        <v>507</v>
      </c>
      <c r="P46" s="1"/>
      <c r="Q46" s="1" t="s">
        <v>89</v>
      </c>
      <c r="R46" s="1" t="s">
        <v>361</v>
      </c>
      <c r="S46" s="1" t="s">
        <v>362</v>
      </c>
    </row>
    <row r="47" spans="1:20" s="104" customFormat="1" x14ac:dyDescent="0.2">
      <c r="A47" s="104" t="s">
        <v>358</v>
      </c>
      <c r="B47" s="104" t="s">
        <v>359</v>
      </c>
      <c r="C47" s="104" t="s">
        <v>360</v>
      </c>
      <c r="D47" s="104">
        <v>1847</v>
      </c>
      <c r="E47" s="104">
        <v>207</v>
      </c>
      <c r="F47" s="104">
        <v>1</v>
      </c>
      <c r="G47" s="104" t="s">
        <v>1029</v>
      </c>
      <c r="H47" s="104" t="s">
        <v>1030</v>
      </c>
      <c r="I47" s="1"/>
      <c r="J47" s="1"/>
      <c r="K47" s="1"/>
      <c r="L47" s="1"/>
      <c r="M47" s="1"/>
      <c r="Q47" s="104" t="s">
        <v>366</v>
      </c>
      <c r="R47" s="104" t="s">
        <v>246</v>
      </c>
      <c r="S47" s="104" t="s">
        <v>367</v>
      </c>
      <c r="T47" s="104" t="s">
        <v>1031</v>
      </c>
    </row>
    <row r="48" spans="1:20" x14ac:dyDescent="0.2">
      <c r="A48" s="1" t="s">
        <v>363</v>
      </c>
      <c r="B48" s="1" t="s">
        <v>364</v>
      </c>
      <c r="C48" s="1" t="s">
        <v>365</v>
      </c>
      <c r="D48" s="1">
        <v>1853</v>
      </c>
      <c r="E48" s="1">
        <v>65</v>
      </c>
      <c r="F48" s="1">
        <v>1</v>
      </c>
      <c r="G48" s="1" t="s">
        <v>1032</v>
      </c>
      <c r="H48" s="1" t="s">
        <v>943</v>
      </c>
      <c r="I48" s="1" t="s">
        <v>507</v>
      </c>
      <c r="K48" s="1" t="s">
        <v>507</v>
      </c>
      <c r="M48" s="1" t="s">
        <v>507</v>
      </c>
      <c r="P48" s="1"/>
      <c r="Q48" s="1" t="s">
        <v>371</v>
      </c>
      <c r="R48" s="1" t="s">
        <v>315</v>
      </c>
      <c r="S48" s="1" t="s">
        <v>372</v>
      </c>
    </row>
    <row r="49" spans="1:18" x14ac:dyDescent="0.2">
      <c r="A49" s="1" t="s">
        <v>368</v>
      </c>
      <c r="B49" s="1" t="s">
        <v>369</v>
      </c>
      <c r="C49" s="1" t="s">
        <v>370</v>
      </c>
      <c r="D49" s="1">
        <v>1899</v>
      </c>
      <c r="E49" s="1">
        <v>77</v>
      </c>
      <c r="F49" s="1">
        <v>1</v>
      </c>
      <c r="G49" s="1" t="s">
        <v>942</v>
      </c>
      <c r="H49" s="1" t="s">
        <v>943</v>
      </c>
      <c r="I49" s="1" t="s">
        <v>507</v>
      </c>
      <c r="K49" s="1" t="s">
        <v>507</v>
      </c>
      <c r="M49" s="1" t="s">
        <v>507</v>
      </c>
    </row>
    <row r="50" spans="1:18" x14ac:dyDescent="0.2">
      <c r="E50" s="1">
        <f>SUM(E2:E49)</f>
        <v>6429</v>
      </c>
    </row>
    <row r="52" spans="1:18" x14ac:dyDescent="0.2">
      <c r="G52" s="1"/>
      <c r="R52" s="91" t="s">
        <v>1033</v>
      </c>
    </row>
    <row r="53" spans="1:18" x14ac:dyDescent="0.2">
      <c r="D53" s="1"/>
      <c r="E53" s="1"/>
      <c r="F53" s="1"/>
      <c r="R53" s="91" t="s">
        <v>1034</v>
      </c>
    </row>
    <row r="54" spans="1:18" x14ac:dyDescent="0.2">
      <c r="D54" s="1"/>
      <c r="E54" s="1"/>
      <c r="G54" s="1"/>
      <c r="R54" s="91" t="s">
        <v>1035</v>
      </c>
    </row>
    <row r="55" spans="1:18" x14ac:dyDescent="0.2">
      <c r="D55" s="1"/>
      <c r="E55" s="1"/>
      <c r="F55" s="1"/>
      <c r="G55" s="1"/>
      <c r="R55" s="91" t="s">
        <v>1035</v>
      </c>
    </row>
    <row r="56" spans="1:18" x14ac:dyDescent="0.2">
      <c r="B56" s="105"/>
      <c r="D56" s="1"/>
      <c r="E56" s="1"/>
      <c r="F56" s="1"/>
      <c r="G56" s="1"/>
      <c r="R56" s="91" t="s">
        <v>1036</v>
      </c>
    </row>
    <row r="57" spans="1:18" x14ac:dyDescent="0.2">
      <c r="D57" s="1"/>
      <c r="E57" s="1"/>
      <c r="F57" s="1"/>
      <c r="R57" s="91" t="s">
        <v>1037</v>
      </c>
    </row>
    <row r="58" spans="1:18" x14ac:dyDescent="0.2">
      <c r="D58" s="1"/>
      <c r="E58" s="1"/>
      <c r="F58" s="1"/>
      <c r="R58" s="91" t="s">
        <v>1033</v>
      </c>
    </row>
    <row r="59" spans="1:18" x14ac:dyDescent="0.2">
      <c r="D59" s="1"/>
      <c r="E59" s="1"/>
      <c r="F59" s="1"/>
      <c r="G59" s="1"/>
      <c r="R59" s="91" t="s">
        <v>1033</v>
      </c>
    </row>
    <row r="60" spans="1:18" x14ac:dyDescent="0.2">
      <c r="D60" s="1"/>
      <c r="E60" s="1"/>
      <c r="F60" s="1"/>
      <c r="G60" s="1"/>
      <c r="I60" s="70"/>
      <c r="J60" s="70"/>
      <c r="K60" s="70"/>
      <c r="L60" s="70"/>
      <c r="M60" s="70"/>
      <c r="R60" s="91"/>
    </row>
    <row r="61" spans="1:18" x14ac:dyDescent="0.2">
      <c r="D61" s="1"/>
      <c r="E61" s="1"/>
      <c r="F61" s="1"/>
      <c r="G61" s="1"/>
      <c r="R61" s="91" t="s">
        <v>1038</v>
      </c>
    </row>
    <row r="62" spans="1:18" x14ac:dyDescent="0.2">
      <c r="D62" s="1"/>
      <c r="E62" s="1"/>
      <c r="F62" s="1"/>
      <c r="G62" s="1"/>
      <c r="R62" s="91" t="s">
        <v>1039</v>
      </c>
    </row>
    <row r="63" spans="1:18" x14ac:dyDescent="0.2">
      <c r="D63" s="1"/>
      <c r="E63" s="1"/>
      <c r="F63" s="1"/>
      <c r="G63" s="1"/>
      <c r="P63" s="1"/>
      <c r="R63" s="91" t="s">
        <v>1040</v>
      </c>
    </row>
    <row r="64" spans="1:18" x14ac:dyDescent="0.2">
      <c r="D64" s="1"/>
      <c r="E64" s="1"/>
      <c r="F64" s="1"/>
    </row>
    <row r="66" spans="9:13" x14ac:dyDescent="0.2">
      <c r="I66" s="70"/>
      <c r="J66" s="70"/>
      <c r="K66" s="70"/>
      <c r="L66" s="70"/>
      <c r="M66" s="70"/>
    </row>
    <row r="67" spans="9:13" x14ac:dyDescent="0.2">
      <c r="I67" s="70"/>
      <c r="J67" s="70"/>
      <c r="K67" s="70"/>
      <c r="L67" s="70"/>
      <c r="M67" s="70"/>
    </row>
    <row r="68" spans="9:13" x14ac:dyDescent="0.2">
      <c r="I68" s="70"/>
      <c r="J68" s="70"/>
      <c r="K68" s="70"/>
      <c r="L68" s="70"/>
      <c r="M68" s="70"/>
    </row>
    <row r="69" spans="9:13" x14ac:dyDescent="0.2">
      <c r="I69" s="70"/>
      <c r="J69" s="70"/>
      <c r="K69" s="70"/>
      <c r="L69" s="70"/>
      <c r="M69" s="70"/>
    </row>
    <row r="70" spans="9:13" x14ac:dyDescent="0.2">
      <c r="I70" s="70"/>
      <c r="J70" s="70"/>
      <c r="K70" s="70"/>
      <c r="L70" s="70"/>
      <c r="M70" s="70"/>
    </row>
    <row r="71" spans="9:13" x14ac:dyDescent="0.2">
      <c r="I71" s="70"/>
      <c r="J71" s="70"/>
      <c r="K71" s="70"/>
      <c r="L71" s="70"/>
      <c r="M71" s="70"/>
    </row>
    <row r="72" spans="9:13" x14ac:dyDescent="0.2">
      <c r="I72" s="70"/>
      <c r="J72" s="70"/>
      <c r="K72" s="70"/>
      <c r="L72" s="70"/>
      <c r="M72" s="70"/>
    </row>
    <row r="73" spans="9:13" x14ac:dyDescent="0.2">
      <c r="I73" s="70"/>
      <c r="J73" s="70"/>
      <c r="K73" s="70"/>
      <c r="L73" s="70"/>
      <c r="M73" s="70"/>
    </row>
    <row r="74" spans="9:13" x14ac:dyDescent="0.2">
      <c r="I74" s="70"/>
      <c r="J74" s="70"/>
      <c r="K74" s="70"/>
      <c r="L74" s="70"/>
      <c r="M74" s="70"/>
    </row>
    <row r="75" spans="9:13" x14ac:dyDescent="0.2">
      <c r="I75" s="78"/>
      <c r="J75" s="78"/>
      <c r="K75" s="78"/>
      <c r="L75" s="78"/>
      <c r="M75" s="78"/>
    </row>
  </sheetData>
  <mergeCells count="1">
    <mergeCell ref="T5:T6"/>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75"/>
  <sheetViews>
    <sheetView topLeftCell="B4" zoomScaleNormal="100" workbookViewId="0">
      <selection activeCell="B4" sqref="B4"/>
    </sheetView>
  </sheetViews>
  <sheetFormatPr baseColWidth="10" defaultColWidth="132.33203125" defaultRowHeight="15" x14ac:dyDescent="0.2"/>
  <cols>
    <col min="1" max="1" width="245" style="1" customWidth="1"/>
    <col min="2" max="2" width="5.83203125" style="1" customWidth="1"/>
    <col min="3" max="3" width="2.83203125" style="1" customWidth="1"/>
    <col min="4" max="4" width="222.83203125" style="1" customWidth="1"/>
    <col min="5" max="7" width="133.5" style="1" customWidth="1"/>
    <col min="8" max="8" width="141" style="1" customWidth="1"/>
    <col min="9" max="9" width="149.1640625" style="1" customWidth="1"/>
    <col min="10" max="13" width="145.83203125" style="1" customWidth="1"/>
    <col min="14" max="14" width="114.5" style="1" customWidth="1"/>
    <col min="15" max="15" width="169.5" style="1" customWidth="1"/>
    <col min="16" max="16" width="174.83203125" style="1" customWidth="1"/>
    <col min="17" max="17" width="183.6640625" style="1" customWidth="1"/>
    <col min="18" max="18" width="7.5" style="1" customWidth="1"/>
    <col min="19" max="19" width="27.5" style="1" customWidth="1"/>
    <col min="20" max="20" width="254.6640625" style="1" customWidth="1"/>
    <col min="21" max="21" width="76.6640625" style="1" customWidth="1"/>
    <col min="22" max="22" width="204.83203125" style="1" customWidth="1"/>
    <col min="23" max="23" width="208.5" style="1" customWidth="1"/>
    <col min="24" max="24" width="13.5" style="1" customWidth="1"/>
    <col min="25" max="25" width="182.83203125" style="1" customWidth="1"/>
    <col min="26" max="26" width="76.6640625" style="1" customWidth="1"/>
    <col min="27" max="27" width="151.6640625" style="1" customWidth="1"/>
    <col min="28" max="28" width="126.5" style="1" customWidth="1"/>
    <col min="29" max="29" width="142.1640625" style="1" customWidth="1"/>
    <col min="30" max="30" width="182.83203125" style="1" customWidth="1"/>
    <col min="31" max="31" width="151.6640625" style="1" customWidth="1"/>
    <col min="32" max="32" width="157.6640625" style="1" customWidth="1"/>
    <col min="33" max="33" width="145.83203125" style="1" customWidth="1"/>
    <col min="34" max="34" width="127" style="1" customWidth="1"/>
    <col min="35" max="35" width="130.33203125" style="1" customWidth="1"/>
    <col min="36" max="36" width="97.6640625" style="1" customWidth="1"/>
    <col min="37" max="37" width="145.83203125" style="1" customWidth="1"/>
    <col min="39" max="39" width="121.83203125" style="1" customWidth="1"/>
    <col min="40" max="40" width="208.5" style="1" customWidth="1"/>
    <col min="41" max="41" width="145.83203125" style="1" customWidth="1"/>
    <col min="42" max="42" width="116.33203125" style="1" customWidth="1"/>
    <col min="43" max="43" width="76.6640625" style="1" customWidth="1"/>
    <col min="44" max="44" width="101.1640625" style="1" customWidth="1"/>
    <col min="45" max="45" width="94" style="1" customWidth="1"/>
    <col min="46" max="46" width="165.83203125" style="1" customWidth="1"/>
    <col min="47" max="47" width="68.6640625" style="1" customWidth="1"/>
    <col min="48" max="48" width="110.6640625" style="1" customWidth="1"/>
    <col min="49" max="49" width="151.6640625" style="1" customWidth="1"/>
    <col min="50" max="50" width="133.5" style="1" customWidth="1"/>
    <col min="51" max="51" width="241.83203125" style="1" customWidth="1"/>
    <col min="53" max="53" width="204.83203125" style="1" customWidth="1"/>
    <col min="54" max="54" width="97.6640625" style="1" customWidth="1"/>
    <col min="55" max="55" width="179.5" style="1" customWidth="1"/>
    <col min="56" max="56" width="217.5" style="1" customWidth="1"/>
    <col min="57" max="57" width="71.5" style="1" customWidth="1"/>
    <col min="58" max="58" width="139" style="1" customWidth="1"/>
    <col min="60" max="60" width="145.83203125" style="1" customWidth="1"/>
    <col min="61" max="61" width="207.1640625" style="1" customWidth="1"/>
    <col min="62" max="62" width="274" style="1" customWidth="1"/>
    <col min="63" max="63" width="96.83203125" style="1" customWidth="1"/>
    <col min="64" max="64" width="94" style="1" customWidth="1"/>
    <col min="65" max="65" width="68.6640625" style="1" customWidth="1"/>
    <col min="66" max="66" width="169.5" style="1" customWidth="1"/>
    <col min="67" max="67" width="94" style="1" customWidth="1"/>
    <col min="68" max="68" width="96.83203125" style="1" customWidth="1"/>
    <col min="69" max="69" width="139" style="1" customWidth="1"/>
    <col min="70" max="70" width="94" style="1" customWidth="1"/>
    <col min="71" max="71" width="195.83203125" style="1" customWidth="1"/>
  </cols>
  <sheetData>
    <row r="1" spans="1:71" ht="16" x14ac:dyDescent="0.2">
      <c r="A1" s="1" t="s">
        <v>0</v>
      </c>
      <c r="B1" s="1" t="s">
        <v>1</v>
      </c>
      <c r="C1" s="1" t="s">
        <v>2</v>
      </c>
      <c r="D1" s="1" t="s">
        <v>7</v>
      </c>
      <c r="E1" s="1" t="s">
        <v>398</v>
      </c>
      <c r="F1" s="1" t="s">
        <v>170</v>
      </c>
      <c r="G1" s="1" t="s">
        <v>1041</v>
      </c>
      <c r="H1" s="3" t="s">
        <v>929</v>
      </c>
      <c r="I1" s="3" t="s">
        <v>930</v>
      </c>
      <c r="J1" s="3" t="s">
        <v>936</v>
      </c>
      <c r="K1" s="3" t="s">
        <v>937</v>
      </c>
      <c r="L1" s="3" t="s">
        <v>938</v>
      </c>
      <c r="M1" s="3" t="s">
        <v>939</v>
      </c>
      <c r="N1" s="3" t="s">
        <v>940</v>
      </c>
      <c r="O1" s="3" t="s">
        <v>931</v>
      </c>
      <c r="P1" s="3" t="s">
        <v>932</v>
      </c>
      <c r="Q1" s="2" t="s">
        <v>935</v>
      </c>
      <c r="R1" s="1" t="s">
        <v>8</v>
      </c>
      <c r="S1" s="1" t="s">
        <v>171</v>
      </c>
      <c r="T1" s="1" t="s">
        <v>418</v>
      </c>
      <c r="U1" s="1" t="s">
        <v>419</v>
      </c>
      <c r="V1" s="1" t="s">
        <v>420</v>
      </c>
      <c r="W1" s="1" t="s">
        <v>421</v>
      </c>
      <c r="X1" s="1" t="s">
        <v>422</v>
      </c>
      <c r="Y1" s="1" t="s">
        <v>423</v>
      </c>
      <c r="Z1" s="1" t="s">
        <v>424</v>
      </c>
      <c r="AA1" s="1" t="s">
        <v>425</v>
      </c>
      <c r="AB1" s="1" t="s">
        <v>426</v>
      </c>
      <c r="AC1" s="1" t="s">
        <v>427</v>
      </c>
      <c r="AD1" s="1" t="s">
        <v>428</v>
      </c>
      <c r="AE1" s="1" t="s">
        <v>429</v>
      </c>
      <c r="AF1" s="1" t="s">
        <v>430</v>
      </c>
      <c r="AG1" s="1" t="s">
        <v>431</v>
      </c>
      <c r="AH1" s="1" t="s">
        <v>432</v>
      </c>
      <c r="AI1" s="1" t="s">
        <v>433</v>
      </c>
      <c r="AJ1" s="1" t="s">
        <v>434</v>
      </c>
      <c r="AK1" s="1" t="s">
        <v>435</v>
      </c>
      <c r="AL1" s="1" t="s">
        <v>436</v>
      </c>
      <c r="AM1" s="1" t="s">
        <v>437</v>
      </c>
      <c r="AN1" s="1" t="s">
        <v>438</v>
      </c>
      <c r="AO1" s="1" t="s">
        <v>439</v>
      </c>
      <c r="AP1" s="1" t="s">
        <v>440</v>
      </c>
      <c r="AQ1" s="1" t="s">
        <v>441</v>
      </c>
      <c r="AR1" s="1" t="s">
        <v>442</v>
      </c>
      <c r="AS1" s="1" t="s">
        <v>443</v>
      </c>
      <c r="AT1" s="1" t="s">
        <v>444</v>
      </c>
      <c r="AU1" s="1" t="s">
        <v>445</v>
      </c>
      <c r="AV1" s="1" t="s">
        <v>446</v>
      </c>
      <c r="AW1" s="1" t="s">
        <v>447</v>
      </c>
      <c r="AX1" s="1" t="s">
        <v>448</v>
      </c>
      <c r="AY1" s="1" t="s">
        <v>449</v>
      </c>
      <c r="AZ1" s="1" t="s">
        <v>450</v>
      </c>
      <c r="BA1" s="1" t="s">
        <v>451</v>
      </c>
      <c r="BB1" s="1" t="s">
        <v>452</v>
      </c>
      <c r="BC1" s="1" t="s">
        <v>453</v>
      </c>
      <c r="BD1" s="1" t="s">
        <v>454</v>
      </c>
      <c r="BE1" s="1" t="s">
        <v>455</v>
      </c>
      <c r="BF1" s="1" t="s">
        <v>456</v>
      </c>
      <c r="BG1" s="1" t="s">
        <v>457</v>
      </c>
      <c r="BH1" s="1" t="s">
        <v>458</v>
      </c>
      <c r="BI1" s="1" t="s">
        <v>459</v>
      </c>
      <c r="BJ1" s="1" t="s">
        <v>460</v>
      </c>
      <c r="BK1" s="1" t="s">
        <v>461</v>
      </c>
      <c r="BL1" s="1" t="s">
        <v>462</v>
      </c>
      <c r="BM1" s="1" t="s">
        <v>463</v>
      </c>
      <c r="BN1" s="1" t="s">
        <v>464</v>
      </c>
      <c r="BO1" s="1" t="s">
        <v>465</v>
      </c>
      <c r="BP1" s="1" t="s">
        <v>466</v>
      </c>
      <c r="BQ1" s="1" t="s">
        <v>467</v>
      </c>
      <c r="BR1" s="1" t="s">
        <v>468</v>
      </c>
      <c r="BS1" s="1" t="s">
        <v>469</v>
      </c>
    </row>
    <row r="2" spans="1:71" x14ac:dyDescent="0.2">
      <c r="A2" s="1" t="s">
        <v>615</v>
      </c>
      <c r="B2" s="1" t="s">
        <v>1042</v>
      </c>
      <c r="C2" s="1" t="s">
        <v>616</v>
      </c>
      <c r="D2" s="1" t="s">
        <v>1043</v>
      </c>
      <c r="E2" s="1">
        <v>1636</v>
      </c>
      <c r="F2" s="1">
        <v>264</v>
      </c>
      <c r="G2" s="1">
        <v>3</v>
      </c>
      <c r="H2" s="1" t="s">
        <v>739</v>
      </c>
      <c r="I2" s="1" t="s">
        <v>943</v>
      </c>
      <c r="P2" s="1" t="s">
        <v>1044</v>
      </c>
      <c r="R2" s="1" t="s">
        <v>15</v>
      </c>
      <c r="S2" s="1" t="s">
        <v>1045</v>
      </c>
      <c r="T2" s="1" t="s">
        <v>1046</v>
      </c>
      <c r="X2" s="1" t="s">
        <v>481</v>
      </c>
    </row>
    <row r="3" spans="1:71" s="26" customFormat="1" x14ac:dyDescent="0.2">
      <c r="A3" s="26" t="s">
        <v>891</v>
      </c>
      <c r="B3" s="26" t="s">
        <v>1047</v>
      </c>
      <c r="C3" s="26" t="s">
        <v>892</v>
      </c>
      <c r="D3" s="26" t="s">
        <v>1048</v>
      </c>
      <c r="E3" s="26">
        <v>1854</v>
      </c>
      <c r="F3" s="26">
        <v>81</v>
      </c>
      <c r="G3" s="26">
        <v>1</v>
      </c>
      <c r="H3" s="26" t="s">
        <v>514</v>
      </c>
      <c r="I3" s="26" t="s">
        <v>943</v>
      </c>
      <c r="J3" s="1" t="s">
        <v>507</v>
      </c>
      <c r="K3" s="1"/>
      <c r="L3" s="26" t="s">
        <v>507</v>
      </c>
      <c r="M3" s="1"/>
      <c r="N3" s="1" t="s">
        <v>507</v>
      </c>
      <c r="P3" s="26" t="s">
        <v>1049</v>
      </c>
      <c r="R3" s="26" t="s">
        <v>1050</v>
      </c>
      <c r="T3" s="26" t="s">
        <v>1051</v>
      </c>
      <c r="X3" s="26" t="s">
        <v>1052</v>
      </c>
    </row>
    <row r="4" spans="1:71" x14ac:dyDescent="0.2">
      <c r="A4" s="1" t="s">
        <v>1053</v>
      </c>
      <c r="B4" s="1" t="s">
        <v>25</v>
      </c>
      <c r="C4" s="1" t="s">
        <v>233</v>
      </c>
      <c r="D4" s="1" t="s">
        <v>81</v>
      </c>
      <c r="E4" s="1">
        <v>1719</v>
      </c>
      <c r="F4" s="1">
        <v>138</v>
      </c>
      <c r="G4" s="1">
        <v>2</v>
      </c>
      <c r="H4" s="1" t="s">
        <v>598</v>
      </c>
      <c r="I4" s="1" t="s">
        <v>943</v>
      </c>
      <c r="J4" s="1" t="s">
        <v>507</v>
      </c>
      <c r="L4" s="1" t="s">
        <v>507</v>
      </c>
      <c r="N4" s="1" t="s">
        <v>507</v>
      </c>
      <c r="R4" s="1" t="s">
        <v>65</v>
      </c>
      <c r="S4" s="1" t="s">
        <v>234</v>
      </c>
      <c r="T4" s="1" t="s">
        <v>1054</v>
      </c>
      <c r="X4" s="1" t="s">
        <v>1055</v>
      </c>
    </row>
    <row r="5" spans="1:71" s="1" customFormat="1" x14ac:dyDescent="0.2">
      <c r="A5" s="1" t="s">
        <v>638</v>
      </c>
      <c r="B5" s="1" t="s">
        <v>199</v>
      </c>
      <c r="C5" s="1" t="s">
        <v>639</v>
      </c>
      <c r="D5" s="1" t="s">
        <v>201</v>
      </c>
      <c r="E5" s="1">
        <v>1668</v>
      </c>
      <c r="F5" s="1">
        <v>195</v>
      </c>
      <c r="G5" s="1">
        <v>3</v>
      </c>
      <c r="H5" s="1" t="s">
        <v>598</v>
      </c>
      <c r="I5" s="1" t="s">
        <v>943</v>
      </c>
      <c r="J5" s="40"/>
      <c r="K5" s="40"/>
      <c r="L5" s="40"/>
      <c r="M5" s="40"/>
      <c r="N5" s="40"/>
      <c r="R5" s="1" t="s">
        <v>202</v>
      </c>
      <c r="S5" s="1" t="s">
        <v>203</v>
      </c>
      <c r="X5" s="1" t="s">
        <v>1056</v>
      </c>
    </row>
    <row r="6" spans="1:71" s="1" customFormat="1" x14ac:dyDescent="0.2">
      <c r="A6" s="1" t="s">
        <v>641</v>
      </c>
      <c r="B6" s="1" t="s">
        <v>199</v>
      </c>
      <c r="C6" s="1" t="s">
        <v>642</v>
      </c>
      <c r="D6" s="1" t="s">
        <v>201</v>
      </c>
      <c r="E6" s="1">
        <v>1668</v>
      </c>
      <c r="F6" s="1">
        <v>197</v>
      </c>
      <c r="G6" s="1">
        <v>3</v>
      </c>
      <c r="H6" s="1" t="s">
        <v>1005</v>
      </c>
      <c r="I6" s="1" t="s">
        <v>943</v>
      </c>
      <c r="J6" s="70" t="s">
        <v>507</v>
      </c>
      <c r="K6" s="70" t="s">
        <v>507</v>
      </c>
      <c r="L6" s="70" t="s">
        <v>507</v>
      </c>
      <c r="M6" s="70"/>
      <c r="N6" s="70"/>
      <c r="R6" s="1" t="s">
        <v>202</v>
      </c>
      <c r="S6" s="1" t="s">
        <v>203</v>
      </c>
      <c r="X6" s="1" t="s">
        <v>1056</v>
      </c>
    </row>
    <row r="7" spans="1:71" s="1" customFormat="1" x14ac:dyDescent="0.2">
      <c r="A7" s="1" t="s">
        <v>643</v>
      </c>
      <c r="B7" s="1" t="s">
        <v>199</v>
      </c>
      <c r="C7" s="1" t="s">
        <v>644</v>
      </c>
      <c r="D7" s="1" t="s">
        <v>201</v>
      </c>
      <c r="E7" s="1">
        <v>1668</v>
      </c>
      <c r="F7" s="1">
        <v>185</v>
      </c>
      <c r="G7" s="1">
        <v>3</v>
      </c>
      <c r="H7" s="1" t="s">
        <v>1007</v>
      </c>
      <c r="I7" s="1" t="s">
        <v>943</v>
      </c>
      <c r="J7" s="70" t="s">
        <v>507</v>
      </c>
      <c r="K7" s="70" t="s">
        <v>507</v>
      </c>
      <c r="L7" s="70" t="s">
        <v>507</v>
      </c>
      <c r="M7" s="70"/>
      <c r="N7" s="70"/>
      <c r="O7" s="78" t="s">
        <v>1057</v>
      </c>
      <c r="R7" s="1" t="s">
        <v>202</v>
      </c>
      <c r="S7" s="1" t="s">
        <v>203</v>
      </c>
      <c r="X7" s="1" t="s">
        <v>1056</v>
      </c>
    </row>
    <row r="8" spans="1:71" x14ac:dyDescent="0.2">
      <c r="A8" s="1" t="s">
        <v>804</v>
      </c>
      <c r="B8" s="1" t="s">
        <v>1058</v>
      </c>
      <c r="C8" s="1" t="s">
        <v>805</v>
      </c>
      <c r="D8" s="1" t="s">
        <v>94</v>
      </c>
      <c r="E8" s="1">
        <v>1807</v>
      </c>
      <c r="F8" s="1">
        <v>395</v>
      </c>
      <c r="G8" s="1">
        <v>1</v>
      </c>
      <c r="H8" s="1" t="s">
        <v>598</v>
      </c>
      <c r="I8" s="1" t="s">
        <v>943</v>
      </c>
      <c r="J8" s="70" t="s">
        <v>549</v>
      </c>
      <c r="K8" s="70"/>
      <c r="L8" s="70" t="s">
        <v>549</v>
      </c>
      <c r="M8" s="70"/>
      <c r="N8" s="70" t="s">
        <v>549</v>
      </c>
      <c r="R8" s="1" t="s">
        <v>95</v>
      </c>
      <c r="S8" s="1" t="s">
        <v>1059</v>
      </c>
      <c r="X8" s="1" t="s">
        <v>1060</v>
      </c>
    </row>
    <row r="9" spans="1:71" x14ac:dyDescent="0.2">
      <c r="A9" s="1" t="s">
        <v>730</v>
      </c>
      <c r="B9" s="1" t="s">
        <v>1061</v>
      </c>
      <c r="C9" s="1" t="s">
        <v>731</v>
      </c>
      <c r="D9" s="1" t="s">
        <v>190</v>
      </c>
      <c r="E9" s="1">
        <v>1786</v>
      </c>
      <c r="F9" s="1">
        <v>395</v>
      </c>
      <c r="G9" s="1">
        <v>1</v>
      </c>
      <c r="H9" s="1" t="s">
        <v>1062</v>
      </c>
      <c r="I9" s="1" t="s">
        <v>943</v>
      </c>
      <c r="J9" s="70" t="s">
        <v>507</v>
      </c>
      <c r="K9" s="70" t="s">
        <v>507</v>
      </c>
      <c r="L9" s="70" t="s">
        <v>507</v>
      </c>
      <c r="M9" s="70"/>
      <c r="N9" s="70" t="s">
        <v>507</v>
      </c>
      <c r="R9" s="1" t="s">
        <v>196</v>
      </c>
      <c r="S9" s="1" t="s">
        <v>1063</v>
      </c>
      <c r="T9" s="1" t="s">
        <v>1064</v>
      </c>
      <c r="X9" s="1" t="s">
        <v>185</v>
      </c>
    </row>
    <row r="10" spans="1:71" x14ac:dyDescent="0.2">
      <c r="A10" s="1" t="s">
        <v>519</v>
      </c>
      <c r="B10" s="1" t="s">
        <v>25</v>
      </c>
      <c r="C10" s="1" t="s">
        <v>520</v>
      </c>
      <c r="D10" s="1" t="s">
        <v>201</v>
      </c>
      <c r="E10" s="1">
        <v>1542</v>
      </c>
      <c r="F10" s="1">
        <v>37</v>
      </c>
      <c r="G10" s="1">
        <v>3</v>
      </c>
      <c r="H10" s="1" t="s">
        <v>1023</v>
      </c>
      <c r="I10" s="1" t="s">
        <v>943</v>
      </c>
      <c r="J10" s="70"/>
      <c r="K10" s="70"/>
      <c r="L10" s="70"/>
      <c r="M10" s="70"/>
      <c r="N10" s="70"/>
      <c r="R10" s="1" t="s">
        <v>1065</v>
      </c>
      <c r="S10" s="1" t="s">
        <v>1066</v>
      </c>
      <c r="T10" s="1" t="s">
        <v>1067</v>
      </c>
      <c r="X10" s="1" t="s">
        <v>1056</v>
      </c>
    </row>
    <row r="11" spans="1:71" x14ac:dyDescent="0.2">
      <c r="A11" s="1" t="s">
        <v>536</v>
      </c>
      <c r="B11" s="1" t="s">
        <v>25</v>
      </c>
      <c r="C11" s="1" t="s">
        <v>537</v>
      </c>
      <c r="D11" s="1" t="s">
        <v>201</v>
      </c>
      <c r="E11" s="1">
        <v>1568</v>
      </c>
      <c r="F11" s="1">
        <v>317</v>
      </c>
      <c r="G11" s="1">
        <v>3</v>
      </c>
      <c r="H11" s="1" t="s">
        <v>598</v>
      </c>
      <c r="I11" s="1" t="s">
        <v>943</v>
      </c>
      <c r="R11" s="1" t="s">
        <v>1065</v>
      </c>
      <c r="S11" s="1" t="s">
        <v>1068</v>
      </c>
      <c r="X11" s="1" t="s">
        <v>1056</v>
      </c>
    </row>
    <row r="12" spans="1:71" x14ac:dyDescent="0.2">
      <c r="A12" s="1" t="s">
        <v>557</v>
      </c>
      <c r="B12" s="1" t="s">
        <v>25</v>
      </c>
      <c r="C12" s="1" t="s">
        <v>558</v>
      </c>
      <c r="D12" s="1" t="s">
        <v>201</v>
      </c>
      <c r="E12" s="1">
        <v>1579</v>
      </c>
      <c r="F12" s="1">
        <v>51</v>
      </c>
      <c r="G12" s="1">
        <v>3</v>
      </c>
      <c r="H12" s="1" t="s">
        <v>1023</v>
      </c>
      <c r="I12" s="1" t="s">
        <v>943</v>
      </c>
      <c r="J12" s="70"/>
      <c r="K12" s="70"/>
      <c r="L12" s="70"/>
      <c r="M12" s="70"/>
      <c r="N12" s="70"/>
      <c r="R12" s="1" t="s">
        <v>1065</v>
      </c>
      <c r="S12" s="1" t="s">
        <v>1069</v>
      </c>
      <c r="X12" s="1" t="s">
        <v>1056</v>
      </c>
    </row>
    <row r="13" spans="1:71" x14ac:dyDescent="0.2">
      <c r="A13" s="1" t="s">
        <v>1070</v>
      </c>
      <c r="B13" s="1" t="s">
        <v>1071</v>
      </c>
      <c r="C13" s="1" t="s">
        <v>587</v>
      </c>
      <c r="D13" s="1" t="s">
        <v>1072</v>
      </c>
      <c r="E13" s="1">
        <v>1587</v>
      </c>
      <c r="F13" s="1">
        <v>156</v>
      </c>
      <c r="G13" s="1">
        <v>3</v>
      </c>
      <c r="H13" s="1" t="s">
        <v>1023</v>
      </c>
      <c r="I13" s="1" t="s">
        <v>943</v>
      </c>
      <c r="J13" s="1" t="s">
        <v>507</v>
      </c>
      <c r="K13" s="1" t="s">
        <v>507</v>
      </c>
      <c r="L13" s="1" t="s">
        <v>507</v>
      </c>
      <c r="N13" s="1" t="s">
        <v>507</v>
      </c>
      <c r="R13" s="1" t="s">
        <v>1065</v>
      </c>
      <c r="S13" s="1" t="s">
        <v>1073</v>
      </c>
      <c r="X13" s="1" t="s">
        <v>1074</v>
      </c>
    </row>
    <row r="14" spans="1:71" x14ac:dyDescent="0.2">
      <c r="A14" s="1" t="s">
        <v>1075</v>
      </c>
      <c r="B14" s="1" t="s">
        <v>25</v>
      </c>
      <c r="C14" s="1" t="s">
        <v>573</v>
      </c>
      <c r="D14" s="1" t="s">
        <v>201</v>
      </c>
      <c r="E14" s="1">
        <v>1593</v>
      </c>
      <c r="F14" s="1">
        <v>278</v>
      </c>
      <c r="G14" s="1">
        <v>3</v>
      </c>
      <c r="H14" s="1" t="s">
        <v>1007</v>
      </c>
      <c r="I14" s="1" t="s">
        <v>943</v>
      </c>
      <c r="O14" s="78" t="s">
        <v>1076</v>
      </c>
      <c r="R14" s="1" t="s">
        <v>1065</v>
      </c>
      <c r="S14" s="1" t="s">
        <v>1077</v>
      </c>
      <c r="X14" s="1" t="s">
        <v>1056</v>
      </c>
    </row>
    <row r="15" spans="1:71" x14ac:dyDescent="0.2">
      <c r="A15" s="1" t="s">
        <v>1078</v>
      </c>
      <c r="B15" s="1" t="s">
        <v>25</v>
      </c>
      <c r="C15" s="1" t="s">
        <v>573</v>
      </c>
      <c r="D15" s="1" t="s">
        <v>201</v>
      </c>
      <c r="E15" s="1">
        <v>1593</v>
      </c>
      <c r="F15" s="1">
        <v>268</v>
      </c>
      <c r="G15" s="1">
        <v>3</v>
      </c>
      <c r="H15" s="1" t="s">
        <v>739</v>
      </c>
      <c r="I15" s="1" t="s">
        <v>1079</v>
      </c>
      <c r="R15" s="1" t="s">
        <v>1065</v>
      </c>
      <c r="S15" s="1" t="s">
        <v>1077</v>
      </c>
      <c r="X15" s="1" t="s">
        <v>1056</v>
      </c>
    </row>
    <row r="16" spans="1:71" x14ac:dyDescent="0.2">
      <c r="A16" s="1" t="s">
        <v>1080</v>
      </c>
      <c r="B16" s="1" t="s">
        <v>25</v>
      </c>
      <c r="C16" s="1" t="s">
        <v>573</v>
      </c>
      <c r="D16" s="1" t="s">
        <v>201</v>
      </c>
      <c r="E16" s="1">
        <v>1593</v>
      </c>
      <c r="F16" s="1">
        <v>344</v>
      </c>
      <c r="G16" s="1">
        <v>3</v>
      </c>
      <c r="H16" s="1" t="s">
        <v>739</v>
      </c>
      <c r="I16" s="1" t="s">
        <v>1081</v>
      </c>
      <c r="J16" s="26"/>
      <c r="K16" s="98"/>
      <c r="L16" s="99"/>
      <c r="M16" s="99"/>
      <c r="N16" s="99"/>
      <c r="R16" s="1" t="s">
        <v>1065</v>
      </c>
      <c r="S16" s="1" t="s">
        <v>1077</v>
      </c>
      <c r="X16" s="1" t="s">
        <v>1056</v>
      </c>
    </row>
    <row r="17" spans="1:24" x14ac:dyDescent="0.2">
      <c r="A17" s="1" t="s">
        <v>660</v>
      </c>
      <c r="B17" s="1" t="s">
        <v>25</v>
      </c>
      <c r="C17" s="1" t="s">
        <v>661</v>
      </c>
      <c r="D17" s="1" t="s">
        <v>1072</v>
      </c>
      <c r="E17" s="1">
        <v>1695</v>
      </c>
      <c r="F17" s="1">
        <v>159</v>
      </c>
      <c r="G17" s="1">
        <v>2</v>
      </c>
      <c r="H17" s="1" t="s">
        <v>598</v>
      </c>
      <c r="I17" s="1" t="s">
        <v>943</v>
      </c>
      <c r="R17" s="1" t="s">
        <v>1065</v>
      </c>
      <c r="S17" s="1" t="s">
        <v>1082</v>
      </c>
      <c r="T17" s="1" t="s">
        <v>1083</v>
      </c>
      <c r="X17" s="1" t="s">
        <v>1084</v>
      </c>
    </row>
    <row r="18" spans="1:24" x14ac:dyDescent="0.2">
      <c r="A18" s="1" t="s">
        <v>824</v>
      </c>
      <c r="B18" s="1" t="s">
        <v>1085</v>
      </c>
      <c r="C18" s="1" t="s">
        <v>825</v>
      </c>
      <c r="D18" s="1" t="s">
        <v>201</v>
      </c>
      <c r="E18" s="1">
        <v>1808</v>
      </c>
      <c r="F18" s="1">
        <v>89</v>
      </c>
      <c r="G18" s="1">
        <v>1</v>
      </c>
      <c r="H18" s="1" t="s">
        <v>1007</v>
      </c>
      <c r="I18" s="1" t="s">
        <v>943</v>
      </c>
      <c r="J18" s="1" t="s">
        <v>507</v>
      </c>
      <c r="L18" s="1" t="s">
        <v>507</v>
      </c>
      <c r="N18" s="1" t="s">
        <v>507</v>
      </c>
      <c r="R18" s="1" t="s">
        <v>1065</v>
      </c>
      <c r="S18" s="1" t="s">
        <v>1086</v>
      </c>
      <c r="T18" s="1" t="s">
        <v>1087</v>
      </c>
      <c r="X18" s="1" t="s">
        <v>1056</v>
      </c>
    </row>
    <row r="19" spans="1:24" x14ac:dyDescent="0.2">
      <c r="A19" s="91" t="s">
        <v>1088</v>
      </c>
      <c r="B19" s="1" t="s">
        <v>1089</v>
      </c>
      <c r="C19" s="1" t="s">
        <v>873</v>
      </c>
      <c r="D19" s="1" t="s">
        <v>201</v>
      </c>
      <c r="E19" s="1">
        <v>1835</v>
      </c>
      <c r="F19" s="1">
        <v>340</v>
      </c>
      <c r="G19" s="1">
        <v>1</v>
      </c>
      <c r="H19" s="1" t="s">
        <v>1007</v>
      </c>
      <c r="I19" s="1" t="s">
        <v>943</v>
      </c>
      <c r="J19" s="70" t="s">
        <v>549</v>
      </c>
      <c r="K19" s="70"/>
      <c r="L19" s="70" t="s">
        <v>549</v>
      </c>
      <c r="M19" s="70"/>
      <c r="N19" s="70" t="s">
        <v>507</v>
      </c>
      <c r="O19" s="78" t="s">
        <v>1090</v>
      </c>
      <c r="R19" s="1" t="s">
        <v>1065</v>
      </c>
      <c r="S19" s="1" t="s">
        <v>1091</v>
      </c>
      <c r="T19" s="1" t="s">
        <v>1092</v>
      </c>
      <c r="X19" s="1" t="s">
        <v>1056</v>
      </c>
    </row>
    <row r="20" spans="1:24" x14ac:dyDescent="0.2">
      <c r="A20" s="1" t="s">
        <v>697</v>
      </c>
      <c r="B20" s="1" t="s">
        <v>1093</v>
      </c>
      <c r="C20" s="1" t="s">
        <v>698</v>
      </c>
      <c r="D20" s="1" t="s">
        <v>1094</v>
      </c>
      <c r="E20" s="1">
        <v>1748</v>
      </c>
      <c r="F20" s="1">
        <v>86</v>
      </c>
      <c r="G20" s="1">
        <v>1</v>
      </c>
      <c r="H20" s="1" t="s">
        <v>942</v>
      </c>
      <c r="I20" s="1" t="s">
        <v>943</v>
      </c>
      <c r="J20" s="70" t="s">
        <v>507</v>
      </c>
      <c r="K20" s="70"/>
      <c r="L20" s="70" t="s">
        <v>507</v>
      </c>
      <c r="M20" s="70"/>
      <c r="N20" s="70" t="s">
        <v>507</v>
      </c>
      <c r="R20" s="1" t="s">
        <v>1095</v>
      </c>
      <c r="S20" s="1" t="s">
        <v>1096</v>
      </c>
      <c r="T20" s="1" t="s">
        <v>78</v>
      </c>
      <c r="X20" s="1" t="s">
        <v>1052</v>
      </c>
    </row>
    <row r="21" spans="1:24" x14ac:dyDescent="0.2">
      <c r="A21" s="1" t="s">
        <v>1097</v>
      </c>
      <c r="B21" s="1" t="s">
        <v>1098</v>
      </c>
      <c r="C21" s="1" t="s">
        <v>752</v>
      </c>
      <c r="D21" s="1" t="s">
        <v>27</v>
      </c>
      <c r="E21" s="1">
        <v>1789</v>
      </c>
      <c r="F21" s="1">
        <v>220</v>
      </c>
      <c r="G21" s="1">
        <v>1</v>
      </c>
      <c r="H21" s="1" t="s">
        <v>708</v>
      </c>
      <c r="I21" s="1" t="s">
        <v>943</v>
      </c>
      <c r="R21" s="1" t="s">
        <v>1095</v>
      </c>
      <c r="S21" s="1" t="s">
        <v>1099</v>
      </c>
      <c r="T21" s="1" t="s">
        <v>1100</v>
      </c>
      <c r="X21" s="1" t="s">
        <v>1052</v>
      </c>
    </row>
    <row r="22" spans="1:24" ht="32.25" customHeight="1" x14ac:dyDescent="0.2">
      <c r="A22" s="1" t="s">
        <v>1101</v>
      </c>
      <c r="B22" s="1" t="s">
        <v>1098</v>
      </c>
      <c r="C22" s="1" t="s">
        <v>754</v>
      </c>
      <c r="D22" s="1" t="s">
        <v>27</v>
      </c>
      <c r="E22" s="1">
        <v>1794</v>
      </c>
      <c r="F22" s="1">
        <v>83</v>
      </c>
      <c r="G22" s="1">
        <v>1</v>
      </c>
      <c r="H22" s="1" t="s">
        <v>942</v>
      </c>
      <c r="I22" s="1" t="s">
        <v>943</v>
      </c>
      <c r="P22" s="106" t="s">
        <v>1102</v>
      </c>
      <c r="R22" s="1" t="s">
        <v>1095</v>
      </c>
      <c r="S22" s="1" t="s">
        <v>1103</v>
      </c>
      <c r="T22" s="1" t="s">
        <v>1104</v>
      </c>
      <c r="X22" s="1" t="s">
        <v>1052</v>
      </c>
    </row>
    <row r="23" spans="1:24" x14ac:dyDescent="0.2">
      <c r="A23" s="1" t="s">
        <v>864</v>
      </c>
      <c r="B23" s="1" t="s">
        <v>1105</v>
      </c>
      <c r="C23" s="1" t="s">
        <v>865</v>
      </c>
      <c r="D23" s="1" t="s">
        <v>1048</v>
      </c>
      <c r="E23" s="1">
        <v>1830</v>
      </c>
      <c r="F23" s="1">
        <v>19</v>
      </c>
      <c r="G23" s="1">
        <v>1</v>
      </c>
      <c r="H23" s="1" t="s">
        <v>1023</v>
      </c>
      <c r="I23" s="1" t="s">
        <v>943</v>
      </c>
      <c r="J23" s="70" t="s">
        <v>507</v>
      </c>
      <c r="K23" s="70"/>
      <c r="L23" s="70" t="s">
        <v>507</v>
      </c>
      <c r="M23" s="70"/>
      <c r="N23" s="70" t="s">
        <v>507</v>
      </c>
      <c r="R23" s="1" t="s">
        <v>1095</v>
      </c>
      <c r="S23" s="1" t="s">
        <v>1106</v>
      </c>
      <c r="T23" s="1" t="s">
        <v>1107</v>
      </c>
      <c r="X23" s="1" t="s">
        <v>1052</v>
      </c>
    </row>
    <row r="24" spans="1:24" x14ac:dyDescent="0.2">
      <c r="A24" s="1" t="s">
        <v>1108</v>
      </c>
      <c r="B24" s="1" t="s">
        <v>265</v>
      </c>
      <c r="C24" s="1" t="s">
        <v>713</v>
      </c>
      <c r="D24" s="1" t="s">
        <v>14</v>
      </c>
      <c r="E24" s="1">
        <v>1719</v>
      </c>
      <c r="F24" s="1">
        <v>328</v>
      </c>
      <c r="G24" s="1">
        <v>3</v>
      </c>
      <c r="H24" s="1" t="s">
        <v>1012</v>
      </c>
      <c r="I24" s="1" t="s">
        <v>943</v>
      </c>
      <c r="J24" s="70" t="s">
        <v>549</v>
      </c>
      <c r="K24" s="70"/>
      <c r="L24" s="70" t="s">
        <v>549</v>
      </c>
      <c r="M24" s="70"/>
      <c r="N24" s="70" t="s">
        <v>507</v>
      </c>
      <c r="R24" s="1" t="s">
        <v>267</v>
      </c>
      <c r="S24" s="1" t="s">
        <v>1109</v>
      </c>
      <c r="T24" s="1" t="s">
        <v>1110</v>
      </c>
      <c r="X24" s="1" t="s">
        <v>1111</v>
      </c>
    </row>
    <row r="25" spans="1:24" x14ac:dyDescent="0.2">
      <c r="A25" s="1" t="s">
        <v>533</v>
      </c>
      <c r="B25" s="1" t="s">
        <v>265</v>
      </c>
      <c r="C25" s="1" t="s">
        <v>266</v>
      </c>
      <c r="D25" s="1" t="s">
        <v>14</v>
      </c>
      <c r="E25" s="1">
        <v>1755</v>
      </c>
      <c r="F25" s="1">
        <v>200</v>
      </c>
      <c r="G25" s="1">
        <v>1</v>
      </c>
      <c r="H25" s="1" t="s">
        <v>1012</v>
      </c>
      <c r="I25" s="1" t="s">
        <v>943</v>
      </c>
      <c r="J25" s="70" t="s">
        <v>507</v>
      </c>
      <c r="K25" s="70" t="s">
        <v>507</v>
      </c>
      <c r="L25" s="70" t="s">
        <v>507</v>
      </c>
      <c r="M25" s="70"/>
      <c r="N25" s="70" t="s">
        <v>507</v>
      </c>
      <c r="R25" s="1" t="s">
        <v>267</v>
      </c>
      <c r="S25" s="1" t="s">
        <v>268</v>
      </c>
      <c r="T25" s="1" t="s">
        <v>1112</v>
      </c>
      <c r="X25" s="1" t="s">
        <v>1111</v>
      </c>
    </row>
    <row r="26" spans="1:24" x14ac:dyDescent="0.2">
      <c r="A26" s="1" t="s">
        <v>329</v>
      </c>
      <c r="B26" s="1" t="s">
        <v>330</v>
      </c>
      <c r="C26" s="1" t="s">
        <v>829</v>
      </c>
      <c r="D26" s="1" t="s">
        <v>332</v>
      </c>
      <c r="E26" s="1">
        <v>1814</v>
      </c>
      <c r="F26" s="1">
        <v>72</v>
      </c>
      <c r="G26" s="1">
        <v>1</v>
      </c>
      <c r="H26" s="1" t="s">
        <v>942</v>
      </c>
      <c r="I26" s="1" t="s">
        <v>943</v>
      </c>
      <c r="J26" s="70" t="s">
        <v>507</v>
      </c>
      <c r="K26" s="70"/>
      <c r="L26" s="70" t="s">
        <v>507</v>
      </c>
      <c r="M26" s="70"/>
      <c r="N26" s="70" t="s">
        <v>507</v>
      </c>
      <c r="R26" s="1" t="s">
        <v>267</v>
      </c>
      <c r="S26" s="1" t="s">
        <v>333</v>
      </c>
      <c r="X26" s="1" t="s">
        <v>1113</v>
      </c>
    </row>
    <row r="27" spans="1:24" x14ac:dyDescent="0.2">
      <c r="A27" s="1" t="s">
        <v>867</v>
      </c>
      <c r="B27" s="1" t="s">
        <v>1089</v>
      </c>
      <c r="C27" s="1" t="s">
        <v>873</v>
      </c>
      <c r="D27" s="1" t="s">
        <v>201</v>
      </c>
      <c r="E27" s="1">
        <v>1835</v>
      </c>
      <c r="F27" s="1">
        <v>340</v>
      </c>
      <c r="G27" s="1">
        <v>1</v>
      </c>
      <c r="H27" s="1" t="s">
        <v>1114</v>
      </c>
      <c r="I27" s="1" t="s">
        <v>943</v>
      </c>
      <c r="J27" s="70"/>
      <c r="K27" s="70"/>
      <c r="L27" s="70"/>
      <c r="M27" s="70"/>
      <c r="N27" s="70"/>
    </row>
    <row r="28" spans="1:24" x14ac:dyDescent="0.2">
      <c r="F28" s="1">
        <f>SUM(F2:F27)</f>
        <v>5237</v>
      </c>
      <c r="H28" s="104"/>
      <c r="I28" s="104"/>
      <c r="O28" s="104"/>
      <c r="P28" s="104"/>
      <c r="Q28" s="104"/>
    </row>
    <row r="29" spans="1:24" x14ac:dyDescent="0.2">
      <c r="J29" s="70"/>
      <c r="K29" s="70"/>
      <c r="L29" s="70"/>
      <c r="M29" s="70"/>
      <c r="N29" s="70"/>
    </row>
    <row r="30" spans="1:24" x14ac:dyDescent="0.2">
      <c r="J30" s="47"/>
      <c r="K30" s="99"/>
      <c r="L30" s="99"/>
      <c r="M30" s="99"/>
      <c r="N30" s="99"/>
    </row>
    <row r="31" spans="1:24" x14ac:dyDescent="0.2">
      <c r="J31" s="33"/>
      <c r="K31" s="33"/>
      <c r="L31" s="33"/>
      <c r="M31" s="33"/>
      <c r="N31" s="33"/>
    </row>
    <row r="35" spans="8:17" x14ac:dyDescent="0.2">
      <c r="J35" s="70"/>
      <c r="K35" s="70"/>
      <c r="L35" s="70"/>
      <c r="M35" s="70"/>
      <c r="N35" s="70"/>
    </row>
    <row r="38" spans="8:17" x14ac:dyDescent="0.2">
      <c r="H38" s="104"/>
      <c r="I38" s="104"/>
      <c r="J38" s="70"/>
      <c r="K38" s="70"/>
      <c r="L38" s="70"/>
      <c r="M38" s="70"/>
      <c r="N38" s="70"/>
      <c r="O38" s="104"/>
      <c r="P38" s="104"/>
      <c r="Q38" s="104"/>
    </row>
    <row r="39" spans="8:17" x14ac:dyDescent="0.2">
      <c r="J39" s="70"/>
      <c r="K39" s="70"/>
      <c r="L39" s="70"/>
      <c r="M39" s="70"/>
      <c r="N39" s="70"/>
    </row>
    <row r="40" spans="8:17" x14ac:dyDescent="0.2">
      <c r="J40" s="70"/>
      <c r="K40" s="70"/>
      <c r="L40" s="70"/>
      <c r="M40" s="70"/>
      <c r="N40" s="70"/>
    </row>
    <row r="42" spans="8:17" x14ac:dyDescent="0.2">
      <c r="J42" s="70"/>
      <c r="K42" s="70"/>
      <c r="L42" s="70"/>
      <c r="M42" s="70"/>
      <c r="N42" s="70"/>
    </row>
    <row r="46" spans="8:17" x14ac:dyDescent="0.2">
      <c r="J46" s="33"/>
      <c r="K46" s="33"/>
      <c r="L46" s="33"/>
      <c r="M46" s="33"/>
      <c r="N46" s="33"/>
    </row>
    <row r="60" spans="10:14" x14ac:dyDescent="0.2">
      <c r="J60" s="70"/>
      <c r="K60" s="70"/>
      <c r="L60" s="70"/>
      <c r="M60" s="70"/>
      <c r="N60" s="70"/>
    </row>
    <row r="66" spans="10:14" x14ac:dyDescent="0.2">
      <c r="J66" s="70"/>
      <c r="K66" s="70"/>
      <c r="L66" s="70"/>
      <c r="M66" s="70"/>
      <c r="N66" s="70"/>
    </row>
    <row r="67" spans="10:14" x14ac:dyDescent="0.2">
      <c r="J67" s="70"/>
      <c r="K67" s="70"/>
      <c r="L67" s="70"/>
      <c r="M67" s="70"/>
      <c r="N67" s="70"/>
    </row>
    <row r="68" spans="10:14" x14ac:dyDescent="0.2">
      <c r="J68" s="70"/>
      <c r="K68" s="70"/>
      <c r="L68" s="70"/>
      <c r="M68" s="70"/>
      <c r="N68" s="70"/>
    </row>
    <row r="69" spans="10:14" x14ac:dyDescent="0.2">
      <c r="J69" s="70"/>
      <c r="K69" s="70"/>
      <c r="L69" s="70"/>
      <c r="M69" s="70"/>
      <c r="N69" s="70"/>
    </row>
    <row r="70" spans="10:14" x14ac:dyDescent="0.2">
      <c r="J70" s="70"/>
      <c r="K70" s="70"/>
      <c r="L70" s="70"/>
      <c r="M70" s="70"/>
      <c r="N70" s="70"/>
    </row>
    <row r="71" spans="10:14" x14ac:dyDescent="0.2">
      <c r="J71" s="70"/>
      <c r="K71" s="70"/>
      <c r="L71" s="70"/>
      <c r="M71" s="70"/>
      <c r="N71" s="70"/>
    </row>
    <row r="72" spans="10:14" x14ac:dyDescent="0.2">
      <c r="J72" s="70"/>
      <c r="K72" s="70"/>
      <c r="L72" s="70"/>
      <c r="M72" s="70"/>
      <c r="N72" s="70"/>
    </row>
    <row r="73" spans="10:14" x14ac:dyDescent="0.2">
      <c r="J73" s="70"/>
      <c r="K73" s="70"/>
      <c r="L73" s="70"/>
      <c r="M73" s="70"/>
      <c r="N73" s="70"/>
    </row>
    <row r="74" spans="10:14" x14ac:dyDescent="0.2">
      <c r="J74" s="70"/>
      <c r="K74" s="70"/>
      <c r="L74" s="70"/>
      <c r="M74" s="70"/>
      <c r="N74" s="70"/>
    </row>
    <row r="75" spans="10:14" x14ac:dyDescent="0.2">
      <c r="J75" s="78"/>
      <c r="K75" s="78"/>
      <c r="L75" s="78"/>
      <c r="M75" s="78"/>
      <c r="N75" s="78"/>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75"/>
  <sheetViews>
    <sheetView topLeftCell="A47" zoomScaleNormal="100" workbookViewId="0">
      <selection activeCell="A47" sqref="A47"/>
    </sheetView>
  </sheetViews>
  <sheetFormatPr baseColWidth="10" defaultColWidth="156.33203125" defaultRowHeight="15" x14ac:dyDescent="0.2"/>
  <cols>
    <col min="1" max="3" width="5.33203125" style="1" customWidth="1"/>
    <col min="4" max="4" width="135" style="1" customWidth="1"/>
    <col min="5" max="5" width="97.6640625" style="1" customWidth="1"/>
    <col min="6" max="6" width="110.6640625" style="1" customWidth="1"/>
    <col min="7" max="7" width="145.83203125" style="1" customWidth="1"/>
    <col min="8" max="8" width="110.6640625" style="1" customWidth="1"/>
    <col min="9" max="9" width="22.5" style="1" customWidth="1"/>
    <col min="10" max="10" width="141" style="1" hidden="1" customWidth="1"/>
    <col min="11" max="15" width="145.83203125" style="1" customWidth="1"/>
    <col min="16" max="16" width="169.5" style="1" customWidth="1"/>
    <col min="17" max="17" width="155.6640625" style="1" hidden="1" customWidth="1"/>
    <col min="18" max="18" width="110.6640625" style="1" customWidth="1"/>
    <col min="19" max="19" width="171.5" style="1" hidden="1" customWidth="1"/>
    <col min="20" max="20" width="21" style="1" hidden="1" customWidth="1"/>
    <col min="21" max="22" width="190" style="1" hidden="1" customWidth="1"/>
    <col min="23" max="23" width="126.5" style="1" hidden="1" customWidth="1"/>
    <col min="24" max="24" width="66.83203125" style="1" hidden="1" customWidth="1"/>
    <col min="25" max="25" width="207.1640625" style="1" customWidth="1"/>
    <col min="26" max="26" width="22.1640625" style="1" hidden="1" customWidth="1"/>
    <col min="27" max="27" width="145.83203125" style="1" customWidth="1"/>
    <col min="28" max="28" width="151.6640625" style="1" hidden="1" customWidth="1"/>
    <col min="29" max="29" width="137.1640625" style="1" hidden="1" customWidth="1"/>
    <col min="30" max="30" width="295.83203125" style="1" hidden="1" customWidth="1"/>
    <col min="31" max="31" width="23.6640625" style="1" customWidth="1"/>
    <col min="32" max="1024" width="145.83203125" style="1" customWidth="1"/>
  </cols>
  <sheetData>
    <row r="1" spans="1:33" s="2" customFormat="1" ht="43.5" customHeight="1" x14ac:dyDescent="0.2">
      <c r="A1" s="2" t="s">
        <v>0</v>
      </c>
      <c r="B1" s="2" t="s">
        <v>1</v>
      </c>
      <c r="C1" s="2" t="s">
        <v>2</v>
      </c>
      <c r="D1" s="2" t="s">
        <v>7</v>
      </c>
      <c r="E1" s="2" t="s">
        <v>398</v>
      </c>
      <c r="F1" s="3" t="s">
        <v>1115</v>
      </c>
      <c r="G1" s="3" t="s">
        <v>1116</v>
      </c>
      <c r="H1" s="3" t="s">
        <v>1117</v>
      </c>
      <c r="I1" s="3"/>
      <c r="J1" s="3" t="s">
        <v>1118</v>
      </c>
      <c r="K1" s="3" t="s">
        <v>936</v>
      </c>
      <c r="L1" s="3" t="s">
        <v>937</v>
      </c>
      <c r="M1" s="3" t="s">
        <v>938</v>
      </c>
      <c r="N1" s="3" t="s">
        <v>939</v>
      </c>
      <c r="O1" s="3" t="s">
        <v>940</v>
      </c>
      <c r="P1" s="3" t="s">
        <v>1119</v>
      </c>
      <c r="Q1" s="3" t="s">
        <v>1120</v>
      </c>
      <c r="R1" s="3" t="s">
        <v>4</v>
      </c>
      <c r="S1" s="2" t="s">
        <v>392</v>
      </c>
      <c r="T1" s="3" t="s">
        <v>396</v>
      </c>
      <c r="U1" s="2" t="s">
        <v>399</v>
      </c>
      <c r="V1" s="2" t="s">
        <v>400</v>
      </c>
      <c r="W1" s="2" t="s">
        <v>401</v>
      </c>
      <c r="X1" s="2" t="s">
        <v>402</v>
      </c>
      <c r="Y1" s="2" t="s">
        <v>8</v>
      </c>
      <c r="Z1" s="2" t="s">
        <v>171</v>
      </c>
      <c r="AA1" s="2" t="s">
        <v>418</v>
      </c>
      <c r="AB1" s="3" t="s">
        <v>1121</v>
      </c>
      <c r="AC1" s="3" t="s">
        <v>1122</v>
      </c>
      <c r="AD1" s="3" t="s">
        <v>1123</v>
      </c>
      <c r="AE1" s="2" t="s">
        <v>422</v>
      </c>
    </row>
    <row r="2" spans="1:33" ht="27" customHeight="1" x14ac:dyDescent="0.2">
      <c r="A2" s="1" t="s">
        <v>528</v>
      </c>
      <c r="B2" s="1" t="s">
        <v>25</v>
      </c>
      <c r="C2" s="1" t="s">
        <v>529</v>
      </c>
      <c r="D2" s="1" t="s">
        <v>1124</v>
      </c>
      <c r="E2" s="1">
        <v>1752</v>
      </c>
      <c r="F2" s="1">
        <v>284</v>
      </c>
      <c r="G2" s="1" t="s">
        <v>598</v>
      </c>
      <c r="I2" s="1" t="s">
        <v>1125</v>
      </c>
      <c r="J2" s="1" t="s">
        <v>1126</v>
      </c>
      <c r="P2" s="1" t="s">
        <v>507</v>
      </c>
      <c r="Q2" s="93" t="s">
        <v>549</v>
      </c>
      <c r="R2" s="1">
        <v>3</v>
      </c>
      <c r="U2" s="6">
        <v>43860.5627662037</v>
      </c>
      <c r="V2" s="6">
        <v>43860.564259259299</v>
      </c>
      <c r="Y2" s="1" t="s">
        <v>1127</v>
      </c>
      <c r="AB2" s="1" t="s">
        <v>1128</v>
      </c>
      <c r="AC2" s="107" t="s">
        <v>1129</v>
      </c>
      <c r="AD2" s="107" t="s">
        <v>1130</v>
      </c>
    </row>
    <row r="3" spans="1:33" x14ac:dyDescent="0.2">
      <c r="A3" s="1" t="s">
        <v>559</v>
      </c>
      <c r="B3" s="1" t="s">
        <v>1131</v>
      </c>
      <c r="C3" s="1" t="s">
        <v>560</v>
      </c>
      <c r="D3" s="1" t="s">
        <v>185</v>
      </c>
      <c r="E3" s="1">
        <v>1567</v>
      </c>
      <c r="F3" s="1">
        <v>196</v>
      </c>
      <c r="G3" s="1" t="s">
        <v>1012</v>
      </c>
      <c r="H3" s="1" t="s">
        <v>952</v>
      </c>
      <c r="I3" s="1" t="s">
        <v>1125</v>
      </c>
      <c r="J3" s="1" t="s">
        <v>1126</v>
      </c>
      <c r="P3" s="1" t="s">
        <v>507</v>
      </c>
      <c r="Q3" s="93" t="s">
        <v>549</v>
      </c>
      <c r="R3" s="1">
        <v>3</v>
      </c>
      <c r="T3" s="1" t="s">
        <v>1132</v>
      </c>
      <c r="U3" s="6">
        <v>41570.590555555602</v>
      </c>
      <c r="V3" s="6">
        <v>43809.593356481499</v>
      </c>
      <c r="Y3" s="1" t="s">
        <v>186</v>
      </c>
      <c r="Z3" s="1" t="s">
        <v>1133</v>
      </c>
      <c r="AA3" s="1" t="s">
        <v>1134</v>
      </c>
      <c r="AB3" s="1" t="s">
        <v>1128</v>
      </c>
      <c r="AC3" s="107" t="s">
        <v>1129</v>
      </c>
      <c r="AD3" s="107" t="s">
        <v>1135</v>
      </c>
      <c r="AE3" s="1" t="s">
        <v>1136</v>
      </c>
      <c r="AF3" s="70"/>
      <c r="AG3" s="70"/>
    </row>
    <row r="4" spans="1:33" x14ac:dyDescent="0.2">
      <c r="A4" s="1" t="s">
        <v>564</v>
      </c>
      <c r="B4" s="1" t="s">
        <v>25</v>
      </c>
      <c r="C4" s="1" t="s">
        <v>565</v>
      </c>
      <c r="D4" s="1" t="s">
        <v>1072</v>
      </c>
      <c r="E4" s="1">
        <v>1587</v>
      </c>
      <c r="F4" s="1">
        <v>47</v>
      </c>
      <c r="G4" s="1" t="s">
        <v>1137</v>
      </c>
      <c r="H4" s="1" t="s">
        <v>952</v>
      </c>
      <c r="J4" s="1" t="s">
        <v>1126</v>
      </c>
      <c r="K4" s="1" t="s">
        <v>507</v>
      </c>
      <c r="L4" s="1" t="s">
        <v>507</v>
      </c>
      <c r="M4" s="1" t="s">
        <v>507</v>
      </c>
      <c r="O4" s="1" t="s">
        <v>507</v>
      </c>
      <c r="P4" s="1" t="s">
        <v>507</v>
      </c>
      <c r="Q4" s="93" t="s">
        <v>507</v>
      </c>
      <c r="R4" s="1">
        <v>3</v>
      </c>
      <c r="U4" s="6">
        <v>43860.415428240703</v>
      </c>
      <c r="V4" s="6">
        <v>43877.677349537</v>
      </c>
      <c r="Y4" s="1" t="s">
        <v>1127</v>
      </c>
      <c r="Z4" s="1" t="s">
        <v>1138</v>
      </c>
      <c r="AA4" s="1" t="s">
        <v>1139</v>
      </c>
      <c r="AB4" s="1" t="s">
        <v>1128</v>
      </c>
      <c r="AC4" s="107" t="s">
        <v>1129</v>
      </c>
      <c r="AD4" s="1" t="s">
        <v>1140</v>
      </c>
      <c r="AF4" s="70"/>
      <c r="AG4" s="70"/>
    </row>
    <row r="5" spans="1:33" ht="32" x14ac:dyDescent="0.2">
      <c r="A5" s="1" t="s">
        <v>566</v>
      </c>
      <c r="B5" s="1" t="s">
        <v>1141</v>
      </c>
      <c r="C5" s="1" t="s">
        <v>567</v>
      </c>
      <c r="D5" s="1" t="s">
        <v>201</v>
      </c>
      <c r="E5" s="1">
        <v>1587</v>
      </c>
      <c r="F5" s="40">
        <v>250</v>
      </c>
      <c r="G5" s="40" t="s">
        <v>598</v>
      </c>
      <c r="H5" s="40"/>
      <c r="I5" s="40" t="s">
        <v>1142</v>
      </c>
      <c r="J5" s="40" t="s">
        <v>1126</v>
      </c>
      <c r="K5" s="40"/>
      <c r="L5" s="40"/>
      <c r="M5" s="40"/>
      <c r="N5" s="40"/>
      <c r="O5" s="40"/>
      <c r="P5" s="40" t="s">
        <v>507</v>
      </c>
      <c r="Q5" s="108" t="s">
        <v>549</v>
      </c>
      <c r="R5" s="40">
        <v>3</v>
      </c>
      <c r="T5" s="3"/>
      <c r="Y5" s="1" t="s">
        <v>77</v>
      </c>
      <c r="AB5" s="40" t="s">
        <v>549</v>
      </c>
      <c r="AC5" s="107" t="s">
        <v>1129</v>
      </c>
      <c r="AD5" s="107" t="s">
        <v>1135</v>
      </c>
    </row>
    <row r="6" spans="1:33" x14ac:dyDescent="0.2">
      <c r="A6" s="1" t="s">
        <v>581</v>
      </c>
      <c r="B6" s="1" t="s">
        <v>1143</v>
      </c>
      <c r="C6" s="1" t="s">
        <v>582</v>
      </c>
      <c r="D6" s="1" t="s">
        <v>1072</v>
      </c>
      <c r="E6" s="1">
        <v>1595</v>
      </c>
      <c r="F6" s="70">
        <v>89</v>
      </c>
      <c r="G6" s="70" t="s">
        <v>1007</v>
      </c>
      <c r="H6" s="109" t="s">
        <v>961</v>
      </c>
      <c r="I6" s="70" t="s">
        <v>1144</v>
      </c>
      <c r="J6" s="70" t="s">
        <v>1126</v>
      </c>
      <c r="K6" s="70" t="s">
        <v>507</v>
      </c>
      <c r="L6" s="70" t="s">
        <v>507</v>
      </c>
      <c r="M6" s="70" t="s">
        <v>507</v>
      </c>
      <c r="N6" s="70"/>
      <c r="O6" s="70" t="s">
        <v>507</v>
      </c>
      <c r="P6" s="70" t="s">
        <v>507</v>
      </c>
      <c r="Q6" s="110" t="s">
        <v>507</v>
      </c>
      <c r="R6" s="70">
        <v>3</v>
      </c>
      <c r="U6" s="6">
        <v>43650.400648148097</v>
      </c>
      <c r="V6" s="6">
        <v>43819.614363425899</v>
      </c>
      <c r="Y6" s="1" t="s">
        <v>230</v>
      </c>
      <c r="Z6" s="1" t="s">
        <v>1145</v>
      </c>
      <c r="AA6" s="1" t="s">
        <v>1146</v>
      </c>
      <c r="AC6" s="107" t="s">
        <v>1129</v>
      </c>
      <c r="AD6" s="107" t="s">
        <v>1129</v>
      </c>
      <c r="AE6" s="1" t="s">
        <v>1084</v>
      </c>
      <c r="AF6" s="70"/>
      <c r="AG6" s="70"/>
    </row>
    <row r="7" spans="1:33" x14ac:dyDescent="0.2">
      <c r="A7" s="1" t="s">
        <v>583</v>
      </c>
      <c r="B7" s="1" t="s">
        <v>1143</v>
      </c>
      <c r="C7" s="1" t="s">
        <v>584</v>
      </c>
      <c r="D7" s="1" t="s">
        <v>1072</v>
      </c>
      <c r="E7" s="1">
        <v>1595</v>
      </c>
      <c r="F7" s="1">
        <v>193</v>
      </c>
      <c r="G7" s="1" t="s">
        <v>598</v>
      </c>
      <c r="H7" s="1" t="s">
        <v>961</v>
      </c>
      <c r="I7" s="1" t="s">
        <v>1147</v>
      </c>
      <c r="J7" s="70" t="s">
        <v>1126</v>
      </c>
      <c r="K7" s="70"/>
      <c r="L7" s="70"/>
      <c r="M7" s="70"/>
      <c r="N7" s="70"/>
      <c r="O7" s="70"/>
      <c r="P7" s="70" t="s">
        <v>507</v>
      </c>
      <c r="Q7" s="93" t="s">
        <v>507</v>
      </c>
      <c r="R7" s="1">
        <v>3</v>
      </c>
      <c r="U7" s="6">
        <v>43819.611180555599</v>
      </c>
      <c r="V7" s="6">
        <v>43819.614849537</v>
      </c>
      <c r="Y7" s="1" t="s">
        <v>230</v>
      </c>
      <c r="Z7" s="1" t="s">
        <v>1145</v>
      </c>
      <c r="AA7" s="1" t="s">
        <v>1148</v>
      </c>
      <c r="AC7" s="107" t="s">
        <v>1129</v>
      </c>
      <c r="AD7" s="107" t="s">
        <v>1129</v>
      </c>
      <c r="AE7" s="1" t="s">
        <v>1084</v>
      </c>
    </row>
    <row r="8" spans="1:33" x14ac:dyDescent="0.2">
      <c r="A8" s="1" t="s">
        <v>588</v>
      </c>
      <c r="B8" s="1" t="s">
        <v>1143</v>
      </c>
      <c r="C8" s="1" t="s">
        <v>589</v>
      </c>
      <c r="D8" s="1" t="s">
        <v>1072</v>
      </c>
      <c r="E8" s="1">
        <v>1595</v>
      </c>
      <c r="F8" s="1">
        <v>95</v>
      </c>
      <c r="G8" s="1" t="s">
        <v>1005</v>
      </c>
      <c r="H8" s="1" t="s">
        <v>961</v>
      </c>
      <c r="I8" s="34" t="s">
        <v>1149</v>
      </c>
      <c r="J8" s="70" t="s">
        <v>1126</v>
      </c>
      <c r="K8" s="70"/>
      <c r="L8" s="70"/>
      <c r="M8" s="70"/>
      <c r="N8" s="70"/>
      <c r="O8" s="70"/>
      <c r="P8" s="70" t="s">
        <v>507</v>
      </c>
      <c r="Q8" s="93" t="s">
        <v>507</v>
      </c>
      <c r="R8" s="1">
        <v>3</v>
      </c>
      <c r="U8" s="6">
        <v>43819.6114467593</v>
      </c>
      <c r="V8" s="6">
        <v>43819.614594907398</v>
      </c>
      <c r="Y8" s="1" t="s">
        <v>230</v>
      </c>
      <c r="Z8" s="1" t="s">
        <v>1145</v>
      </c>
      <c r="AA8" s="1" t="s">
        <v>1150</v>
      </c>
      <c r="AC8" s="107" t="s">
        <v>1129</v>
      </c>
      <c r="AD8" s="107" t="s">
        <v>1129</v>
      </c>
      <c r="AE8" s="1" t="s">
        <v>1084</v>
      </c>
    </row>
    <row r="9" spans="1:33" x14ac:dyDescent="0.2">
      <c r="A9" s="1" t="s">
        <v>590</v>
      </c>
      <c r="B9" s="1" t="s">
        <v>1143</v>
      </c>
      <c r="C9" s="1" t="s">
        <v>591</v>
      </c>
      <c r="D9" s="1" t="s">
        <v>1072</v>
      </c>
      <c r="E9" s="1">
        <v>1595</v>
      </c>
      <c r="F9" s="1">
        <v>170</v>
      </c>
      <c r="G9" s="1" t="s">
        <v>1137</v>
      </c>
      <c r="H9" s="1" t="s">
        <v>952</v>
      </c>
      <c r="I9" s="34" t="s">
        <v>1151</v>
      </c>
      <c r="J9" s="70" t="s">
        <v>1126</v>
      </c>
      <c r="K9" s="70"/>
      <c r="L9" s="70"/>
      <c r="M9" s="70"/>
      <c r="N9" s="70"/>
      <c r="O9" s="70"/>
      <c r="P9" s="70" t="s">
        <v>507</v>
      </c>
      <c r="Q9" s="93" t="s">
        <v>507</v>
      </c>
      <c r="R9" s="1">
        <v>3</v>
      </c>
      <c r="U9" s="6">
        <v>43819.613969907397</v>
      </c>
      <c r="V9" s="6">
        <v>43819.6147569444</v>
      </c>
      <c r="Y9" s="1" t="s">
        <v>230</v>
      </c>
      <c r="Z9" s="1" t="s">
        <v>1145</v>
      </c>
      <c r="AA9" s="1" t="s">
        <v>1152</v>
      </c>
      <c r="AC9" s="107" t="s">
        <v>1129</v>
      </c>
      <c r="AD9" s="107" t="s">
        <v>1129</v>
      </c>
      <c r="AE9" s="1" t="s">
        <v>1084</v>
      </c>
    </row>
    <row r="10" spans="1:33" x14ac:dyDescent="0.2">
      <c r="A10" s="1" t="s">
        <v>593</v>
      </c>
      <c r="B10" s="1" t="s">
        <v>1143</v>
      </c>
      <c r="C10" s="1" t="s">
        <v>594</v>
      </c>
      <c r="D10" s="1" t="s">
        <v>1072</v>
      </c>
      <c r="E10" s="1">
        <v>1595</v>
      </c>
      <c r="F10" s="1">
        <v>185</v>
      </c>
      <c r="G10" s="1" t="s">
        <v>1137</v>
      </c>
      <c r="H10" s="1" t="s">
        <v>952</v>
      </c>
      <c r="I10" s="34" t="s">
        <v>1151</v>
      </c>
      <c r="J10" s="70" t="s">
        <v>1126</v>
      </c>
      <c r="K10" s="70"/>
      <c r="L10" s="70"/>
      <c r="M10" s="70"/>
      <c r="N10" s="70"/>
      <c r="O10" s="70"/>
      <c r="P10" s="70" t="s">
        <v>507</v>
      </c>
      <c r="Q10" s="93" t="s">
        <v>507</v>
      </c>
      <c r="R10" s="1">
        <v>3</v>
      </c>
      <c r="U10" s="6">
        <v>43819.614988425899</v>
      </c>
      <c r="V10" s="6">
        <v>43819.615277777797</v>
      </c>
      <c r="Y10" s="1" t="s">
        <v>230</v>
      </c>
      <c r="Z10" s="1" t="s">
        <v>1145</v>
      </c>
      <c r="AA10" s="1" t="s">
        <v>1153</v>
      </c>
      <c r="AC10" s="107" t="s">
        <v>1129</v>
      </c>
      <c r="AD10" s="107" t="s">
        <v>1129</v>
      </c>
      <c r="AE10" s="1" t="s">
        <v>1084</v>
      </c>
      <c r="AF10" s="95"/>
      <c r="AG10" s="95"/>
    </row>
    <row r="11" spans="1:33" s="70" customFormat="1" x14ac:dyDescent="0.2">
      <c r="A11" s="1" t="s">
        <v>1154</v>
      </c>
      <c r="B11" s="1" t="s">
        <v>1155</v>
      </c>
      <c r="C11" s="1" t="s">
        <v>602</v>
      </c>
      <c r="D11" s="1" t="s">
        <v>201</v>
      </c>
      <c r="E11" s="1">
        <v>1610</v>
      </c>
      <c r="F11" s="1">
        <v>245</v>
      </c>
      <c r="G11" s="1" t="s">
        <v>1137</v>
      </c>
      <c r="H11" s="1" t="s">
        <v>952</v>
      </c>
      <c r="I11" s="1" t="s">
        <v>1125</v>
      </c>
      <c r="J11" s="1" t="s">
        <v>1126</v>
      </c>
      <c r="K11" s="1"/>
      <c r="L11" s="1"/>
      <c r="M11" s="1"/>
      <c r="N11" s="1"/>
      <c r="O11" s="1"/>
      <c r="P11" s="1" t="s">
        <v>1156</v>
      </c>
      <c r="Q11" s="93" t="s">
        <v>507</v>
      </c>
      <c r="R11" s="1">
        <v>3</v>
      </c>
      <c r="S11" s="1"/>
      <c r="T11" s="1"/>
      <c r="U11" s="6">
        <v>43649.551550925898</v>
      </c>
      <c r="V11" s="6">
        <v>43789.764016203699</v>
      </c>
      <c r="W11" s="1"/>
      <c r="X11" s="1"/>
      <c r="Y11" s="1" t="s">
        <v>1065</v>
      </c>
      <c r="Z11" s="1" t="s">
        <v>1157</v>
      </c>
      <c r="AA11" s="1"/>
      <c r="AB11" s="1" t="s">
        <v>1128</v>
      </c>
      <c r="AC11" s="107" t="s">
        <v>1129</v>
      </c>
      <c r="AD11" s="107" t="s">
        <v>1135</v>
      </c>
      <c r="AE11" s="1" t="s">
        <v>1056</v>
      </c>
      <c r="AF11" s="1"/>
      <c r="AG11" s="1"/>
    </row>
    <row r="12" spans="1:33" s="70" customFormat="1" x14ac:dyDescent="0.2">
      <c r="A12" s="1" t="s">
        <v>1158</v>
      </c>
      <c r="B12" s="1" t="s">
        <v>199</v>
      </c>
      <c r="C12" s="1" t="s">
        <v>626</v>
      </c>
      <c r="D12" s="1" t="s">
        <v>201</v>
      </c>
      <c r="E12" s="1">
        <v>1666</v>
      </c>
      <c r="F12" s="1">
        <v>195</v>
      </c>
      <c r="G12" s="1" t="s">
        <v>1012</v>
      </c>
      <c r="H12" s="1" t="s">
        <v>952</v>
      </c>
      <c r="I12" s="1" t="s">
        <v>1147</v>
      </c>
      <c r="J12" s="70" t="s">
        <v>1126</v>
      </c>
      <c r="K12" s="70" t="s">
        <v>507</v>
      </c>
      <c r="M12" s="70" t="s">
        <v>507</v>
      </c>
      <c r="P12" s="70" t="s">
        <v>507</v>
      </c>
      <c r="Q12" s="93" t="s">
        <v>507</v>
      </c>
      <c r="R12" s="1">
        <v>3</v>
      </c>
      <c r="S12" s="1"/>
      <c r="T12" s="1" t="s">
        <v>1159</v>
      </c>
      <c r="U12" s="1"/>
      <c r="V12" s="1"/>
      <c r="W12" s="1"/>
      <c r="X12" s="1"/>
      <c r="Y12" s="1" t="s">
        <v>202</v>
      </c>
      <c r="Z12" s="1" t="s">
        <v>203</v>
      </c>
      <c r="AA12" s="1"/>
      <c r="AB12" s="1" t="s">
        <v>1128</v>
      </c>
      <c r="AC12" s="107" t="s">
        <v>1129</v>
      </c>
      <c r="AD12" s="107" t="s">
        <v>1135</v>
      </c>
      <c r="AE12" s="1"/>
      <c r="AF12" s="1"/>
      <c r="AG12" s="1"/>
    </row>
    <row r="13" spans="1:33" x14ac:dyDescent="0.2">
      <c r="A13" s="1" t="s">
        <v>1160</v>
      </c>
      <c r="B13" s="1" t="s">
        <v>199</v>
      </c>
      <c r="C13" s="1" t="s">
        <v>628</v>
      </c>
      <c r="D13" s="1" t="s">
        <v>201</v>
      </c>
      <c r="E13" s="1">
        <v>1666</v>
      </c>
      <c r="F13" s="1">
        <v>194</v>
      </c>
      <c r="G13" s="1" t="s">
        <v>1012</v>
      </c>
      <c r="H13" s="1" t="s">
        <v>952</v>
      </c>
      <c r="I13" s="1" t="s">
        <v>1147</v>
      </c>
      <c r="J13" s="1" t="s">
        <v>1126</v>
      </c>
      <c r="K13" s="1" t="s">
        <v>507</v>
      </c>
      <c r="M13" s="1" t="s">
        <v>507</v>
      </c>
      <c r="O13" s="1" t="s">
        <v>507</v>
      </c>
      <c r="P13" s="1" t="s">
        <v>507</v>
      </c>
      <c r="Q13" s="93" t="s">
        <v>507</v>
      </c>
      <c r="R13" s="1">
        <v>3</v>
      </c>
      <c r="T13" s="1" t="s">
        <v>1159</v>
      </c>
      <c r="Y13" s="1" t="s">
        <v>202</v>
      </c>
      <c r="Z13" s="1" t="s">
        <v>203</v>
      </c>
      <c r="AB13" s="1" t="s">
        <v>1128</v>
      </c>
      <c r="AC13" s="107" t="s">
        <v>1129</v>
      </c>
      <c r="AD13" s="107" t="s">
        <v>1135</v>
      </c>
    </row>
    <row r="14" spans="1:33" s="70" customFormat="1" x14ac:dyDescent="0.2">
      <c r="A14" s="1" t="s">
        <v>1161</v>
      </c>
      <c r="B14" s="1" t="s">
        <v>199</v>
      </c>
      <c r="C14" s="1" t="s">
        <v>630</v>
      </c>
      <c r="D14" s="1" t="s">
        <v>201</v>
      </c>
      <c r="E14" s="1">
        <v>1666</v>
      </c>
      <c r="F14" s="1">
        <v>201</v>
      </c>
      <c r="G14" s="1" t="s">
        <v>1012</v>
      </c>
      <c r="H14" s="1" t="s">
        <v>952</v>
      </c>
      <c r="I14" s="1" t="s">
        <v>1147</v>
      </c>
      <c r="J14" s="1" t="s">
        <v>1126</v>
      </c>
      <c r="K14" s="1"/>
      <c r="L14" s="1"/>
      <c r="M14" s="1"/>
      <c r="N14" s="1"/>
      <c r="O14" s="1"/>
      <c r="P14" s="1" t="s">
        <v>507</v>
      </c>
      <c r="Q14" s="93" t="s">
        <v>507</v>
      </c>
      <c r="R14" s="1">
        <v>3</v>
      </c>
      <c r="S14" s="1"/>
      <c r="T14" s="1" t="s">
        <v>1159</v>
      </c>
      <c r="U14" s="1"/>
      <c r="V14" s="1"/>
      <c r="W14" s="1"/>
      <c r="X14" s="1"/>
      <c r="Y14" s="1" t="s">
        <v>202</v>
      </c>
      <c r="Z14" s="1" t="s">
        <v>203</v>
      </c>
      <c r="AA14" s="1"/>
      <c r="AB14" s="1" t="s">
        <v>1128</v>
      </c>
      <c r="AC14" s="107" t="s">
        <v>1129</v>
      </c>
      <c r="AD14" s="107" t="s">
        <v>1135</v>
      </c>
      <c r="AE14" s="1"/>
      <c r="AF14" s="1"/>
      <c r="AG14" s="1"/>
    </row>
    <row r="15" spans="1:33" s="70" customFormat="1" x14ac:dyDescent="0.2">
      <c r="A15" s="1" t="s">
        <v>1162</v>
      </c>
      <c r="B15" s="1" t="s">
        <v>199</v>
      </c>
      <c r="C15" s="1" t="s">
        <v>634</v>
      </c>
      <c r="D15" s="1" t="s">
        <v>201</v>
      </c>
      <c r="E15" s="1">
        <v>1666</v>
      </c>
      <c r="F15" s="1">
        <v>205</v>
      </c>
      <c r="G15" s="1" t="s">
        <v>1012</v>
      </c>
      <c r="H15" s="1" t="s">
        <v>952</v>
      </c>
      <c r="I15" s="1" t="s">
        <v>1163</v>
      </c>
      <c r="J15" s="1" t="s">
        <v>1126</v>
      </c>
      <c r="K15" s="1"/>
      <c r="L15" s="1"/>
      <c r="M15" s="1"/>
      <c r="N15" s="1"/>
      <c r="O15" s="111"/>
      <c r="P15" s="1" t="s">
        <v>507</v>
      </c>
      <c r="Q15" s="93" t="s">
        <v>507</v>
      </c>
      <c r="R15" s="1">
        <v>3</v>
      </c>
      <c r="S15" s="1"/>
      <c r="T15" s="1" t="s">
        <v>1159</v>
      </c>
      <c r="U15" s="1"/>
      <c r="V15" s="1"/>
      <c r="W15" s="1"/>
      <c r="X15" s="1"/>
      <c r="Y15" s="1" t="s">
        <v>202</v>
      </c>
      <c r="Z15" s="1" t="s">
        <v>203</v>
      </c>
      <c r="AA15" s="1"/>
      <c r="AB15" s="1" t="s">
        <v>1128</v>
      </c>
      <c r="AC15" s="107" t="s">
        <v>1129</v>
      </c>
      <c r="AD15" s="107" t="s">
        <v>1135</v>
      </c>
      <c r="AE15" s="1"/>
      <c r="AF15" s="1"/>
      <c r="AG15" s="1"/>
    </row>
    <row r="16" spans="1:33" s="112" customFormat="1" x14ac:dyDescent="0.2">
      <c r="A16" s="112" t="s">
        <v>1164</v>
      </c>
      <c r="B16" s="112" t="s">
        <v>199</v>
      </c>
      <c r="C16" s="112" t="s">
        <v>646</v>
      </c>
      <c r="D16" s="112" t="s">
        <v>201</v>
      </c>
      <c r="E16" s="112">
        <v>1668</v>
      </c>
      <c r="F16" s="112">
        <v>188</v>
      </c>
      <c r="G16" s="112" t="s">
        <v>598</v>
      </c>
      <c r="I16" s="112" t="s">
        <v>1165</v>
      </c>
      <c r="J16" s="112" t="s">
        <v>1126</v>
      </c>
      <c r="K16" s="113"/>
      <c r="L16" s="113"/>
      <c r="M16" s="113"/>
      <c r="N16" s="114"/>
      <c r="O16" s="113"/>
      <c r="P16" s="112" t="s">
        <v>507</v>
      </c>
      <c r="Q16" s="112" t="s">
        <v>507</v>
      </c>
      <c r="R16" s="112">
        <v>3</v>
      </c>
      <c r="T16" s="112" t="s">
        <v>1159</v>
      </c>
      <c r="U16" s="115">
        <v>43693.675474536998</v>
      </c>
      <c r="V16" s="115">
        <v>43797.873148148101</v>
      </c>
      <c r="Y16" s="112" t="s">
        <v>202</v>
      </c>
      <c r="Z16" s="112" t="s">
        <v>203</v>
      </c>
      <c r="AC16" s="116" t="s">
        <v>1129</v>
      </c>
      <c r="AD16" s="116"/>
      <c r="AE16" s="112" t="s">
        <v>1056</v>
      </c>
    </row>
    <row r="17" spans="1:84" x14ac:dyDescent="0.2">
      <c r="A17" s="1" t="s">
        <v>1166</v>
      </c>
      <c r="B17" s="1" t="s">
        <v>1167</v>
      </c>
      <c r="C17" s="1" t="s">
        <v>664</v>
      </c>
      <c r="D17" s="1" t="s">
        <v>314</v>
      </c>
      <c r="E17" s="1">
        <v>1671</v>
      </c>
      <c r="F17" s="1">
        <v>350</v>
      </c>
      <c r="G17" s="1" t="s">
        <v>1012</v>
      </c>
      <c r="H17" s="1" t="s">
        <v>952</v>
      </c>
      <c r="I17" s="1" t="s">
        <v>1125</v>
      </c>
      <c r="J17" s="1" t="s">
        <v>1126</v>
      </c>
      <c r="O17" s="117"/>
      <c r="P17" s="1" t="s">
        <v>507</v>
      </c>
      <c r="Q17" s="93" t="s">
        <v>507</v>
      </c>
      <c r="R17" s="1">
        <v>3</v>
      </c>
      <c r="U17" s="6">
        <v>43867.361782407403</v>
      </c>
      <c r="V17" s="6">
        <v>43868.451215277797</v>
      </c>
      <c r="Y17" s="1" t="s">
        <v>1168</v>
      </c>
      <c r="AA17" s="1" t="s">
        <v>1169</v>
      </c>
      <c r="AB17" s="1" t="s">
        <v>1128</v>
      </c>
      <c r="AC17" s="107" t="s">
        <v>1129</v>
      </c>
      <c r="AD17" s="107" t="s">
        <v>1135</v>
      </c>
      <c r="AE17" s="1" t="s">
        <v>1170</v>
      </c>
    </row>
    <row r="18" spans="1:84" x14ac:dyDescent="0.2">
      <c r="A18" s="1" t="s">
        <v>1171</v>
      </c>
      <c r="B18" s="1" t="s">
        <v>1167</v>
      </c>
      <c r="C18" s="1" t="s">
        <v>666</v>
      </c>
      <c r="D18" s="1" t="s">
        <v>314</v>
      </c>
      <c r="E18" s="1">
        <v>1676</v>
      </c>
      <c r="F18" s="1">
        <v>485</v>
      </c>
      <c r="G18" s="1" t="s">
        <v>1172</v>
      </c>
      <c r="H18" s="1" t="s">
        <v>952</v>
      </c>
      <c r="I18" s="1" t="s">
        <v>1173</v>
      </c>
      <c r="J18" s="1" t="s">
        <v>1126</v>
      </c>
      <c r="P18" s="1" t="s">
        <v>507</v>
      </c>
      <c r="Q18" s="93" t="s">
        <v>507</v>
      </c>
      <c r="R18" s="1">
        <v>3</v>
      </c>
      <c r="U18" s="6">
        <v>43867.364513888897</v>
      </c>
      <c r="V18" s="6">
        <v>43868.451331018499</v>
      </c>
      <c r="Y18" s="1" t="s">
        <v>1168</v>
      </c>
      <c r="AA18" s="1" t="s">
        <v>1174</v>
      </c>
      <c r="AB18" s="1" t="s">
        <v>1128</v>
      </c>
      <c r="AC18" s="107" t="s">
        <v>1129</v>
      </c>
      <c r="AD18" s="107" t="s">
        <v>1135</v>
      </c>
      <c r="AE18" s="1" t="s">
        <v>1170</v>
      </c>
      <c r="AF18" s="95"/>
      <c r="AG18" s="95"/>
    </row>
    <row r="19" spans="1:84" x14ac:dyDescent="0.2">
      <c r="A19" s="1" t="s">
        <v>654</v>
      </c>
      <c r="B19" s="1" t="s">
        <v>25</v>
      </c>
      <c r="C19" s="1" t="s">
        <v>655</v>
      </c>
      <c r="D19" s="1" t="s">
        <v>1124</v>
      </c>
      <c r="E19" s="1">
        <v>1681</v>
      </c>
      <c r="F19" s="1">
        <v>197</v>
      </c>
      <c r="G19" s="1" t="s">
        <v>1137</v>
      </c>
      <c r="H19" s="1" t="s">
        <v>961</v>
      </c>
      <c r="I19" s="1" t="s">
        <v>1125</v>
      </c>
      <c r="J19" s="70" t="s">
        <v>1126</v>
      </c>
      <c r="K19" s="70"/>
      <c r="L19" s="70"/>
      <c r="M19" s="70"/>
      <c r="N19" s="70"/>
      <c r="O19" s="70"/>
      <c r="P19" s="118" t="s">
        <v>1175</v>
      </c>
      <c r="Q19" s="93" t="s">
        <v>507</v>
      </c>
      <c r="R19" s="1">
        <v>1</v>
      </c>
      <c r="U19" s="6">
        <v>43860.409467592603</v>
      </c>
      <c r="V19" s="6">
        <v>43860.4796180556</v>
      </c>
      <c r="Y19" s="1" t="s">
        <v>1176</v>
      </c>
      <c r="Z19" s="1" t="s">
        <v>1177</v>
      </c>
      <c r="AA19" s="1" t="s">
        <v>1178</v>
      </c>
      <c r="AC19" s="107" t="s">
        <v>1129</v>
      </c>
      <c r="AD19" s="107" t="s">
        <v>1129</v>
      </c>
      <c r="AE19" s="1" t="s">
        <v>1179</v>
      </c>
    </row>
    <row r="20" spans="1:84" x14ac:dyDescent="0.2">
      <c r="A20" s="1" t="s">
        <v>1180</v>
      </c>
      <c r="B20" s="1" t="s">
        <v>1181</v>
      </c>
      <c r="C20" s="1" t="s">
        <v>728</v>
      </c>
      <c r="D20" s="1" t="s">
        <v>223</v>
      </c>
      <c r="E20" s="1">
        <v>1684</v>
      </c>
      <c r="F20" s="70">
        <v>317</v>
      </c>
      <c r="G20" s="70" t="s">
        <v>739</v>
      </c>
      <c r="H20" s="70" t="s">
        <v>952</v>
      </c>
      <c r="I20" s="70" t="s">
        <v>1125</v>
      </c>
      <c r="J20" s="70" t="s">
        <v>1126</v>
      </c>
      <c r="K20" s="70" t="s">
        <v>507</v>
      </c>
      <c r="L20" s="70" t="s">
        <v>507</v>
      </c>
      <c r="M20" s="70" t="s">
        <v>507</v>
      </c>
      <c r="N20" s="70"/>
      <c r="O20" s="70" t="s">
        <v>507</v>
      </c>
      <c r="P20" s="70" t="s">
        <v>507</v>
      </c>
      <c r="Q20" s="110" t="s">
        <v>507</v>
      </c>
      <c r="R20" s="70">
        <v>3</v>
      </c>
      <c r="U20" s="6">
        <v>43329.522141203699</v>
      </c>
      <c r="V20" s="6">
        <v>43819.647916666698</v>
      </c>
      <c r="Y20" s="1" t="s">
        <v>230</v>
      </c>
      <c r="Z20" s="1" t="s">
        <v>1182</v>
      </c>
      <c r="AA20" s="1" t="s">
        <v>1183</v>
      </c>
      <c r="AC20" s="107" t="s">
        <v>1129</v>
      </c>
      <c r="AD20" s="107" t="s">
        <v>1129</v>
      </c>
      <c r="AE20" s="1" t="s">
        <v>1184</v>
      </c>
      <c r="AF20" s="70"/>
      <c r="AG20" s="70"/>
    </row>
    <row r="21" spans="1:84" x14ac:dyDescent="0.2">
      <c r="A21" s="1" t="s">
        <v>1185</v>
      </c>
      <c r="B21" s="1" t="s">
        <v>1167</v>
      </c>
      <c r="C21" s="1" t="s">
        <v>668</v>
      </c>
      <c r="D21" s="1" t="s">
        <v>314</v>
      </c>
      <c r="E21" s="1">
        <v>1697</v>
      </c>
      <c r="F21" s="1">
        <v>333</v>
      </c>
      <c r="G21" s="1" t="s">
        <v>598</v>
      </c>
      <c r="H21" s="1" t="s">
        <v>952</v>
      </c>
      <c r="I21" s="1" t="s">
        <v>1173</v>
      </c>
      <c r="J21" s="1" t="s">
        <v>1126</v>
      </c>
      <c r="K21" s="1" t="s">
        <v>507</v>
      </c>
      <c r="L21" s="1" t="s">
        <v>507</v>
      </c>
      <c r="M21" s="1" t="s">
        <v>507</v>
      </c>
      <c r="O21" s="1" t="s">
        <v>507</v>
      </c>
      <c r="P21" s="1" t="s">
        <v>507</v>
      </c>
      <c r="Q21" s="93" t="s">
        <v>507</v>
      </c>
      <c r="R21" s="1">
        <v>3</v>
      </c>
      <c r="U21" s="6">
        <v>43867.365624999999</v>
      </c>
      <c r="V21" s="6">
        <v>43868.451412037</v>
      </c>
      <c r="Y21" s="1" t="s">
        <v>1168</v>
      </c>
      <c r="AA21" s="1" t="s">
        <v>1186</v>
      </c>
      <c r="AB21" s="1" t="s">
        <v>1128</v>
      </c>
      <c r="AC21" s="107" t="s">
        <v>1129</v>
      </c>
      <c r="AD21" s="107" t="s">
        <v>1135</v>
      </c>
      <c r="AE21" s="1" t="s">
        <v>1170</v>
      </c>
    </row>
    <row r="22" spans="1:84" x14ac:dyDescent="0.2">
      <c r="A22" s="1" t="s">
        <v>671</v>
      </c>
      <c r="B22" s="1" t="s">
        <v>1187</v>
      </c>
      <c r="C22" s="1" t="s">
        <v>672</v>
      </c>
      <c r="D22" s="1" t="s">
        <v>33</v>
      </c>
      <c r="E22" s="1">
        <v>1703</v>
      </c>
      <c r="F22" s="1">
        <v>52</v>
      </c>
      <c r="G22" s="1" t="s">
        <v>598</v>
      </c>
      <c r="I22" s="1" t="s">
        <v>1188</v>
      </c>
      <c r="J22" s="1" t="s">
        <v>1126</v>
      </c>
      <c r="P22" s="1" t="s">
        <v>507</v>
      </c>
      <c r="Q22" s="93" t="s">
        <v>507</v>
      </c>
      <c r="R22" s="1">
        <v>3</v>
      </c>
      <c r="U22" s="6">
        <v>43783.387291666702</v>
      </c>
      <c r="V22" s="6">
        <v>43789.745902777802</v>
      </c>
      <c r="Y22" s="1" t="s">
        <v>34</v>
      </c>
      <c r="Z22" s="1" t="s">
        <v>1189</v>
      </c>
      <c r="AB22" s="1" t="s">
        <v>1128</v>
      </c>
      <c r="AC22" s="107" t="s">
        <v>1129</v>
      </c>
      <c r="AD22" s="107" t="s">
        <v>1135</v>
      </c>
      <c r="AE22" s="1" t="s">
        <v>1190</v>
      </c>
    </row>
    <row r="23" spans="1:84" x14ac:dyDescent="0.2">
      <c r="A23" s="1" t="s">
        <v>1191</v>
      </c>
      <c r="B23" s="1" t="s">
        <v>25</v>
      </c>
      <c r="C23" s="1" t="s">
        <v>682</v>
      </c>
      <c r="D23" s="1" t="s">
        <v>1124</v>
      </c>
      <c r="E23" s="1">
        <v>1719</v>
      </c>
      <c r="F23" s="1">
        <v>169</v>
      </c>
      <c r="G23" s="1" t="s">
        <v>1137</v>
      </c>
      <c r="H23" s="1" t="s">
        <v>952</v>
      </c>
      <c r="I23" s="1" t="s">
        <v>1125</v>
      </c>
      <c r="J23" s="70" t="s">
        <v>1126</v>
      </c>
      <c r="K23" s="70" t="s">
        <v>507</v>
      </c>
      <c r="L23" s="70"/>
      <c r="M23" s="70" t="s">
        <v>507</v>
      </c>
      <c r="N23" s="70"/>
      <c r="O23" s="70" t="s">
        <v>507</v>
      </c>
      <c r="P23" s="118" t="s">
        <v>1175</v>
      </c>
      <c r="Q23" s="93" t="s">
        <v>507</v>
      </c>
      <c r="R23" s="1">
        <v>1</v>
      </c>
      <c r="U23" s="6">
        <v>43860.483749999999</v>
      </c>
      <c r="V23" s="6">
        <v>43860.558321759301</v>
      </c>
      <c r="Y23" s="1" t="s">
        <v>1176</v>
      </c>
      <c r="Z23" s="1" t="s">
        <v>1192</v>
      </c>
      <c r="AA23" s="1" t="s">
        <v>1193</v>
      </c>
      <c r="AC23" s="107" t="s">
        <v>1129</v>
      </c>
      <c r="AD23" s="107" t="s">
        <v>1129</v>
      </c>
      <c r="AE23" s="1" t="s">
        <v>1179</v>
      </c>
    </row>
    <row r="24" spans="1:84" x14ac:dyDescent="0.2">
      <c r="A24" s="1" t="s">
        <v>685</v>
      </c>
      <c r="B24" s="1" t="s">
        <v>25</v>
      </c>
      <c r="C24" s="1" t="s">
        <v>686</v>
      </c>
      <c r="D24" s="1" t="s">
        <v>1124</v>
      </c>
      <c r="E24" s="1">
        <v>1720</v>
      </c>
      <c r="F24" s="1">
        <v>42</v>
      </c>
      <c r="G24" s="1" t="s">
        <v>1137</v>
      </c>
      <c r="H24" s="1" t="s">
        <v>952</v>
      </c>
      <c r="J24" s="70" t="s">
        <v>1126</v>
      </c>
      <c r="K24" s="70" t="s">
        <v>507</v>
      </c>
      <c r="L24" s="70"/>
      <c r="M24" s="70" t="s">
        <v>507</v>
      </c>
      <c r="N24" s="70"/>
      <c r="O24" s="70" t="s">
        <v>507</v>
      </c>
      <c r="P24" s="118" t="s">
        <v>1175</v>
      </c>
      <c r="Q24" s="93" t="s">
        <v>507</v>
      </c>
      <c r="R24" s="1">
        <v>1</v>
      </c>
      <c r="U24" s="6">
        <v>43860.414479166699</v>
      </c>
      <c r="V24" s="6">
        <v>43860.479733796303</v>
      </c>
      <c r="Y24" s="1" t="s">
        <v>1176</v>
      </c>
      <c r="Z24" s="1" t="s">
        <v>1194</v>
      </c>
      <c r="AC24" s="107" t="s">
        <v>1129</v>
      </c>
      <c r="AD24" s="107" t="s">
        <v>1129</v>
      </c>
      <c r="AE24" s="1" t="s">
        <v>1179</v>
      </c>
    </row>
    <row r="25" spans="1:84" x14ac:dyDescent="0.2">
      <c r="A25" s="1" t="s">
        <v>691</v>
      </c>
      <c r="B25" s="1" t="s">
        <v>25</v>
      </c>
      <c r="C25" s="1" t="s">
        <v>692</v>
      </c>
      <c r="D25" s="1" t="s">
        <v>1124</v>
      </c>
      <c r="E25" s="1">
        <v>1744</v>
      </c>
      <c r="F25" s="1">
        <v>48</v>
      </c>
      <c r="G25" s="1" t="s">
        <v>1137</v>
      </c>
      <c r="H25" s="1" t="s">
        <v>952</v>
      </c>
      <c r="J25" s="70" t="s">
        <v>1126</v>
      </c>
      <c r="K25" s="70" t="s">
        <v>507</v>
      </c>
      <c r="L25" s="70"/>
      <c r="M25" s="70" t="s">
        <v>507</v>
      </c>
      <c r="N25" s="70"/>
      <c r="O25" s="70" t="s">
        <v>507</v>
      </c>
      <c r="P25" s="118" t="s">
        <v>1175</v>
      </c>
      <c r="Q25" s="93" t="s">
        <v>507</v>
      </c>
      <c r="R25" s="1">
        <v>2</v>
      </c>
      <c r="U25" s="6">
        <v>43860.472141203703</v>
      </c>
      <c r="V25" s="6">
        <v>43860.479444444398</v>
      </c>
      <c r="Y25" s="1" t="s">
        <v>1176</v>
      </c>
      <c r="Z25" s="1" t="s">
        <v>1195</v>
      </c>
      <c r="AA25" s="1" t="s">
        <v>1196</v>
      </c>
      <c r="AC25" s="107" t="s">
        <v>1129</v>
      </c>
      <c r="AD25" s="107" t="s">
        <v>1129</v>
      </c>
      <c r="AE25" s="1" t="s">
        <v>1179</v>
      </c>
    </row>
    <row r="26" spans="1:84" x14ac:dyDescent="0.2">
      <c r="A26" s="70" t="s">
        <v>73</v>
      </c>
      <c r="B26" s="70" t="s">
        <v>74</v>
      </c>
      <c r="C26" s="70" t="s">
        <v>75</v>
      </c>
      <c r="D26" s="70" t="s">
        <v>76</v>
      </c>
      <c r="E26" s="70">
        <v>1747</v>
      </c>
      <c r="F26" s="70">
        <v>253</v>
      </c>
      <c r="G26" s="70" t="s">
        <v>1137</v>
      </c>
      <c r="H26" s="70" t="s">
        <v>952</v>
      </c>
      <c r="I26" s="70" t="s">
        <v>1197</v>
      </c>
      <c r="J26" s="70" t="s">
        <v>1126</v>
      </c>
      <c r="K26" s="70" t="s">
        <v>507</v>
      </c>
      <c r="L26" s="70" t="s">
        <v>507</v>
      </c>
      <c r="M26" s="70" t="s">
        <v>507</v>
      </c>
      <c r="N26" s="70"/>
      <c r="O26" s="70" t="s">
        <v>507</v>
      </c>
      <c r="P26" s="118" t="s">
        <v>1175</v>
      </c>
      <c r="Q26" s="110" t="s">
        <v>507</v>
      </c>
      <c r="R26" s="70">
        <v>1</v>
      </c>
      <c r="S26" s="70"/>
      <c r="T26" s="70"/>
      <c r="U26" s="70">
        <v>41570.431238425903</v>
      </c>
      <c r="V26" s="70">
        <v>43838.585347222201</v>
      </c>
      <c r="W26" s="70"/>
      <c r="X26" s="70"/>
      <c r="Y26" s="70" t="s">
        <v>77</v>
      </c>
      <c r="Z26" s="70" t="s">
        <v>1198</v>
      </c>
      <c r="AA26" s="70" t="s">
        <v>78</v>
      </c>
      <c r="AB26" s="70" t="s">
        <v>1199</v>
      </c>
      <c r="AC26" s="107" t="s">
        <v>1129</v>
      </c>
      <c r="AD26" s="107" t="s">
        <v>1130</v>
      </c>
      <c r="AE26" s="70" t="s">
        <v>1200</v>
      </c>
    </row>
    <row r="27" spans="1:84" x14ac:dyDescent="0.2">
      <c r="A27" s="70" t="s">
        <v>374</v>
      </c>
      <c r="B27" s="70" t="s">
        <v>375</v>
      </c>
      <c r="C27" s="70" t="s">
        <v>376</v>
      </c>
      <c r="D27" s="70" t="s">
        <v>377</v>
      </c>
      <c r="E27" s="70">
        <v>1747</v>
      </c>
      <c r="F27" s="70">
        <v>100</v>
      </c>
      <c r="G27" s="70" t="s">
        <v>1201</v>
      </c>
      <c r="H27" s="70" t="s">
        <v>952</v>
      </c>
      <c r="I27" s="70" t="s">
        <v>1197</v>
      </c>
      <c r="J27" s="70" t="s">
        <v>1126</v>
      </c>
      <c r="K27" s="70"/>
      <c r="L27" s="70"/>
      <c r="M27" s="70"/>
      <c r="N27" s="70"/>
      <c r="O27" s="70"/>
      <c r="P27" s="70" t="s">
        <v>1202</v>
      </c>
      <c r="Q27" s="110" t="s">
        <v>507</v>
      </c>
      <c r="R27" s="70">
        <v>1</v>
      </c>
      <c r="S27" s="70"/>
      <c r="T27" s="70"/>
      <c r="U27" s="70">
        <v>41570.432997685202</v>
      </c>
      <c r="V27" s="70">
        <v>43530.529328703698</v>
      </c>
      <c r="W27" s="70"/>
      <c r="X27" s="70"/>
      <c r="Y27" s="70" t="s">
        <v>77</v>
      </c>
      <c r="Z27" s="70" t="s">
        <v>378</v>
      </c>
      <c r="AA27" s="70" t="s">
        <v>477</v>
      </c>
      <c r="AB27" s="70" t="s">
        <v>1128</v>
      </c>
      <c r="AC27" s="107" t="s">
        <v>1129</v>
      </c>
      <c r="AD27" s="107" t="s">
        <v>1129</v>
      </c>
      <c r="AE27" s="70" t="s">
        <v>1203</v>
      </c>
    </row>
    <row r="28" spans="1:84" x14ac:dyDescent="0.2">
      <c r="A28" s="1" t="s">
        <v>1204</v>
      </c>
      <c r="B28" s="1" t="s">
        <v>1205</v>
      </c>
      <c r="C28" s="1" t="s">
        <v>703</v>
      </c>
      <c r="D28" s="1" t="s">
        <v>1206</v>
      </c>
      <c r="E28" s="1">
        <v>1749</v>
      </c>
      <c r="F28" s="1">
        <v>77</v>
      </c>
      <c r="G28" s="1" t="s">
        <v>1005</v>
      </c>
      <c r="H28" s="1" t="s">
        <v>961</v>
      </c>
      <c r="J28" s="1" t="s">
        <v>1126</v>
      </c>
      <c r="P28" s="1" t="s">
        <v>507</v>
      </c>
      <c r="Q28" s="93" t="s">
        <v>507</v>
      </c>
      <c r="R28" s="1">
        <v>2</v>
      </c>
      <c r="T28" s="1" t="s">
        <v>1207</v>
      </c>
      <c r="U28" s="6">
        <v>43587.506111111099</v>
      </c>
      <c r="V28" s="6">
        <v>43843.733888888899</v>
      </c>
      <c r="Y28" s="1" t="s">
        <v>1065</v>
      </c>
      <c r="Z28" s="1" t="s">
        <v>1208</v>
      </c>
      <c r="AB28" s="1" t="s">
        <v>1128</v>
      </c>
      <c r="AC28" s="107" t="s">
        <v>1129</v>
      </c>
      <c r="AD28" s="107" t="s">
        <v>1135</v>
      </c>
      <c r="AE28" s="1" t="s">
        <v>1209</v>
      </c>
    </row>
    <row r="29" spans="1:84" x14ac:dyDescent="0.2">
      <c r="A29" s="1" t="s">
        <v>1210</v>
      </c>
      <c r="B29" s="1" t="s">
        <v>25</v>
      </c>
      <c r="C29" s="1" t="s">
        <v>706</v>
      </c>
      <c r="D29" s="1" t="s">
        <v>1124</v>
      </c>
      <c r="E29" s="1">
        <v>1750</v>
      </c>
      <c r="F29" s="1">
        <v>126</v>
      </c>
      <c r="G29" s="1" t="s">
        <v>1137</v>
      </c>
      <c r="H29" s="1" t="s">
        <v>952</v>
      </c>
      <c r="I29" s="1" t="s">
        <v>1125</v>
      </c>
      <c r="J29" s="70" t="s">
        <v>1126</v>
      </c>
      <c r="K29" s="70" t="s">
        <v>507</v>
      </c>
      <c r="L29" s="70" t="s">
        <v>507</v>
      </c>
      <c r="M29" s="70" t="s">
        <v>507</v>
      </c>
      <c r="N29" s="70"/>
      <c r="O29" s="70" t="s">
        <v>507</v>
      </c>
      <c r="P29" s="118" t="s">
        <v>1175</v>
      </c>
      <c r="Q29" s="93" t="s">
        <v>507</v>
      </c>
      <c r="R29" s="1">
        <v>3</v>
      </c>
      <c r="U29" s="6">
        <v>43860.480173611097</v>
      </c>
      <c r="V29" s="6">
        <v>43860.482719907399</v>
      </c>
      <c r="Y29" s="1" t="s">
        <v>1176</v>
      </c>
      <c r="Z29" s="1" t="s">
        <v>1211</v>
      </c>
      <c r="AA29" s="1" t="s">
        <v>1212</v>
      </c>
      <c r="AC29" s="107" t="s">
        <v>1129</v>
      </c>
      <c r="AD29" s="107" t="s">
        <v>1129</v>
      </c>
      <c r="AE29" s="1" t="s">
        <v>1179</v>
      </c>
    </row>
    <row r="30" spans="1:84" s="112" customFormat="1" x14ac:dyDescent="0.2">
      <c r="A30" s="112" t="s">
        <v>380</v>
      </c>
      <c r="B30" s="112" t="s">
        <v>381</v>
      </c>
      <c r="C30" s="112" t="s">
        <v>382</v>
      </c>
      <c r="D30" s="112" t="s">
        <v>150</v>
      </c>
      <c r="E30" s="112">
        <v>1752</v>
      </c>
      <c r="F30" s="112">
        <v>28</v>
      </c>
      <c r="G30" s="112" t="s">
        <v>598</v>
      </c>
      <c r="H30" s="112" t="s">
        <v>952</v>
      </c>
      <c r="I30" s="112" t="s">
        <v>1165</v>
      </c>
      <c r="J30" s="112" t="s">
        <v>1126</v>
      </c>
      <c r="P30" s="119" t="s">
        <v>1213</v>
      </c>
      <c r="Q30" s="112" t="s">
        <v>507</v>
      </c>
      <c r="R30" s="112">
        <v>1</v>
      </c>
      <c r="U30" s="115" t="s">
        <v>966</v>
      </c>
      <c r="V30" s="115" t="s">
        <v>967</v>
      </c>
      <c r="Y30" s="112" t="s">
        <v>151</v>
      </c>
      <c r="AC30" s="116" t="s">
        <v>1129</v>
      </c>
      <c r="AD30" s="116" t="s">
        <v>1135</v>
      </c>
    </row>
    <row r="31" spans="1:84" x14ac:dyDescent="0.2">
      <c r="A31" s="33" t="s">
        <v>256</v>
      </c>
      <c r="B31" s="33" t="s">
        <v>257</v>
      </c>
      <c r="C31" s="33" t="s">
        <v>258</v>
      </c>
      <c r="D31" s="33" t="s">
        <v>1214</v>
      </c>
      <c r="E31" s="33">
        <v>1752</v>
      </c>
      <c r="F31" s="33">
        <v>53</v>
      </c>
      <c r="G31" s="33" t="s">
        <v>942</v>
      </c>
      <c r="H31" s="33" t="s">
        <v>952</v>
      </c>
      <c r="I31" s="33" t="s">
        <v>1215</v>
      </c>
      <c r="J31" s="33" t="s">
        <v>1126</v>
      </c>
      <c r="K31" s="33" t="s">
        <v>507</v>
      </c>
      <c r="L31" s="33"/>
      <c r="M31" s="33" t="s">
        <v>507</v>
      </c>
      <c r="N31" s="33"/>
      <c r="O31" s="33" t="s">
        <v>507</v>
      </c>
      <c r="P31" s="33" t="s">
        <v>1213</v>
      </c>
      <c r="Q31" s="33" t="s">
        <v>507</v>
      </c>
      <c r="R31" s="33">
        <v>1</v>
      </c>
      <c r="S31" s="33"/>
      <c r="T31" s="33" t="s">
        <v>472</v>
      </c>
      <c r="U31" s="33">
        <v>41570.4738657407</v>
      </c>
      <c r="V31" s="33">
        <v>43838.5541898148</v>
      </c>
      <c r="W31" s="33"/>
      <c r="X31" s="33"/>
      <c r="Y31" s="33" t="s">
        <v>259</v>
      </c>
      <c r="Z31" s="33" t="s">
        <v>260</v>
      </c>
      <c r="AA31" s="33" t="s">
        <v>474</v>
      </c>
      <c r="AB31" s="33" t="s">
        <v>1128</v>
      </c>
      <c r="AC31" s="120" t="s">
        <v>1129</v>
      </c>
      <c r="AD31" s="120" t="s">
        <v>1135</v>
      </c>
      <c r="AE31" s="33" t="s">
        <v>475</v>
      </c>
      <c r="AF31" s="33"/>
      <c r="AG31" s="33"/>
    </row>
    <row r="32" spans="1:84" s="100" customFormat="1" x14ac:dyDescent="0.2">
      <c r="A32" s="1" t="s">
        <v>709</v>
      </c>
      <c r="B32" s="1" t="s">
        <v>25</v>
      </c>
      <c r="C32" s="1" t="s">
        <v>710</v>
      </c>
      <c r="D32" s="1" t="s">
        <v>1216</v>
      </c>
      <c r="E32" s="1">
        <v>1753</v>
      </c>
      <c r="F32" s="1">
        <v>281</v>
      </c>
      <c r="G32" s="1" t="s">
        <v>1137</v>
      </c>
      <c r="H32" s="1" t="s">
        <v>952</v>
      </c>
      <c r="I32" s="33" t="s">
        <v>1125</v>
      </c>
      <c r="J32" s="1" t="s">
        <v>1126</v>
      </c>
      <c r="K32" s="1"/>
      <c r="L32" s="1"/>
      <c r="M32" s="1"/>
      <c r="N32" s="1"/>
      <c r="O32" s="1"/>
      <c r="P32" s="1" t="s">
        <v>507</v>
      </c>
      <c r="Q32" s="93" t="s">
        <v>507</v>
      </c>
      <c r="R32" s="1">
        <v>1</v>
      </c>
      <c r="S32" s="1"/>
      <c r="T32" s="1"/>
      <c r="U32" s="6">
        <v>43895.424560185202</v>
      </c>
      <c r="V32" s="6">
        <v>43895.425474536998</v>
      </c>
      <c r="W32" s="1"/>
      <c r="X32" s="1"/>
      <c r="Y32" s="1" t="s">
        <v>1127</v>
      </c>
      <c r="Z32" s="1" t="s">
        <v>1217</v>
      </c>
      <c r="AA32" s="1"/>
      <c r="AB32" s="1" t="s">
        <v>1128</v>
      </c>
      <c r="AC32" s="107" t="s">
        <v>1129</v>
      </c>
      <c r="AD32" s="1" t="s">
        <v>1140</v>
      </c>
      <c r="AE32" s="1" t="s">
        <v>1218</v>
      </c>
      <c r="AF32" s="1"/>
      <c r="AG32" s="1"/>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row>
    <row r="33" spans="1:84" x14ac:dyDescent="0.2">
      <c r="A33" s="1" t="s">
        <v>535</v>
      </c>
      <c r="B33" s="1" t="s">
        <v>25</v>
      </c>
      <c r="C33" s="1" t="s">
        <v>715</v>
      </c>
      <c r="D33" s="1" t="s">
        <v>1216</v>
      </c>
      <c r="E33" s="1">
        <v>1756</v>
      </c>
      <c r="F33" s="1">
        <v>305</v>
      </c>
      <c r="G33" s="1" t="s">
        <v>1137</v>
      </c>
      <c r="H33" s="1" t="s">
        <v>952</v>
      </c>
      <c r="I33" s="1" t="s">
        <v>1219</v>
      </c>
      <c r="J33" s="1" t="s">
        <v>1126</v>
      </c>
      <c r="K33" s="1" t="s">
        <v>507</v>
      </c>
      <c r="L33" s="1" t="s">
        <v>507</v>
      </c>
      <c r="M33" s="1" t="s">
        <v>507</v>
      </c>
      <c r="O33" s="1" t="s">
        <v>507</v>
      </c>
      <c r="P33" s="1" t="s">
        <v>507</v>
      </c>
      <c r="Q33" s="93" t="s">
        <v>507</v>
      </c>
      <c r="R33" s="1">
        <v>1</v>
      </c>
      <c r="U33" s="6">
        <v>43895.423622685201</v>
      </c>
      <c r="V33" s="6">
        <v>43895.424340277801</v>
      </c>
      <c r="Y33" s="1" t="s">
        <v>1127</v>
      </c>
      <c r="Z33" s="1" t="s">
        <v>1220</v>
      </c>
      <c r="AB33" s="1" t="s">
        <v>1128</v>
      </c>
      <c r="AC33" s="107" t="s">
        <v>1129</v>
      </c>
      <c r="AD33" s="1" t="s">
        <v>1140</v>
      </c>
      <c r="AE33" s="1" t="s">
        <v>1218</v>
      </c>
    </row>
    <row r="34" spans="1:84" x14ac:dyDescent="0.2">
      <c r="A34" s="1" t="s">
        <v>716</v>
      </c>
      <c r="B34" s="1" t="s">
        <v>25</v>
      </c>
      <c r="C34" s="1" t="s">
        <v>717</v>
      </c>
      <c r="D34" s="1" t="s">
        <v>1216</v>
      </c>
      <c r="E34" s="1">
        <v>1756</v>
      </c>
      <c r="F34" s="1">
        <v>383</v>
      </c>
      <c r="G34" s="1" t="s">
        <v>1137</v>
      </c>
      <c r="H34" s="1" t="s">
        <v>961</v>
      </c>
      <c r="I34" s="1" t="s">
        <v>1173</v>
      </c>
      <c r="J34" s="1" t="s">
        <v>1126</v>
      </c>
      <c r="O34" s="1" t="s">
        <v>1221</v>
      </c>
      <c r="P34" s="1" t="s">
        <v>507</v>
      </c>
      <c r="Q34" s="93" t="s">
        <v>507</v>
      </c>
      <c r="R34" s="1">
        <v>1</v>
      </c>
      <c r="U34" s="6">
        <v>43895.421354166698</v>
      </c>
      <c r="V34" s="6">
        <v>43895.422754629602</v>
      </c>
      <c r="Y34" s="1" t="s">
        <v>1127</v>
      </c>
      <c r="Z34" s="1" t="s">
        <v>1222</v>
      </c>
      <c r="AB34" s="1" t="s">
        <v>1128</v>
      </c>
      <c r="AC34" s="107" t="s">
        <v>1129</v>
      </c>
      <c r="AD34" s="1" t="s">
        <v>1140</v>
      </c>
      <c r="AE34" s="1" t="s">
        <v>1218</v>
      </c>
    </row>
    <row r="35" spans="1:84" x14ac:dyDescent="0.2">
      <c r="A35" s="1" t="s">
        <v>1223</v>
      </c>
      <c r="B35" s="1" t="s">
        <v>25</v>
      </c>
      <c r="C35" s="1" t="s">
        <v>725</v>
      </c>
      <c r="D35" s="1" t="s">
        <v>1224</v>
      </c>
      <c r="E35" s="1">
        <v>1776</v>
      </c>
      <c r="F35" s="70">
        <v>113</v>
      </c>
      <c r="G35" s="70" t="s">
        <v>1137</v>
      </c>
      <c r="H35" s="70" t="s">
        <v>952</v>
      </c>
      <c r="I35" s="70" t="s">
        <v>1225</v>
      </c>
      <c r="J35" s="70" t="s">
        <v>1126</v>
      </c>
      <c r="K35" s="70"/>
      <c r="L35" s="70"/>
      <c r="M35" s="70"/>
      <c r="N35" s="70"/>
      <c r="O35" s="70"/>
      <c r="P35" s="70" t="s">
        <v>507</v>
      </c>
      <c r="Q35" s="110" t="s">
        <v>507</v>
      </c>
      <c r="R35" s="70">
        <v>1</v>
      </c>
      <c r="U35" s="6">
        <v>43857.486956018503</v>
      </c>
      <c r="V35" s="6">
        <v>43865.395312499997</v>
      </c>
      <c r="Y35" s="1" t="s">
        <v>1226</v>
      </c>
      <c r="Z35" s="1" t="s">
        <v>1227</v>
      </c>
      <c r="AA35" s="1" t="s">
        <v>1228</v>
      </c>
      <c r="AC35" s="107" t="s">
        <v>1129</v>
      </c>
      <c r="AD35" s="107" t="s">
        <v>1129</v>
      </c>
      <c r="AE35" s="1" t="s">
        <v>1229</v>
      </c>
    </row>
    <row r="36" spans="1:84" x14ac:dyDescent="0.2">
      <c r="A36" s="1" t="s">
        <v>732</v>
      </c>
      <c r="B36" s="1" t="s">
        <v>25</v>
      </c>
      <c r="C36" s="1" t="s">
        <v>733</v>
      </c>
      <c r="D36" s="1" t="s">
        <v>201</v>
      </c>
      <c r="E36" s="1">
        <v>1787</v>
      </c>
      <c r="F36" s="1">
        <v>121</v>
      </c>
      <c r="G36" s="1" t="s">
        <v>1137</v>
      </c>
      <c r="H36" s="1" t="s">
        <v>952</v>
      </c>
      <c r="J36" s="1" t="s">
        <v>1126</v>
      </c>
      <c r="K36" s="1" t="s">
        <v>549</v>
      </c>
      <c r="M36" s="1" t="s">
        <v>549</v>
      </c>
      <c r="O36" s="1" t="s">
        <v>549</v>
      </c>
      <c r="P36" s="1" t="s">
        <v>507</v>
      </c>
      <c r="Q36" s="93" t="s">
        <v>507</v>
      </c>
      <c r="R36" s="1">
        <v>1</v>
      </c>
      <c r="T36" s="1" t="s">
        <v>1230</v>
      </c>
      <c r="U36" s="6">
        <v>43587.545439814799</v>
      </c>
      <c r="V36" s="6">
        <v>43808.536412037</v>
      </c>
      <c r="Y36" s="1" t="s">
        <v>1065</v>
      </c>
      <c r="Z36" s="1" t="s">
        <v>1231</v>
      </c>
      <c r="AA36" s="1" t="s">
        <v>1232</v>
      </c>
      <c r="AB36" s="1" t="s">
        <v>1128</v>
      </c>
      <c r="AC36" s="107" t="s">
        <v>1129</v>
      </c>
      <c r="AD36" s="107" t="s">
        <v>1135</v>
      </c>
      <c r="AE36" s="1" t="s">
        <v>1056</v>
      </c>
      <c r="AF36" s="70"/>
      <c r="AG36" s="70"/>
    </row>
    <row r="37" spans="1:84" x14ac:dyDescent="0.2">
      <c r="A37" s="1" t="s">
        <v>734</v>
      </c>
      <c r="B37" s="1" t="s">
        <v>25</v>
      </c>
      <c r="C37" s="1" t="s">
        <v>733</v>
      </c>
      <c r="D37" s="1" t="s">
        <v>201</v>
      </c>
      <c r="E37" s="1">
        <v>1787</v>
      </c>
      <c r="F37" s="1">
        <v>132</v>
      </c>
      <c r="G37" s="1" t="s">
        <v>1137</v>
      </c>
      <c r="H37" s="1" t="s">
        <v>952</v>
      </c>
      <c r="J37" s="1" t="s">
        <v>1126</v>
      </c>
      <c r="K37" s="1" t="s">
        <v>549</v>
      </c>
      <c r="M37" s="1" t="s">
        <v>549</v>
      </c>
      <c r="O37" s="1" t="s">
        <v>549</v>
      </c>
      <c r="P37" s="1" t="s">
        <v>507</v>
      </c>
      <c r="Q37" s="93" t="s">
        <v>507</v>
      </c>
      <c r="R37" s="1">
        <v>1</v>
      </c>
      <c r="T37" s="1" t="s">
        <v>1230</v>
      </c>
      <c r="U37" s="6">
        <v>43808.536585648202</v>
      </c>
      <c r="V37" s="6">
        <v>43808.536747685197</v>
      </c>
      <c r="Y37" s="1" t="s">
        <v>1065</v>
      </c>
      <c r="Z37" s="1" t="s">
        <v>1231</v>
      </c>
      <c r="AA37" s="1" t="s">
        <v>1232</v>
      </c>
      <c r="AB37" s="1" t="s">
        <v>1128</v>
      </c>
      <c r="AC37" s="107" t="s">
        <v>1129</v>
      </c>
      <c r="AD37" s="107" t="s">
        <v>1135</v>
      </c>
      <c r="AE37" s="1" t="s">
        <v>1056</v>
      </c>
    </row>
    <row r="38" spans="1:84" x14ac:dyDescent="0.2">
      <c r="A38" s="1" t="s">
        <v>1233</v>
      </c>
      <c r="B38" s="1" t="s">
        <v>25</v>
      </c>
      <c r="C38" s="1" t="s">
        <v>773</v>
      </c>
      <c r="D38" s="1" t="s">
        <v>1124</v>
      </c>
      <c r="E38" s="1">
        <v>1789</v>
      </c>
      <c r="F38" s="1">
        <v>50</v>
      </c>
      <c r="G38" s="1" t="s">
        <v>1137</v>
      </c>
      <c r="H38" s="1" t="s">
        <v>952</v>
      </c>
      <c r="J38" s="70" t="s">
        <v>1126</v>
      </c>
      <c r="K38" s="70" t="s">
        <v>507</v>
      </c>
      <c r="L38" s="70"/>
      <c r="M38" s="70" t="s">
        <v>507</v>
      </c>
      <c r="N38" s="70"/>
      <c r="O38" s="70" t="s">
        <v>507</v>
      </c>
      <c r="P38" s="118" t="s">
        <v>1175</v>
      </c>
      <c r="Q38" s="93" t="s">
        <v>507</v>
      </c>
      <c r="R38" s="1">
        <v>2</v>
      </c>
      <c r="U38" s="6">
        <v>43860.474791666697</v>
      </c>
      <c r="V38" s="6">
        <v>43860.478483796302</v>
      </c>
      <c r="Y38" s="1" t="s">
        <v>1176</v>
      </c>
      <c r="Z38" s="1" t="s">
        <v>1234</v>
      </c>
      <c r="AA38" s="1" t="s">
        <v>1235</v>
      </c>
      <c r="AC38" s="107" t="s">
        <v>1129</v>
      </c>
      <c r="AD38" s="107" t="s">
        <v>1129</v>
      </c>
      <c r="AE38" s="1" t="s">
        <v>1179</v>
      </c>
      <c r="AF38" s="95"/>
      <c r="AG38" s="95"/>
    </row>
    <row r="39" spans="1:84" x14ac:dyDescent="0.2">
      <c r="A39" s="70" t="s">
        <v>1236</v>
      </c>
      <c r="B39" s="70" t="s">
        <v>1089</v>
      </c>
      <c r="C39" s="70" t="s">
        <v>868</v>
      </c>
      <c r="D39" s="70" t="s">
        <v>201</v>
      </c>
      <c r="E39" s="70">
        <v>1789</v>
      </c>
      <c r="F39" s="70">
        <v>259</v>
      </c>
      <c r="G39" s="70" t="s">
        <v>598</v>
      </c>
      <c r="H39" s="70" t="s">
        <v>961</v>
      </c>
      <c r="I39" s="70" t="s">
        <v>1237</v>
      </c>
      <c r="J39" s="70" t="s">
        <v>1126</v>
      </c>
      <c r="K39" s="70" t="s">
        <v>507</v>
      </c>
      <c r="L39" s="70"/>
      <c r="M39" s="70" t="s">
        <v>507</v>
      </c>
      <c r="N39" s="70"/>
      <c r="O39" s="70" t="s">
        <v>507</v>
      </c>
      <c r="P39" s="70" t="s">
        <v>507</v>
      </c>
      <c r="Q39" s="110" t="s">
        <v>507</v>
      </c>
      <c r="R39" s="70">
        <v>1</v>
      </c>
      <c r="S39" s="70"/>
      <c r="T39" s="70" t="s">
        <v>1238</v>
      </c>
      <c r="U39" s="70">
        <v>43803.653645833299</v>
      </c>
      <c r="V39" s="70">
        <v>43803.653888888897</v>
      </c>
      <c r="W39" s="70"/>
      <c r="X39" s="70"/>
      <c r="Y39" s="70" t="s">
        <v>1065</v>
      </c>
      <c r="Z39" s="70" t="s">
        <v>1091</v>
      </c>
      <c r="AA39" s="70" t="s">
        <v>1092</v>
      </c>
      <c r="AB39" s="70" t="s">
        <v>1128</v>
      </c>
      <c r="AC39" s="107" t="s">
        <v>1129</v>
      </c>
      <c r="AD39" s="107" t="s">
        <v>1129</v>
      </c>
      <c r="AE39" s="70" t="s">
        <v>1056</v>
      </c>
    </row>
    <row r="40" spans="1:84" s="100" customFormat="1" x14ac:dyDescent="0.2">
      <c r="A40" s="1" t="s">
        <v>1239</v>
      </c>
      <c r="B40" s="1" t="s">
        <v>1240</v>
      </c>
      <c r="C40" s="1" t="s">
        <v>736</v>
      </c>
      <c r="D40" s="1" t="s">
        <v>223</v>
      </c>
      <c r="E40" s="1">
        <v>1790</v>
      </c>
      <c r="F40" s="1">
        <v>715</v>
      </c>
      <c r="G40" s="1" t="s">
        <v>598</v>
      </c>
      <c r="H40" s="1" t="s">
        <v>952</v>
      </c>
      <c r="I40" s="1" t="s">
        <v>1241</v>
      </c>
      <c r="J40" s="70" t="s">
        <v>1126</v>
      </c>
      <c r="K40" s="70"/>
      <c r="L40" s="70"/>
      <c r="M40" s="70"/>
      <c r="N40" s="70"/>
      <c r="O40" s="70"/>
      <c r="P40" s="70" t="s">
        <v>507</v>
      </c>
      <c r="Q40" s="93" t="s">
        <v>507</v>
      </c>
      <c r="R40" s="1">
        <v>1</v>
      </c>
      <c r="S40" s="1"/>
      <c r="T40" s="1"/>
      <c r="U40" s="6">
        <v>43200.522962962998</v>
      </c>
      <c r="V40" s="6">
        <v>43789.7425462963</v>
      </c>
      <c r="W40" s="1"/>
      <c r="X40" s="1"/>
      <c r="Y40" s="1" t="s">
        <v>224</v>
      </c>
      <c r="Z40" s="1" t="s">
        <v>1242</v>
      </c>
      <c r="AA40" s="1" t="s">
        <v>1243</v>
      </c>
      <c r="AB40" s="1"/>
      <c r="AC40" s="107" t="s">
        <v>1129</v>
      </c>
      <c r="AD40" s="107" t="s">
        <v>1129</v>
      </c>
      <c r="AE40" s="1" t="s">
        <v>1084</v>
      </c>
      <c r="AF40" s="1"/>
      <c r="AG40" s="1"/>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row>
    <row r="41" spans="1:84" s="100" customFormat="1" x14ac:dyDescent="0.2">
      <c r="A41" s="1" t="s">
        <v>1244</v>
      </c>
      <c r="B41" s="1" t="s">
        <v>116</v>
      </c>
      <c r="C41" s="1" t="s">
        <v>760</v>
      </c>
      <c r="D41" s="1" t="s">
        <v>118</v>
      </c>
      <c r="E41" s="1">
        <v>1791</v>
      </c>
      <c r="F41" s="1">
        <v>311</v>
      </c>
      <c r="G41" s="1" t="s">
        <v>1007</v>
      </c>
      <c r="H41" s="1" t="s">
        <v>961</v>
      </c>
      <c r="I41" s="1" t="s">
        <v>1245</v>
      </c>
      <c r="J41" s="1" t="s">
        <v>1126</v>
      </c>
      <c r="K41" s="1" t="s">
        <v>549</v>
      </c>
      <c r="L41" s="1"/>
      <c r="M41" s="1" t="s">
        <v>549</v>
      </c>
      <c r="N41" s="1"/>
      <c r="O41" s="1" t="s">
        <v>549</v>
      </c>
      <c r="P41" s="70" t="s">
        <v>507</v>
      </c>
      <c r="Q41" s="93" t="s">
        <v>507</v>
      </c>
      <c r="R41" s="1">
        <v>1</v>
      </c>
      <c r="S41" s="1"/>
      <c r="T41" s="1" t="s">
        <v>1246</v>
      </c>
      <c r="U41" s="6">
        <v>43370.5145023148</v>
      </c>
      <c r="V41" s="6">
        <v>43838.549548611103</v>
      </c>
      <c r="W41" s="1"/>
      <c r="X41" s="1"/>
      <c r="Y41" s="1" t="s">
        <v>15</v>
      </c>
      <c r="Z41" s="1" t="s">
        <v>1247</v>
      </c>
      <c r="AA41" s="1"/>
      <c r="AB41" s="1" t="s">
        <v>1128</v>
      </c>
      <c r="AC41" s="107" t="s">
        <v>1129</v>
      </c>
      <c r="AD41" s="107" t="s">
        <v>1130</v>
      </c>
      <c r="AE41" s="1" t="s">
        <v>481</v>
      </c>
      <c r="AF41" s="1"/>
      <c r="AG41" s="1"/>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row>
    <row r="42" spans="1:84" x14ac:dyDescent="0.2">
      <c r="A42" s="1" t="s">
        <v>770</v>
      </c>
      <c r="B42" s="1" t="s">
        <v>1248</v>
      </c>
      <c r="C42" s="1" t="s">
        <v>771</v>
      </c>
      <c r="D42" s="1" t="s">
        <v>1249</v>
      </c>
      <c r="E42" s="1">
        <v>1797</v>
      </c>
      <c r="F42" s="70">
        <v>37</v>
      </c>
      <c r="G42" s="70" t="s">
        <v>598</v>
      </c>
      <c r="H42" s="70" t="s">
        <v>961</v>
      </c>
      <c r="I42" s="70"/>
      <c r="J42" s="70" t="s">
        <v>1126</v>
      </c>
      <c r="K42" s="70" t="s">
        <v>507</v>
      </c>
      <c r="L42" s="70"/>
      <c r="M42" s="70" t="s">
        <v>507</v>
      </c>
      <c r="N42" s="70"/>
      <c r="O42" s="70" t="s">
        <v>507</v>
      </c>
      <c r="P42" s="70" t="s">
        <v>507</v>
      </c>
      <c r="Q42" s="110" t="s">
        <v>507</v>
      </c>
      <c r="R42" s="70">
        <v>1</v>
      </c>
      <c r="T42" s="1" t="s">
        <v>1250</v>
      </c>
      <c r="U42" s="6">
        <v>43587.571238425902</v>
      </c>
      <c r="V42" s="6">
        <v>43857.484895833302</v>
      </c>
      <c r="Y42" s="1" t="s">
        <v>1226</v>
      </c>
      <c r="Z42" s="1" t="s">
        <v>1251</v>
      </c>
      <c r="AA42" s="1" t="s">
        <v>1228</v>
      </c>
      <c r="AC42" s="107" t="s">
        <v>1129</v>
      </c>
      <c r="AD42" s="107" t="s">
        <v>1129</v>
      </c>
      <c r="AE42" s="1" t="s">
        <v>1229</v>
      </c>
    </row>
    <row r="43" spans="1:84" x14ac:dyDescent="0.2">
      <c r="A43" s="1" t="s">
        <v>1252</v>
      </c>
      <c r="B43" s="1" t="s">
        <v>1253</v>
      </c>
      <c r="C43" s="1" t="s">
        <v>845</v>
      </c>
      <c r="D43" s="1" t="s">
        <v>1124</v>
      </c>
      <c r="E43" s="1">
        <v>1805</v>
      </c>
      <c r="F43" s="1">
        <v>164</v>
      </c>
      <c r="G43" s="1" t="s">
        <v>1137</v>
      </c>
      <c r="H43" s="1" t="s">
        <v>961</v>
      </c>
      <c r="J43" s="1" t="s">
        <v>1126</v>
      </c>
      <c r="K43" s="70" t="s">
        <v>507</v>
      </c>
      <c r="L43" s="1" t="s">
        <v>507</v>
      </c>
      <c r="M43" s="70" t="s">
        <v>507</v>
      </c>
      <c r="O43" s="70" t="s">
        <v>507</v>
      </c>
      <c r="P43" s="70" t="s">
        <v>507</v>
      </c>
      <c r="Q43" s="93" t="s">
        <v>507</v>
      </c>
      <c r="R43" s="1">
        <v>1</v>
      </c>
      <c r="U43" s="6">
        <v>43860.553657407399</v>
      </c>
      <c r="V43" s="6">
        <v>43888.512245370403</v>
      </c>
      <c r="Y43" s="1" t="s">
        <v>1127</v>
      </c>
      <c r="AB43" s="1" t="s">
        <v>1128</v>
      </c>
      <c r="AC43" s="107" t="s">
        <v>1129</v>
      </c>
      <c r="AD43" s="1" t="s">
        <v>1140</v>
      </c>
    </row>
    <row r="44" spans="1:84" x14ac:dyDescent="0.2">
      <c r="A44" s="1" t="s">
        <v>802</v>
      </c>
      <c r="B44" s="1" t="s">
        <v>1058</v>
      </c>
      <c r="C44" s="1" t="s">
        <v>803</v>
      </c>
      <c r="D44" s="1" t="s">
        <v>94</v>
      </c>
      <c r="E44" s="1">
        <v>1807</v>
      </c>
      <c r="F44" s="1">
        <v>491</v>
      </c>
      <c r="G44" s="1" t="s">
        <v>1137</v>
      </c>
      <c r="H44" s="1" t="s">
        <v>961</v>
      </c>
      <c r="I44" s="1" t="s">
        <v>1147</v>
      </c>
      <c r="J44" s="1" t="s">
        <v>1126</v>
      </c>
      <c r="K44" s="1" t="s">
        <v>549</v>
      </c>
      <c r="M44" s="1" t="s">
        <v>549</v>
      </c>
      <c r="O44" s="1" t="s">
        <v>549</v>
      </c>
      <c r="P44" s="1" t="s">
        <v>507</v>
      </c>
      <c r="Q44" s="93" t="s">
        <v>507</v>
      </c>
      <c r="R44" s="1">
        <v>1</v>
      </c>
      <c r="U44" s="6">
        <v>43527.477592592601</v>
      </c>
      <c r="V44" s="6">
        <v>43803.535104166702</v>
      </c>
      <c r="Y44" s="1" t="s">
        <v>95</v>
      </c>
      <c r="Z44" s="1" t="s">
        <v>1254</v>
      </c>
      <c r="AB44" s="1" t="s">
        <v>1255</v>
      </c>
      <c r="AE44" s="1" t="s">
        <v>1060</v>
      </c>
    </row>
    <row r="45" spans="1:84" x14ac:dyDescent="0.2">
      <c r="A45" s="1" t="s">
        <v>1256</v>
      </c>
      <c r="B45" s="1" t="s">
        <v>1058</v>
      </c>
      <c r="C45" s="1" t="s">
        <v>805</v>
      </c>
      <c r="D45" s="1" t="s">
        <v>94</v>
      </c>
      <c r="E45" s="1">
        <v>1807</v>
      </c>
      <c r="F45" s="1">
        <v>102</v>
      </c>
      <c r="G45" s="1" t="s">
        <v>1137</v>
      </c>
      <c r="H45" s="1" t="s">
        <v>952</v>
      </c>
      <c r="I45" s="1" t="s">
        <v>1147</v>
      </c>
      <c r="J45" s="1" t="s">
        <v>1126</v>
      </c>
      <c r="K45" s="1" t="s">
        <v>549</v>
      </c>
      <c r="M45" s="1" t="s">
        <v>549</v>
      </c>
      <c r="O45" s="1" t="s">
        <v>549</v>
      </c>
      <c r="P45" s="1" t="s">
        <v>507</v>
      </c>
      <c r="Q45" s="93" t="s">
        <v>507</v>
      </c>
      <c r="R45" s="1">
        <v>1</v>
      </c>
      <c r="S45" s="1">
        <v>1</v>
      </c>
      <c r="U45" s="6"/>
      <c r="V45" s="6"/>
      <c r="Y45" s="1" t="s">
        <v>95</v>
      </c>
      <c r="AB45" s="1" t="s">
        <v>514</v>
      </c>
      <c r="AC45" s="107" t="s">
        <v>1129</v>
      </c>
      <c r="AD45" s="107" t="s">
        <v>1257</v>
      </c>
    </row>
    <row r="46" spans="1:84" x14ac:dyDescent="0.2">
      <c r="A46" s="33" t="s">
        <v>807</v>
      </c>
      <c r="B46" s="33" t="s">
        <v>1058</v>
      </c>
      <c r="C46" s="33" t="s">
        <v>803</v>
      </c>
      <c r="D46" s="33" t="s">
        <v>94</v>
      </c>
      <c r="E46" s="33">
        <v>1807</v>
      </c>
      <c r="F46" s="33">
        <v>371</v>
      </c>
      <c r="G46" s="33" t="s">
        <v>1011</v>
      </c>
      <c r="H46" s="33" t="s">
        <v>961</v>
      </c>
      <c r="I46" s="33" t="s">
        <v>1147</v>
      </c>
      <c r="J46" s="33" t="s">
        <v>1126</v>
      </c>
      <c r="K46" s="33" t="s">
        <v>507</v>
      </c>
      <c r="L46" s="33"/>
      <c r="M46" s="33" t="s">
        <v>507</v>
      </c>
      <c r="N46" s="33"/>
      <c r="O46" s="33" t="s">
        <v>507</v>
      </c>
      <c r="P46" s="33" t="s">
        <v>507</v>
      </c>
      <c r="Q46" s="121" t="s">
        <v>507</v>
      </c>
      <c r="R46" s="33">
        <v>1</v>
      </c>
      <c r="S46" s="33"/>
      <c r="T46" s="33"/>
      <c r="U46" s="33">
        <v>43803.534583333298</v>
      </c>
      <c r="V46" s="33">
        <v>43803.535335648201</v>
      </c>
      <c r="W46" s="33"/>
      <c r="X46" s="33"/>
      <c r="Y46" s="33" t="s">
        <v>95</v>
      </c>
      <c r="Z46" s="33" t="s">
        <v>1258</v>
      </c>
      <c r="AA46" s="33"/>
      <c r="AB46" s="33" t="s">
        <v>1255</v>
      </c>
      <c r="AC46" s="33" t="s">
        <v>1129</v>
      </c>
      <c r="AD46" s="33" t="s">
        <v>1129</v>
      </c>
      <c r="AE46" s="33" t="s">
        <v>1060</v>
      </c>
    </row>
    <row r="47" spans="1:84" x14ac:dyDescent="0.2">
      <c r="A47" s="1" t="s">
        <v>808</v>
      </c>
      <c r="B47" s="1" t="s">
        <v>1058</v>
      </c>
      <c r="C47" s="1" t="s">
        <v>803</v>
      </c>
      <c r="D47" s="1" t="s">
        <v>94</v>
      </c>
      <c r="E47" s="1">
        <v>1807</v>
      </c>
      <c r="F47" s="1">
        <v>306</v>
      </c>
      <c r="G47" s="33" t="s">
        <v>1137</v>
      </c>
      <c r="H47" s="33" t="s">
        <v>961</v>
      </c>
      <c r="I47" s="33" t="s">
        <v>1147</v>
      </c>
      <c r="J47" s="1" t="s">
        <v>1126</v>
      </c>
      <c r="K47" s="33" t="s">
        <v>507</v>
      </c>
      <c r="M47" s="33" t="s">
        <v>507</v>
      </c>
      <c r="O47" s="33" t="s">
        <v>507</v>
      </c>
      <c r="P47" s="1" t="s">
        <v>507</v>
      </c>
      <c r="Q47" s="93" t="s">
        <v>507</v>
      </c>
      <c r="R47" s="1">
        <v>1</v>
      </c>
      <c r="U47" s="6">
        <v>43803.534606481502</v>
      </c>
      <c r="V47" s="6">
        <v>43803.535497685203</v>
      </c>
      <c r="Y47" s="1" t="s">
        <v>95</v>
      </c>
      <c r="Z47" s="1" t="s">
        <v>1259</v>
      </c>
      <c r="AB47" s="1" t="s">
        <v>1255</v>
      </c>
      <c r="AC47" s="107" t="s">
        <v>1129</v>
      </c>
      <c r="AD47" s="107" t="s">
        <v>1129</v>
      </c>
      <c r="AE47" s="1" t="s">
        <v>1060</v>
      </c>
    </row>
    <row r="48" spans="1:84" x14ac:dyDescent="0.2">
      <c r="A48" s="1" t="s">
        <v>810</v>
      </c>
      <c r="B48" s="1" t="s">
        <v>1058</v>
      </c>
      <c r="C48" s="1" t="s">
        <v>803</v>
      </c>
      <c r="D48" s="1" t="s">
        <v>94</v>
      </c>
      <c r="E48" s="1">
        <v>1807</v>
      </c>
      <c r="F48" s="1">
        <v>449</v>
      </c>
      <c r="G48" s="33" t="s">
        <v>1137</v>
      </c>
      <c r="H48" s="33" t="s">
        <v>952</v>
      </c>
      <c r="I48" s="33" t="s">
        <v>1147</v>
      </c>
      <c r="J48" s="1" t="s">
        <v>1126</v>
      </c>
      <c r="K48" s="33" t="s">
        <v>507</v>
      </c>
      <c r="M48" s="33" t="s">
        <v>507</v>
      </c>
      <c r="O48" s="33" t="s">
        <v>507</v>
      </c>
      <c r="P48" s="1" t="s">
        <v>507</v>
      </c>
      <c r="Q48" s="93" t="s">
        <v>507</v>
      </c>
      <c r="R48" s="1">
        <v>1</v>
      </c>
      <c r="U48" s="6">
        <v>43803.534745370402</v>
      </c>
      <c r="V48" s="6">
        <v>43803.535636574103</v>
      </c>
      <c r="Y48" s="1" t="s">
        <v>95</v>
      </c>
      <c r="Z48" s="1" t="s">
        <v>1260</v>
      </c>
      <c r="AB48" s="1" t="s">
        <v>1255</v>
      </c>
      <c r="AC48" s="107" t="s">
        <v>1129</v>
      </c>
      <c r="AD48" s="107" t="s">
        <v>1129</v>
      </c>
      <c r="AE48" s="1" t="s">
        <v>1060</v>
      </c>
    </row>
    <row r="49" spans="1:84" x14ac:dyDescent="0.2">
      <c r="A49" s="1" t="s">
        <v>811</v>
      </c>
      <c r="B49" s="1" t="s">
        <v>1058</v>
      </c>
      <c r="C49" s="1" t="s">
        <v>803</v>
      </c>
      <c r="D49" s="1" t="s">
        <v>94</v>
      </c>
      <c r="E49" s="1">
        <v>1807</v>
      </c>
      <c r="F49" s="1">
        <v>354</v>
      </c>
      <c r="G49" s="33" t="s">
        <v>1137</v>
      </c>
      <c r="H49" s="33" t="s">
        <v>952</v>
      </c>
      <c r="I49" s="33" t="s">
        <v>1147</v>
      </c>
      <c r="J49" s="1" t="s">
        <v>1126</v>
      </c>
      <c r="K49" s="33" t="s">
        <v>507</v>
      </c>
      <c r="L49" s="33" t="s">
        <v>507</v>
      </c>
      <c r="M49" s="33" t="s">
        <v>507</v>
      </c>
      <c r="O49" s="33" t="s">
        <v>507</v>
      </c>
      <c r="P49" s="1" t="s">
        <v>507</v>
      </c>
      <c r="Q49" s="93" t="s">
        <v>507</v>
      </c>
      <c r="R49" s="1">
        <v>1</v>
      </c>
      <c r="U49" s="6">
        <v>43803.534768518497</v>
      </c>
      <c r="V49" s="6">
        <v>43803.535729166702</v>
      </c>
      <c r="Y49" s="1" t="s">
        <v>95</v>
      </c>
      <c r="Z49" s="1" t="s">
        <v>1261</v>
      </c>
      <c r="AB49" s="1" t="s">
        <v>1255</v>
      </c>
      <c r="AC49" s="107" t="s">
        <v>1129</v>
      </c>
      <c r="AD49" s="107" t="s">
        <v>1129</v>
      </c>
      <c r="AE49" s="1" t="s">
        <v>1060</v>
      </c>
    </row>
    <row r="50" spans="1:84" x14ac:dyDescent="0.2">
      <c r="A50" s="1" t="s">
        <v>812</v>
      </c>
      <c r="B50" s="1" t="s">
        <v>1058</v>
      </c>
      <c r="C50" s="1" t="s">
        <v>803</v>
      </c>
      <c r="D50" s="1" t="s">
        <v>94</v>
      </c>
      <c r="E50" s="1">
        <v>1807</v>
      </c>
      <c r="F50" s="1">
        <v>486</v>
      </c>
      <c r="G50" s="33" t="s">
        <v>598</v>
      </c>
      <c r="H50" s="33" t="s">
        <v>961</v>
      </c>
      <c r="I50" s="33" t="s">
        <v>1147</v>
      </c>
      <c r="J50" s="1" t="s">
        <v>1126</v>
      </c>
      <c r="K50" s="1" t="s">
        <v>507</v>
      </c>
      <c r="M50" s="1" t="s">
        <v>507</v>
      </c>
      <c r="O50" s="1" t="s">
        <v>507</v>
      </c>
      <c r="P50" s="1" t="s">
        <v>507</v>
      </c>
      <c r="Q50" s="93" t="s">
        <v>507</v>
      </c>
      <c r="R50" s="1">
        <v>1</v>
      </c>
      <c r="U50" s="6">
        <v>43803.534791666701</v>
      </c>
      <c r="V50" s="6">
        <v>43803.535833333299</v>
      </c>
      <c r="Y50" s="1" t="s">
        <v>95</v>
      </c>
      <c r="Z50" s="1" t="s">
        <v>1262</v>
      </c>
      <c r="AB50" s="1" t="s">
        <v>1255</v>
      </c>
      <c r="AE50" s="1" t="s">
        <v>1060</v>
      </c>
    </row>
    <row r="51" spans="1:84" x14ac:dyDescent="0.2">
      <c r="A51" s="1" t="s">
        <v>813</v>
      </c>
      <c r="B51" s="1" t="s">
        <v>1058</v>
      </c>
      <c r="C51" s="1" t="s">
        <v>803</v>
      </c>
      <c r="D51" s="1" t="s">
        <v>94</v>
      </c>
      <c r="E51" s="1">
        <v>1807</v>
      </c>
      <c r="F51" s="1">
        <v>452</v>
      </c>
      <c r="G51" s="33" t="s">
        <v>1005</v>
      </c>
      <c r="H51" s="33" t="s">
        <v>961</v>
      </c>
      <c r="I51" s="33" t="s">
        <v>1147</v>
      </c>
      <c r="J51" s="1" t="s">
        <v>1126</v>
      </c>
      <c r="K51" s="1" t="s">
        <v>507</v>
      </c>
      <c r="M51" s="1" t="s">
        <v>507</v>
      </c>
      <c r="O51" s="1" t="s">
        <v>507</v>
      </c>
      <c r="P51" s="1" t="s">
        <v>507</v>
      </c>
      <c r="Q51" s="93" t="s">
        <v>507</v>
      </c>
      <c r="R51" s="1">
        <v>1</v>
      </c>
      <c r="U51" s="6">
        <v>43803.534814814797</v>
      </c>
      <c r="V51" s="6">
        <v>43803.535925925898</v>
      </c>
      <c r="Y51" s="1" t="s">
        <v>95</v>
      </c>
      <c r="Z51" s="1" t="s">
        <v>1263</v>
      </c>
      <c r="AB51" s="1" t="s">
        <v>1255</v>
      </c>
      <c r="AE51" s="1" t="s">
        <v>1060</v>
      </c>
    </row>
    <row r="52" spans="1:84" x14ac:dyDescent="0.2">
      <c r="A52" s="1" t="s">
        <v>814</v>
      </c>
      <c r="B52" s="1" t="s">
        <v>1058</v>
      </c>
      <c r="C52" s="1" t="s">
        <v>803</v>
      </c>
      <c r="D52" s="1" t="s">
        <v>94</v>
      </c>
      <c r="E52" s="1">
        <v>1807</v>
      </c>
      <c r="F52" s="1">
        <v>436</v>
      </c>
      <c r="G52" s="33" t="s">
        <v>598</v>
      </c>
      <c r="H52" s="33" t="s">
        <v>961</v>
      </c>
      <c r="I52" s="33" t="s">
        <v>1147</v>
      </c>
      <c r="J52" s="1" t="s">
        <v>1126</v>
      </c>
      <c r="P52" s="1" t="s">
        <v>507</v>
      </c>
      <c r="Q52" s="93" t="s">
        <v>507</v>
      </c>
      <c r="R52" s="1">
        <v>1</v>
      </c>
      <c r="U52" s="6">
        <v>43803.534849536998</v>
      </c>
      <c r="V52" s="6">
        <v>43803.536030092597</v>
      </c>
      <c r="Y52" s="1" t="s">
        <v>95</v>
      </c>
      <c r="Z52" s="1" t="s">
        <v>1264</v>
      </c>
      <c r="AB52" s="1" t="s">
        <v>1255</v>
      </c>
      <c r="AE52" s="1" t="s">
        <v>1060</v>
      </c>
    </row>
    <row r="53" spans="1:84" x14ac:dyDescent="0.2">
      <c r="A53" s="1" t="s">
        <v>815</v>
      </c>
      <c r="B53" s="1" t="s">
        <v>1058</v>
      </c>
      <c r="C53" s="1" t="s">
        <v>803</v>
      </c>
      <c r="D53" s="1" t="s">
        <v>94</v>
      </c>
      <c r="E53" s="1">
        <v>1807</v>
      </c>
      <c r="F53" s="1">
        <v>479</v>
      </c>
      <c r="G53" s="33" t="s">
        <v>598</v>
      </c>
      <c r="H53" s="33" t="s">
        <v>961</v>
      </c>
      <c r="I53" s="33" t="s">
        <v>1147</v>
      </c>
      <c r="J53" s="1" t="s">
        <v>1126</v>
      </c>
      <c r="K53" s="1" t="s">
        <v>507</v>
      </c>
      <c r="L53" s="1" t="s">
        <v>507</v>
      </c>
      <c r="M53" s="1" t="s">
        <v>507</v>
      </c>
      <c r="O53" s="1" t="s">
        <v>507</v>
      </c>
      <c r="P53" s="1" t="s">
        <v>507</v>
      </c>
      <c r="Q53" s="93" t="s">
        <v>507</v>
      </c>
      <c r="R53" s="1">
        <v>1</v>
      </c>
      <c r="U53" s="6">
        <v>43803.534872685203</v>
      </c>
      <c r="V53" s="6">
        <v>43803.536134259302</v>
      </c>
      <c r="Y53" s="1" t="s">
        <v>95</v>
      </c>
      <c r="Z53" s="1" t="s">
        <v>1265</v>
      </c>
      <c r="AB53" s="1" t="s">
        <v>1255</v>
      </c>
      <c r="AC53" s="107" t="s">
        <v>1129</v>
      </c>
      <c r="AD53" s="107" t="s">
        <v>1129</v>
      </c>
      <c r="AE53" s="1" t="s">
        <v>1060</v>
      </c>
    </row>
    <row r="54" spans="1:84" x14ac:dyDescent="0.2">
      <c r="A54" s="1" t="s">
        <v>816</v>
      </c>
      <c r="B54" s="1" t="s">
        <v>1058</v>
      </c>
      <c r="C54" s="1" t="s">
        <v>803</v>
      </c>
      <c r="D54" s="1" t="s">
        <v>94</v>
      </c>
      <c r="E54" s="1">
        <v>1807</v>
      </c>
      <c r="F54" s="1">
        <v>433</v>
      </c>
      <c r="G54" s="33" t="s">
        <v>598</v>
      </c>
      <c r="H54" s="33" t="s">
        <v>961</v>
      </c>
      <c r="I54" s="33" t="s">
        <v>1147</v>
      </c>
      <c r="J54" s="1" t="s">
        <v>1126</v>
      </c>
      <c r="K54" s="1" t="s">
        <v>507</v>
      </c>
      <c r="L54" s="1" t="s">
        <v>507</v>
      </c>
      <c r="M54" s="1" t="s">
        <v>507</v>
      </c>
      <c r="O54" s="1" t="s">
        <v>507</v>
      </c>
      <c r="P54" s="1" t="s">
        <v>507</v>
      </c>
      <c r="Q54" s="93" t="s">
        <v>507</v>
      </c>
      <c r="R54" s="1">
        <v>1</v>
      </c>
      <c r="U54" s="6">
        <v>43803.534895833298</v>
      </c>
      <c r="V54" s="6">
        <v>43803.536238425899</v>
      </c>
      <c r="Y54" s="1" t="s">
        <v>95</v>
      </c>
      <c r="Z54" s="1" t="s">
        <v>1266</v>
      </c>
      <c r="AB54" s="1" t="s">
        <v>1255</v>
      </c>
      <c r="AC54" s="107" t="s">
        <v>1129</v>
      </c>
      <c r="AD54" s="107" t="s">
        <v>1129</v>
      </c>
      <c r="AE54" s="1" t="s">
        <v>1060</v>
      </c>
    </row>
    <row r="55" spans="1:84" s="100" customFormat="1" x14ac:dyDescent="0.2">
      <c r="A55" s="1" t="s">
        <v>817</v>
      </c>
      <c r="B55" s="1" t="s">
        <v>1058</v>
      </c>
      <c r="C55" s="1" t="s">
        <v>803</v>
      </c>
      <c r="D55" s="1" t="s">
        <v>94</v>
      </c>
      <c r="E55" s="1">
        <v>1807</v>
      </c>
      <c r="F55" s="33">
        <v>467</v>
      </c>
      <c r="G55" s="33" t="s">
        <v>598</v>
      </c>
      <c r="H55" s="33" t="s">
        <v>961</v>
      </c>
      <c r="I55" s="33" t="s">
        <v>1267</v>
      </c>
      <c r="J55" s="1" t="s">
        <v>1126</v>
      </c>
      <c r="K55" s="33" t="s">
        <v>507</v>
      </c>
      <c r="L55" s="33" t="s">
        <v>507</v>
      </c>
      <c r="M55" s="33" t="s">
        <v>507</v>
      </c>
      <c r="N55" s="1"/>
      <c r="O55" s="33" t="s">
        <v>507</v>
      </c>
      <c r="P55" s="1" t="s">
        <v>507</v>
      </c>
      <c r="Q55" s="93" t="s">
        <v>507</v>
      </c>
      <c r="R55" s="1">
        <v>1</v>
      </c>
      <c r="S55" s="1"/>
      <c r="T55" s="1"/>
      <c r="U55" s="6">
        <v>43803.536284722199</v>
      </c>
      <c r="V55" s="6">
        <v>43803.536620370403</v>
      </c>
      <c r="W55" s="1"/>
      <c r="X55" s="1"/>
      <c r="Y55" s="1" t="s">
        <v>95</v>
      </c>
      <c r="Z55" s="1" t="s">
        <v>1268</v>
      </c>
      <c r="AA55" s="1"/>
      <c r="AB55" s="1" t="s">
        <v>1255</v>
      </c>
      <c r="AC55" s="107" t="s">
        <v>1129</v>
      </c>
      <c r="AD55" s="107" t="s">
        <v>1129</v>
      </c>
      <c r="AE55" s="1" t="s">
        <v>1060</v>
      </c>
      <c r="AF55" s="1"/>
      <c r="AG55" s="1"/>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G55" s="95"/>
      <c r="BH55" s="95"/>
      <c r="BI55" s="95"/>
      <c r="BJ55" s="95"/>
      <c r="BK55" s="95"/>
      <c r="BL55" s="95"/>
      <c r="BM55" s="95"/>
      <c r="BN55" s="95"/>
      <c r="BO55" s="95"/>
      <c r="BP55" s="95"/>
      <c r="BQ55" s="95"/>
      <c r="BR55" s="95"/>
      <c r="BS55" s="95"/>
      <c r="BT55" s="95"/>
      <c r="BU55" s="95"/>
      <c r="BV55" s="95"/>
      <c r="BW55" s="95"/>
      <c r="BX55" s="95"/>
      <c r="BY55" s="95"/>
      <c r="BZ55" s="95"/>
      <c r="CA55" s="95"/>
      <c r="CB55" s="95"/>
      <c r="CC55" s="95"/>
      <c r="CD55" s="95"/>
      <c r="CE55" s="95"/>
      <c r="CF55" s="95"/>
    </row>
    <row r="56" spans="1:84" x14ac:dyDescent="0.2">
      <c r="A56" s="1" t="s">
        <v>818</v>
      </c>
      <c r="B56" s="1" t="s">
        <v>1058</v>
      </c>
      <c r="C56" s="1" t="s">
        <v>803</v>
      </c>
      <c r="D56" s="1" t="s">
        <v>94</v>
      </c>
      <c r="E56" s="1">
        <v>1807</v>
      </c>
      <c r="F56" s="1">
        <v>421</v>
      </c>
      <c r="G56" s="33" t="s">
        <v>598</v>
      </c>
      <c r="H56" s="33" t="s">
        <v>961</v>
      </c>
      <c r="I56" s="1" t="s">
        <v>1147</v>
      </c>
      <c r="J56" s="1" t="s">
        <v>1126</v>
      </c>
      <c r="P56" s="1" t="s">
        <v>507</v>
      </c>
      <c r="Q56" s="93" t="s">
        <v>507</v>
      </c>
      <c r="R56" s="1">
        <v>1</v>
      </c>
      <c r="U56" s="6">
        <v>43803.536307870403</v>
      </c>
      <c r="V56" s="6">
        <v>43803.536689814799</v>
      </c>
      <c r="Y56" s="1" t="s">
        <v>95</v>
      </c>
      <c r="Z56" s="1" t="s">
        <v>1269</v>
      </c>
      <c r="AB56" s="1" t="s">
        <v>1255</v>
      </c>
      <c r="AC56" s="107" t="s">
        <v>1129</v>
      </c>
      <c r="AD56" s="107" t="s">
        <v>1129</v>
      </c>
      <c r="AE56" s="1" t="s">
        <v>1060</v>
      </c>
      <c r="AF56" s="95"/>
      <c r="AG56" s="95"/>
    </row>
    <row r="57" spans="1:84" x14ac:dyDescent="0.2">
      <c r="A57" s="1" t="s">
        <v>820</v>
      </c>
      <c r="B57" s="1" t="s">
        <v>1058</v>
      </c>
      <c r="C57" s="1" t="s">
        <v>803</v>
      </c>
      <c r="D57" s="1" t="s">
        <v>94</v>
      </c>
      <c r="E57" s="1">
        <v>1807</v>
      </c>
      <c r="F57" s="1">
        <v>521</v>
      </c>
      <c r="G57" s="33" t="s">
        <v>598</v>
      </c>
      <c r="H57" s="33" t="s">
        <v>952</v>
      </c>
      <c r="I57" s="33" t="s">
        <v>1147</v>
      </c>
      <c r="J57" s="1" t="s">
        <v>1126</v>
      </c>
      <c r="P57" s="1" t="s">
        <v>507</v>
      </c>
      <c r="Q57" s="93" t="s">
        <v>507</v>
      </c>
      <c r="R57" s="1">
        <v>1</v>
      </c>
      <c r="U57" s="6">
        <v>43803.536342592597</v>
      </c>
      <c r="V57" s="6">
        <v>43803.536759259303</v>
      </c>
      <c r="Y57" s="1" t="s">
        <v>95</v>
      </c>
      <c r="Z57" s="1" t="s">
        <v>1270</v>
      </c>
      <c r="AB57" s="1" t="s">
        <v>1255</v>
      </c>
      <c r="AE57" s="1" t="s">
        <v>1060</v>
      </c>
    </row>
    <row r="58" spans="1:84" x14ac:dyDescent="0.2">
      <c r="A58" s="1" t="s">
        <v>822</v>
      </c>
      <c r="B58" s="1" t="s">
        <v>1058</v>
      </c>
      <c r="C58" s="1" t="s">
        <v>803</v>
      </c>
      <c r="D58" s="1" t="s">
        <v>94</v>
      </c>
      <c r="E58" s="1">
        <v>1807</v>
      </c>
      <c r="F58" s="1">
        <v>248</v>
      </c>
      <c r="G58" s="33" t="s">
        <v>598</v>
      </c>
      <c r="H58" s="33" t="s">
        <v>961</v>
      </c>
      <c r="I58" s="1" t="s">
        <v>1147</v>
      </c>
      <c r="J58" s="1" t="s">
        <v>1126</v>
      </c>
      <c r="P58" s="1" t="s">
        <v>507</v>
      </c>
      <c r="Q58" s="93" t="s">
        <v>507</v>
      </c>
      <c r="R58" s="1">
        <v>1</v>
      </c>
      <c r="U58" s="6">
        <v>43803.536967592598</v>
      </c>
      <c r="V58" s="6">
        <v>43803.537025463003</v>
      </c>
      <c r="Y58" s="1" t="s">
        <v>95</v>
      </c>
      <c r="Z58" s="1" t="s">
        <v>1271</v>
      </c>
      <c r="AB58" s="1" t="s">
        <v>1255</v>
      </c>
      <c r="AE58" s="1" t="s">
        <v>1060</v>
      </c>
    </row>
    <row r="59" spans="1:84" x14ac:dyDescent="0.2">
      <c r="A59" s="1" t="s">
        <v>1272</v>
      </c>
      <c r="B59" s="70" t="s">
        <v>1089</v>
      </c>
      <c r="C59" s="1" t="s">
        <v>870</v>
      </c>
      <c r="D59" s="1" t="s">
        <v>201</v>
      </c>
      <c r="E59" s="1">
        <v>1808</v>
      </c>
      <c r="F59" s="1">
        <v>265</v>
      </c>
      <c r="G59" s="1" t="s">
        <v>1137</v>
      </c>
      <c r="H59" s="1" t="s">
        <v>952</v>
      </c>
      <c r="I59" s="1" t="s">
        <v>1273</v>
      </c>
      <c r="J59" s="1" t="s">
        <v>1126</v>
      </c>
      <c r="K59" s="1" t="s">
        <v>507</v>
      </c>
      <c r="L59" s="1" t="s">
        <v>507</v>
      </c>
      <c r="M59" s="1" t="s">
        <v>507</v>
      </c>
      <c r="O59" s="1" t="s">
        <v>507</v>
      </c>
      <c r="P59" s="1" t="s">
        <v>507</v>
      </c>
      <c r="Q59" s="93" t="s">
        <v>507</v>
      </c>
      <c r="R59" s="1">
        <v>1</v>
      </c>
      <c r="U59" s="6"/>
      <c r="V59" s="6"/>
      <c r="Y59" s="1" t="s">
        <v>1065</v>
      </c>
      <c r="AB59" s="1" t="s">
        <v>1128</v>
      </c>
      <c r="AC59" s="107" t="s">
        <v>1129</v>
      </c>
      <c r="AD59" s="107" t="s">
        <v>1129</v>
      </c>
    </row>
    <row r="60" spans="1:84" x14ac:dyDescent="0.2">
      <c r="A60" s="1" t="s">
        <v>317</v>
      </c>
      <c r="B60" s="1" t="s">
        <v>318</v>
      </c>
      <c r="C60" s="1" t="s">
        <v>826</v>
      </c>
      <c r="D60" s="1" t="s">
        <v>320</v>
      </c>
      <c r="E60" s="1">
        <v>1808</v>
      </c>
      <c r="F60" s="1">
        <v>362</v>
      </c>
      <c r="G60" s="1" t="s">
        <v>1137</v>
      </c>
      <c r="H60" s="1" t="s">
        <v>952</v>
      </c>
      <c r="J60" s="70" t="s">
        <v>1126</v>
      </c>
      <c r="K60" s="70"/>
      <c r="L60" s="70"/>
      <c r="M60" s="70"/>
      <c r="N60" s="70"/>
      <c r="O60" s="70"/>
      <c r="P60" s="70" t="s">
        <v>507</v>
      </c>
      <c r="Q60" s="93" t="s">
        <v>507</v>
      </c>
      <c r="R60" s="70">
        <v>1</v>
      </c>
      <c r="U60" s="6">
        <v>43635.718124999999</v>
      </c>
      <c r="V60" s="6">
        <v>43804.864988425899</v>
      </c>
      <c r="Y60" s="1" t="s">
        <v>321</v>
      </c>
      <c r="Z60" s="1" t="s">
        <v>322</v>
      </c>
      <c r="AA60" s="1" t="s">
        <v>1274</v>
      </c>
      <c r="AB60" s="1" t="s">
        <v>1128</v>
      </c>
      <c r="AC60" s="107" t="s">
        <v>1129</v>
      </c>
      <c r="AD60" s="107" t="s">
        <v>1129</v>
      </c>
      <c r="AE60" s="1" t="s">
        <v>1275</v>
      </c>
    </row>
    <row r="61" spans="1:84" x14ac:dyDescent="0.2">
      <c r="A61" s="1" t="s">
        <v>1276</v>
      </c>
      <c r="B61" s="1" t="s">
        <v>1253</v>
      </c>
      <c r="C61" s="1" t="s">
        <v>847</v>
      </c>
      <c r="D61" s="1" t="s">
        <v>1124</v>
      </c>
      <c r="E61" s="1">
        <v>1815</v>
      </c>
      <c r="F61" s="1">
        <v>159</v>
      </c>
      <c r="G61" s="78" t="s">
        <v>1007</v>
      </c>
      <c r="H61" s="78" t="s">
        <v>952</v>
      </c>
      <c r="I61" s="1" t="s">
        <v>1277</v>
      </c>
      <c r="J61" s="1" t="s">
        <v>1126</v>
      </c>
      <c r="P61" s="1" t="s">
        <v>507</v>
      </c>
      <c r="Q61" s="93" t="s">
        <v>507</v>
      </c>
      <c r="R61" s="1">
        <v>1</v>
      </c>
      <c r="U61" s="6">
        <v>43860.556273148199</v>
      </c>
      <c r="V61" s="6">
        <v>43888.512418981503</v>
      </c>
      <c r="Y61" s="1" t="s">
        <v>1127</v>
      </c>
      <c r="AB61" s="1" t="s">
        <v>1128</v>
      </c>
      <c r="AC61" s="107" t="s">
        <v>1129</v>
      </c>
      <c r="AD61" s="1" t="s">
        <v>1140</v>
      </c>
    </row>
    <row r="62" spans="1:84" x14ac:dyDescent="0.2">
      <c r="A62" s="1" t="s">
        <v>1278</v>
      </c>
      <c r="B62" s="70" t="s">
        <v>1089</v>
      </c>
      <c r="C62" s="1" t="s">
        <v>876</v>
      </c>
      <c r="D62" s="1" t="s">
        <v>201</v>
      </c>
      <c r="E62" s="1">
        <v>1817</v>
      </c>
      <c r="F62" s="1">
        <v>148</v>
      </c>
      <c r="G62" s="1" t="s">
        <v>598</v>
      </c>
      <c r="H62" s="1" t="s">
        <v>961</v>
      </c>
      <c r="I62" s="1" t="s">
        <v>1147</v>
      </c>
      <c r="J62" s="1" t="s">
        <v>1126</v>
      </c>
      <c r="K62" s="1" t="s">
        <v>507</v>
      </c>
      <c r="M62" s="1" t="s">
        <v>507</v>
      </c>
      <c r="O62" s="1" t="s">
        <v>507</v>
      </c>
      <c r="P62" s="1" t="s">
        <v>507</v>
      </c>
      <c r="Q62" s="93" t="s">
        <v>507</v>
      </c>
      <c r="R62" s="1">
        <v>1</v>
      </c>
      <c r="U62" s="6"/>
      <c r="V62" s="6"/>
      <c r="Y62" s="1" t="s">
        <v>1065</v>
      </c>
      <c r="AB62" s="1" t="s">
        <v>1128</v>
      </c>
      <c r="AC62" s="107" t="s">
        <v>1129</v>
      </c>
      <c r="AD62" s="107" t="s">
        <v>1129</v>
      </c>
    </row>
    <row r="63" spans="1:84" x14ac:dyDescent="0.2">
      <c r="A63" s="1" t="s">
        <v>1279</v>
      </c>
      <c r="B63" s="1" t="s">
        <v>1253</v>
      </c>
      <c r="C63" s="1" t="s">
        <v>850</v>
      </c>
      <c r="D63" s="1" t="s">
        <v>1124</v>
      </c>
      <c r="E63" s="1">
        <v>1821</v>
      </c>
      <c r="F63" s="1">
        <v>162</v>
      </c>
      <c r="G63" s="1" t="s">
        <v>1137</v>
      </c>
      <c r="H63" s="1" t="s">
        <v>952</v>
      </c>
      <c r="I63" s="34" t="s">
        <v>1280</v>
      </c>
      <c r="J63" s="1" t="s">
        <v>1126</v>
      </c>
      <c r="P63" s="1" t="s">
        <v>507</v>
      </c>
      <c r="Q63" s="93" t="s">
        <v>507</v>
      </c>
      <c r="R63" s="1">
        <v>1</v>
      </c>
      <c r="U63" s="6">
        <v>43860.560092592597</v>
      </c>
      <c r="V63" s="6">
        <v>43888.512534722198</v>
      </c>
      <c r="Y63" s="1" t="s">
        <v>1127</v>
      </c>
      <c r="AB63" s="1" t="s">
        <v>1128</v>
      </c>
      <c r="AC63" s="107" t="s">
        <v>1129</v>
      </c>
      <c r="AD63" s="1" t="s">
        <v>1140</v>
      </c>
    </row>
    <row r="64" spans="1:84" x14ac:dyDescent="0.2">
      <c r="A64" s="1" t="s">
        <v>1281</v>
      </c>
      <c r="B64" s="70" t="s">
        <v>1089</v>
      </c>
      <c r="C64" s="1" t="s">
        <v>878</v>
      </c>
      <c r="D64" s="1" t="s">
        <v>201</v>
      </c>
      <c r="E64" s="1">
        <v>1831</v>
      </c>
      <c r="F64" s="1">
        <v>292</v>
      </c>
      <c r="G64" s="1" t="s">
        <v>1137</v>
      </c>
      <c r="H64" s="1" t="s">
        <v>952</v>
      </c>
      <c r="I64" s="1" t="s">
        <v>1147</v>
      </c>
      <c r="J64" s="1" t="s">
        <v>1126</v>
      </c>
      <c r="K64" s="1" t="s">
        <v>507</v>
      </c>
      <c r="L64" s="1" t="s">
        <v>507</v>
      </c>
      <c r="M64" s="1" t="s">
        <v>507</v>
      </c>
      <c r="O64" s="1" t="s">
        <v>507</v>
      </c>
      <c r="P64" s="1" t="s">
        <v>507</v>
      </c>
      <c r="Q64" s="93" t="s">
        <v>507</v>
      </c>
      <c r="R64" s="1">
        <v>1</v>
      </c>
      <c r="U64" s="6"/>
      <c r="V64" s="6"/>
      <c r="Y64" s="1" t="s">
        <v>1065</v>
      </c>
      <c r="AB64" s="1" t="s">
        <v>1128</v>
      </c>
      <c r="AC64" s="107" t="s">
        <v>1129</v>
      </c>
      <c r="AD64" s="107" t="s">
        <v>1129</v>
      </c>
    </row>
    <row r="65" spans="1:33" x14ac:dyDescent="0.2">
      <c r="A65" s="1" t="s">
        <v>1282</v>
      </c>
      <c r="B65" s="70" t="s">
        <v>1089</v>
      </c>
      <c r="C65" s="1" t="s">
        <v>880</v>
      </c>
      <c r="D65" s="1" t="s">
        <v>201</v>
      </c>
      <c r="E65" s="1">
        <v>1835</v>
      </c>
      <c r="F65" s="1">
        <v>308</v>
      </c>
      <c r="G65" s="1" t="s">
        <v>1137</v>
      </c>
      <c r="H65" s="1" t="s">
        <v>961</v>
      </c>
      <c r="I65" s="1" t="s">
        <v>1147</v>
      </c>
      <c r="J65" s="1" t="s">
        <v>1126</v>
      </c>
      <c r="K65" s="1" t="s">
        <v>507</v>
      </c>
      <c r="M65" s="1" t="s">
        <v>507</v>
      </c>
      <c r="O65" s="1" t="s">
        <v>507</v>
      </c>
      <c r="P65" s="1" t="s">
        <v>507</v>
      </c>
      <c r="Q65" s="93" t="s">
        <v>507</v>
      </c>
      <c r="R65" s="1">
        <v>1</v>
      </c>
      <c r="U65" s="6"/>
      <c r="V65" s="6"/>
      <c r="Y65" s="1" t="s">
        <v>1065</v>
      </c>
      <c r="AB65" s="1" t="s">
        <v>1128</v>
      </c>
      <c r="AC65" s="107" t="s">
        <v>1129</v>
      </c>
      <c r="AD65" s="107" t="s">
        <v>1135</v>
      </c>
      <c r="AF65" s="70"/>
      <c r="AG65" s="70"/>
    </row>
    <row r="66" spans="1:33" x14ac:dyDescent="0.2">
      <c r="A66" s="70" t="s">
        <v>893</v>
      </c>
      <c r="B66" s="70" t="s">
        <v>1047</v>
      </c>
      <c r="C66" s="70" t="s">
        <v>894</v>
      </c>
      <c r="D66" s="70" t="s">
        <v>1048</v>
      </c>
      <c r="E66" s="70">
        <v>1854</v>
      </c>
      <c r="F66" s="70">
        <v>65</v>
      </c>
      <c r="G66" s="70" t="s">
        <v>1137</v>
      </c>
      <c r="H66" s="70" t="s">
        <v>952</v>
      </c>
      <c r="I66" s="122" t="s">
        <v>1219</v>
      </c>
      <c r="J66" s="70" t="s">
        <v>1126</v>
      </c>
      <c r="K66" s="70"/>
      <c r="L66" s="70"/>
      <c r="M66" s="70"/>
      <c r="N66" s="70"/>
      <c r="O66" s="70"/>
      <c r="P66" s="118" t="s">
        <v>1175</v>
      </c>
      <c r="Q66" s="110" t="s">
        <v>507</v>
      </c>
      <c r="R66" s="70">
        <v>1</v>
      </c>
      <c r="S66" s="70"/>
      <c r="T66" s="70"/>
      <c r="U66" s="70">
        <v>43803.538495370398</v>
      </c>
      <c r="V66" s="70">
        <v>43811.647083333301</v>
      </c>
      <c r="W66" s="70"/>
      <c r="X66" s="70"/>
      <c r="Y66" s="70" t="s">
        <v>1050</v>
      </c>
      <c r="Z66" s="70"/>
      <c r="AA66" s="70" t="s">
        <v>1283</v>
      </c>
      <c r="AB66" s="70" t="s">
        <v>1128</v>
      </c>
      <c r="AC66" s="107" t="s">
        <v>1129</v>
      </c>
      <c r="AD66" s="107" t="s">
        <v>1130</v>
      </c>
      <c r="AE66" s="70" t="s">
        <v>1052</v>
      </c>
    </row>
    <row r="67" spans="1:33" s="70" customFormat="1" x14ac:dyDescent="0.2">
      <c r="A67" s="70" t="s">
        <v>896</v>
      </c>
      <c r="B67" s="70" t="s">
        <v>1047</v>
      </c>
      <c r="C67" s="70" t="s">
        <v>897</v>
      </c>
      <c r="D67" s="70" t="s">
        <v>1048</v>
      </c>
      <c r="E67" s="70">
        <v>1854</v>
      </c>
      <c r="F67" s="70">
        <v>35</v>
      </c>
      <c r="G67" s="70" t="s">
        <v>1137</v>
      </c>
      <c r="H67" s="70" t="s">
        <v>952</v>
      </c>
      <c r="I67" s="122" t="s">
        <v>1219</v>
      </c>
      <c r="J67" s="70" t="s">
        <v>1126</v>
      </c>
      <c r="P67" s="118" t="s">
        <v>1175</v>
      </c>
      <c r="Q67" s="110" t="s">
        <v>507</v>
      </c>
      <c r="R67" s="70">
        <v>1</v>
      </c>
      <c r="U67" s="70">
        <v>43803.5385185185</v>
      </c>
      <c r="V67" s="70">
        <v>43811.647256944401</v>
      </c>
      <c r="Y67" s="70" t="s">
        <v>1050</v>
      </c>
      <c r="AA67" s="70" t="s">
        <v>1283</v>
      </c>
      <c r="AB67" s="70" t="s">
        <v>1128</v>
      </c>
      <c r="AC67" s="107" t="s">
        <v>1129</v>
      </c>
      <c r="AD67" s="107" t="s">
        <v>1130</v>
      </c>
      <c r="AE67" s="70" t="s">
        <v>1052</v>
      </c>
      <c r="AF67" s="1"/>
      <c r="AG67" s="1"/>
    </row>
    <row r="68" spans="1:33" x14ac:dyDescent="0.2">
      <c r="A68" s="1" t="s">
        <v>898</v>
      </c>
      <c r="B68" s="1" t="s">
        <v>1284</v>
      </c>
      <c r="C68" s="1" t="s">
        <v>899</v>
      </c>
      <c r="D68" s="1" t="s">
        <v>229</v>
      </c>
      <c r="E68" s="1">
        <v>1855</v>
      </c>
      <c r="F68" s="70">
        <v>143</v>
      </c>
      <c r="G68" s="70" t="s">
        <v>1005</v>
      </c>
      <c r="H68" s="70" t="s">
        <v>961</v>
      </c>
      <c r="I68" s="70"/>
      <c r="J68" s="70" t="s">
        <v>1126</v>
      </c>
      <c r="K68" s="70"/>
      <c r="L68" s="70"/>
      <c r="M68" s="70"/>
      <c r="N68" s="70"/>
      <c r="O68" s="70"/>
      <c r="P68" s="70" t="s">
        <v>507</v>
      </c>
      <c r="Q68" s="70" t="s">
        <v>507</v>
      </c>
      <c r="R68" s="70">
        <v>1</v>
      </c>
      <c r="U68" s="6">
        <v>43650.594942129603</v>
      </c>
      <c r="V68" s="6">
        <v>43819.618148148104</v>
      </c>
      <c r="Y68" s="1" t="s">
        <v>230</v>
      </c>
      <c r="Z68" s="1" t="s">
        <v>1285</v>
      </c>
      <c r="AA68" s="1" t="s">
        <v>1286</v>
      </c>
      <c r="AC68" s="120" t="s">
        <v>1129</v>
      </c>
      <c r="AD68" s="120" t="s">
        <v>1129</v>
      </c>
      <c r="AE68" s="1" t="s">
        <v>1084</v>
      </c>
    </row>
    <row r="69" spans="1:33" s="33" customFormat="1" x14ac:dyDescent="0.2">
      <c r="A69" s="1" t="s">
        <v>900</v>
      </c>
      <c r="B69" s="1" t="s">
        <v>1284</v>
      </c>
      <c r="C69" s="1" t="s">
        <v>901</v>
      </c>
      <c r="D69" s="1" t="s">
        <v>229</v>
      </c>
      <c r="E69" s="1">
        <v>1855</v>
      </c>
      <c r="F69" s="70">
        <v>171</v>
      </c>
      <c r="G69" s="70" t="s">
        <v>1005</v>
      </c>
      <c r="H69" s="70" t="s">
        <v>961</v>
      </c>
      <c r="I69" s="70"/>
      <c r="J69" s="70" t="s">
        <v>1126</v>
      </c>
      <c r="K69" s="70"/>
      <c r="L69" s="70"/>
      <c r="M69" s="70"/>
      <c r="N69" s="70"/>
      <c r="O69" s="70"/>
      <c r="P69" s="70" t="s">
        <v>507</v>
      </c>
      <c r="Q69" s="70" t="s">
        <v>507</v>
      </c>
      <c r="R69" s="70">
        <v>1</v>
      </c>
      <c r="S69" s="1"/>
      <c r="T69" s="1"/>
      <c r="U69" s="6">
        <v>43819.6196643519</v>
      </c>
      <c r="V69" s="6">
        <v>43819.622106481504</v>
      </c>
      <c r="W69" s="1"/>
      <c r="X69" s="1"/>
      <c r="Y69" s="1" t="s">
        <v>230</v>
      </c>
      <c r="Z69" s="1" t="s">
        <v>1285</v>
      </c>
      <c r="AA69" s="1" t="s">
        <v>1287</v>
      </c>
      <c r="AB69" s="1"/>
      <c r="AC69" s="120" t="s">
        <v>1129</v>
      </c>
      <c r="AD69" s="120" t="s">
        <v>1129</v>
      </c>
      <c r="AE69" s="1" t="s">
        <v>1084</v>
      </c>
      <c r="AF69" s="1"/>
      <c r="AG69" s="1"/>
    </row>
    <row r="70" spans="1:33" x14ac:dyDescent="0.2">
      <c r="A70" s="1" t="s">
        <v>903</v>
      </c>
      <c r="B70" s="1" t="s">
        <v>1284</v>
      </c>
      <c r="C70" s="1" t="s">
        <v>904</v>
      </c>
      <c r="D70" s="1" t="s">
        <v>229</v>
      </c>
      <c r="E70" s="1">
        <v>1855</v>
      </c>
      <c r="F70" s="70">
        <v>199</v>
      </c>
      <c r="G70" s="70" t="s">
        <v>1137</v>
      </c>
      <c r="H70" s="70" t="s">
        <v>961</v>
      </c>
      <c r="I70" s="70"/>
      <c r="J70" s="70" t="s">
        <v>1126</v>
      </c>
      <c r="K70" s="70"/>
      <c r="L70" s="70"/>
      <c r="M70" s="70"/>
      <c r="N70" s="70"/>
      <c r="O70" s="70"/>
      <c r="P70" s="70" t="s">
        <v>507</v>
      </c>
      <c r="Q70" s="70" t="s">
        <v>507</v>
      </c>
      <c r="R70" s="70">
        <v>1</v>
      </c>
      <c r="U70" s="6">
        <v>43819.619722222204</v>
      </c>
      <c r="V70" s="6">
        <v>43819.621956018498</v>
      </c>
      <c r="Y70" s="1" t="s">
        <v>230</v>
      </c>
      <c r="Z70" s="1" t="s">
        <v>1285</v>
      </c>
      <c r="AA70" s="1" t="s">
        <v>1288</v>
      </c>
      <c r="AC70" s="120" t="s">
        <v>1129</v>
      </c>
      <c r="AD70" s="120" t="s">
        <v>1129</v>
      </c>
      <c r="AE70" s="1" t="s">
        <v>1084</v>
      </c>
    </row>
    <row r="71" spans="1:33" x14ac:dyDescent="0.2">
      <c r="A71" s="1" t="s">
        <v>905</v>
      </c>
      <c r="B71" s="1" t="s">
        <v>1284</v>
      </c>
      <c r="C71" s="1" t="s">
        <v>906</v>
      </c>
      <c r="D71" s="1" t="s">
        <v>229</v>
      </c>
      <c r="E71" s="1">
        <v>1855</v>
      </c>
      <c r="F71" s="70">
        <v>100</v>
      </c>
      <c r="G71" s="70" t="s">
        <v>1137</v>
      </c>
      <c r="H71" s="70" t="s">
        <v>961</v>
      </c>
      <c r="I71" s="70"/>
      <c r="J71" s="70" t="s">
        <v>1126</v>
      </c>
      <c r="K71" s="70"/>
      <c r="L71" s="70"/>
      <c r="M71" s="70"/>
      <c r="N71" s="70"/>
      <c r="O71" s="70"/>
      <c r="P71" s="70" t="s">
        <v>507</v>
      </c>
      <c r="Q71" s="70" t="s">
        <v>507</v>
      </c>
      <c r="R71" s="70">
        <v>1</v>
      </c>
      <c r="U71" s="6">
        <v>43819.6198842593</v>
      </c>
      <c r="V71" s="6">
        <v>43819.622905092598</v>
      </c>
      <c r="Y71" s="1" t="s">
        <v>230</v>
      </c>
      <c r="Z71" s="1" t="s">
        <v>1285</v>
      </c>
      <c r="AA71" s="1" t="s">
        <v>1289</v>
      </c>
      <c r="AC71" s="120" t="s">
        <v>1129</v>
      </c>
      <c r="AD71" s="120" t="s">
        <v>1129</v>
      </c>
      <c r="AE71" s="1" t="s">
        <v>1084</v>
      </c>
    </row>
    <row r="72" spans="1:33" x14ac:dyDescent="0.2">
      <c r="A72" s="1" t="s">
        <v>908</v>
      </c>
      <c r="B72" s="1" t="s">
        <v>1284</v>
      </c>
      <c r="C72" s="1" t="s">
        <v>909</v>
      </c>
      <c r="D72" s="1" t="s">
        <v>229</v>
      </c>
      <c r="E72" s="1">
        <v>1855</v>
      </c>
      <c r="F72" s="70">
        <v>130</v>
      </c>
      <c r="G72" s="70" t="s">
        <v>1137</v>
      </c>
      <c r="H72" s="70" t="s">
        <v>961</v>
      </c>
      <c r="I72" s="70"/>
      <c r="J72" s="70" t="s">
        <v>1126</v>
      </c>
      <c r="K72" s="70"/>
      <c r="L72" s="70"/>
      <c r="M72" s="70"/>
      <c r="N72" s="70"/>
      <c r="O72" s="70"/>
      <c r="P72" s="70" t="s">
        <v>507</v>
      </c>
      <c r="Q72" s="70" t="s">
        <v>507</v>
      </c>
      <c r="R72" s="70">
        <v>1</v>
      </c>
      <c r="U72" s="6">
        <v>43819.619861111103</v>
      </c>
      <c r="V72" s="6">
        <v>43819.624108796299</v>
      </c>
      <c r="Y72" s="1" t="s">
        <v>230</v>
      </c>
      <c r="Z72" s="1" t="s">
        <v>1285</v>
      </c>
      <c r="AA72" s="1" t="s">
        <v>1290</v>
      </c>
      <c r="AC72" s="120" t="s">
        <v>1129</v>
      </c>
      <c r="AD72" s="120" t="s">
        <v>1129</v>
      </c>
      <c r="AE72" s="1" t="s">
        <v>1084</v>
      </c>
    </row>
    <row r="73" spans="1:33" x14ac:dyDescent="0.2">
      <c r="A73" s="1" t="s">
        <v>911</v>
      </c>
      <c r="B73" s="1" t="s">
        <v>1284</v>
      </c>
      <c r="C73" s="1" t="s">
        <v>912</v>
      </c>
      <c r="D73" s="1" t="s">
        <v>229</v>
      </c>
      <c r="E73" s="1">
        <v>1855</v>
      </c>
      <c r="F73" s="70">
        <v>152</v>
      </c>
      <c r="G73" s="70" t="s">
        <v>1137</v>
      </c>
      <c r="H73" s="70" t="s">
        <v>961</v>
      </c>
      <c r="I73" s="70"/>
      <c r="J73" s="70" t="s">
        <v>1126</v>
      </c>
      <c r="K73" s="70"/>
      <c r="L73" s="70"/>
      <c r="M73" s="70"/>
      <c r="N73" s="70"/>
      <c r="O73" s="70"/>
      <c r="P73" s="70" t="s">
        <v>507</v>
      </c>
      <c r="Q73" s="70" t="s">
        <v>507</v>
      </c>
      <c r="R73" s="70">
        <v>1</v>
      </c>
      <c r="U73" s="6">
        <v>43819.619837963</v>
      </c>
      <c r="V73" s="6">
        <v>43819.624976851897</v>
      </c>
      <c r="Y73" s="1" t="s">
        <v>230</v>
      </c>
      <c r="Z73" s="1" t="s">
        <v>1285</v>
      </c>
      <c r="AA73" s="1" t="s">
        <v>1291</v>
      </c>
      <c r="AC73" s="120" t="s">
        <v>1129</v>
      </c>
      <c r="AD73" s="120" t="s">
        <v>1129</v>
      </c>
      <c r="AE73" s="1" t="s">
        <v>1084</v>
      </c>
    </row>
    <row r="74" spans="1:33" s="70" customFormat="1" x14ac:dyDescent="0.2">
      <c r="A74" s="1" t="s">
        <v>913</v>
      </c>
      <c r="B74" s="1" t="s">
        <v>1284</v>
      </c>
      <c r="C74" s="1" t="s">
        <v>914</v>
      </c>
      <c r="D74" s="1" t="s">
        <v>229</v>
      </c>
      <c r="E74" s="1">
        <v>1855</v>
      </c>
      <c r="F74" s="70">
        <v>145</v>
      </c>
      <c r="G74" s="70" t="s">
        <v>1137</v>
      </c>
      <c r="H74" s="70" t="s">
        <v>952</v>
      </c>
      <c r="J74" s="70" t="s">
        <v>1126</v>
      </c>
      <c r="P74" s="70" t="s">
        <v>507</v>
      </c>
      <c r="Q74" s="70" t="s">
        <v>507</v>
      </c>
      <c r="R74" s="70">
        <v>1</v>
      </c>
      <c r="S74" s="1"/>
      <c r="T74" s="1"/>
      <c r="U74" s="6">
        <v>43819.619814814803</v>
      </c>
      <c r="V74" s="6">
        <v>43819.627314814803</v>
      </c>
      <c r="W74" s="1"/>
      <c r="X74" s="1"/>
      <c r="Y74" s="1" t="s">
        <v>230</v>
      </c>
      <c r="Z74" s="1" t="s">
        <v>1285</v>
      </c>
      <c r="AA74" s="1" t="s">
        <v>1292</v>
      </c>
      <c r="AB74" s="1"/>
      <c r="AC74" s="120" t="s">
        <v>1129</v>
      </c>
      <c r="AD74" s="120" t="s">
        <v>1129</v>
      </c>
      <c r="AE74" s="1" t="s">
        <v>1084</v>
      </c>
      <c r="AF74" s="1"/>
      <c r="AG74" s="1"/>
    </row>
    <row r="75" spans="1:33" x14ac:dyDescent="0.2">
      <c r="F75" s="78">
        <f>SUM(F2:F74)</f>
        <v>17090</v>
      </c>
      <c r="G75" s="78"/>
      <c r="H75" s="78"/>
      <c r="I75" s="78"/>
      <c r="J75" s="78"/>
      <c r="K75" s="78"/>
      <c r="L75" s="78"/>
      <c r="M75" s="78"/>
      <c r="N75" s="78"/>
      <c r="O75" s="78"/>
      <c r="P75" s="78"/>
      <c r="Q75" s="78"/>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1"/>
  <sheetViews>
    <sheetView zoomScaleNormal="100" workbookViewId="0"/>
  </sheetViews>
  <sheetFormatPr baseColWidth="10" defaultColWidth="162.5" defaultRowHeight="15" x14ac:dyDescent="0.2"/>
  <cols>
    <col min="1" max="1" width="254.6640625" style="1" customWidth="1"/>
    <col min="2" max="2" width="15.5" style="1" customWidth="1"/>
    <col min="6" max="7" width="8.33203125" style="1" customWidth="1"/>
  </cols>
  <sheetData>
    <row r="1" spans="1:19" ht="16" x14ac:dyDescent="0.2">
      <c r="B1" s="2" t="s">
        <v>0</v>
      </c>
      <c r="C1" s="2" t="s">
        <v>1</v>
      </c>
      <c r="D1" s="3" t="s">
        <v>3</v>
      </c>
      <c r="E1" s="3" t="s">
        <v>5</v>
      </c>
      <c r="F1" s="2" t="s">
        <v>941</v>
      </c>
      <c r="G1" s="2" t="s">
        <v>1293</v>
      </c>
    </row>
    <row r="2" spans="1:19" s="123" customFormat="1" x14ac:dyDescent="0.2">
      <c r="A2" s="123">
        <v>19</v>
      </c>
      <c r="B2" s="123" t="s">
        <v>374</v>
      </c>
      <c r="C2" s="123" t="s">
        <v>375</v>
      </c>
      <c r="D2" s="123">
        <v>1747</v>
      </c>
      <c r="E2" s="123">
        <v>100</v>
      </c>
      <c r="F2" s="123" t="s">
        <v>942</v>
      </c>
      <c r="G2" s="123" t="s">
        <v>943</v>
      </c>
      <c r="J2" s="123" t="s">
        <v>959</v>
      </c>
      <c r="L2" s="123" t="s">
        <v>963</v>
      </c>
      <c r="M2" s="123" t="s">
        <v>964</v>
      </c>
    </row>
    <row r="3" spans="1:19" s="124" customFormat="1" x14ac:dyDescent="0.2">
      <c r="A3" s="124">
        <v>22</v>
      </c>
      <c r="B3" s="124" t="s">
        <v>380</v>
      </c>
      <c r="C3" s="124" t="s">
        <v>381</v>
      </c>
      <c r="D3" s="124">
        <v>1752</v>
      </c>
      <c r="E3" s="124">
        <v>28</v>
      </c>
      <c r="F3" s="124" t="s">
        <v>946</v>
      </c>
      <c r="G3" s="124" t="s">
        <v>943</v>
      </c>
      <c r="M3" s="124" t="s">
        <v>966</v>
      </c>
      <c r="N3" s="124" t="s">
        <v>967</v>
      </c>
    </row>
    <row r="4" spans="1:19" s="125" customFormat="1" x14ac:dyDescent="0.2">
      <c r="A4" s="125" t="s">
        <v>893</v>
      </c>
      <c r="B4" s="125" t="s">
        <v>1047</v>
      </c>
      <c r="C4" s="125" t="s">
        <v>894</v>
      </c>
      <c r="D4" s="125" t="s">
        <v>1048</v>
      </c>
      <c r="E4" s="125">
        <v>1854</v>
      </c>
      <c r="F4" s="125">
        <v>65</v>
      </c>
      <c r="G4" s="125" t="s">
        <v>1294</v>
      </c>
      <c r="H4" s="125" t="s">
        <v>942</v>
      </c>
      <c r="I4" s="125">
        <v>20</v>
      </c>
      <c r="K4" s="125" t="s">
        <v>1049</v>
      </c>
      <c r="M4" s="125" t="s">
        <v>1050</v>
      </c>
      <c r="O4" s="125" t="s">
        <v>1051</v>
      </c>
      <c r="S4" s="125" t="s">
        <v>1052</v>
      </c>
    </row>
    <row r="5" spans="1:19" s="125" customFormat="1" x14ac:dyDescent="0.2">
      <c r="A5" s="125" t="s">
        <v>896</v>
      </c>
      <c r="B5" s="125" t="s">
        <v>1047</v>
      </c>
      <c r="C5" s="125" t="s">
        <v>897</v>
      </c>
      <c r="D5" s="125" t="s">
        <v>1048</v>
      </c>
      <c r="E5" s="125">
        <v>1854</v>
      </c>
      <c r="F5" s="125">
        <v>35</v>
      </c>
      <c r="G5" s="125" t="s">
        <v>1294</v>
      </c>
      <c r="K5" s="125" t="s">
        <v>1049</v>
      </c>
      <c r="M5" s="125" t="s">
        <v>1050</v>
      </c>
      <c r="O5" s="125" t="s">
        <v>1051</v>
      </c>
      <c r="S5" s="125" t="s">
        <v>1052</v>
      </c>
    </row>
    <row r="6" spans="1:19" s="126" customFormat="1" x14ac:dyDescent="0.2">
      <c r="A6" s="126" t="s">
        <v>645</v>
      </c>
      <c r="B6" s="126" t="s">
        <v>199</v>
      </c>
      <c r="C6" s="126" t="s">
        <v>646</v>
      </c>
      <c r="D6" s="126" t="s">
        <v>201</v>
      </c>
      <c r="E6" s="126">
        <v>1668</v>
      </c>
      <c r="F6" s="126">
        <v>188</v>
      </c>
      <c r="G6" s="126">
        <v>3</v>
      </c>
      <c r="H6" s="126" t="s">
        <v>1295</v>
      </c>
      <c r="M6" s="126" t="s">
        <v>202</v>
      </c>
      <c r="N6" s="126" t="s">
        <v>203</v>
      </c>
      <c r="S6" s="126" t="s">
        <v>1056</v>
      </c>
    </row>
    <row r="7" spans="1:19" s="93" customFormat="1" ht="58.5" customHeight="1" x14ac:dyDescent="0.2">
      <c r="A7" s="93" t="s">
        <v>601</v>
      </c>
      <c r="B7" s="93" t="s">
        <v>1155</v>
      </c>
      <c r="C7" s="93" t="s">
        <v>602</v>
      </c>
      <c r="D7" s="93" t="s">
        <v>201</v>
      </c>
      <c r="E7" s="93">
        <v>1610</v>
      </c>
      <c r="F7" s="93">
        <v>245</v>
      </c>
      <c r="G7" s="93" t="s">
        <v>1296</v>
      </c>
      <c r="K7" s="127" t="s">
        <v>1297</v>
      </c>
      <c r="M7" s="93" t="s">
        <v>1065</v>
      </c>
      <c r="N7" s="93" t="s">
        <v>1157</v>
      </c>
      <c r="S7" s="93" t="s">
        <v>1056</v>
      </c>
    </row>
    <row r="8" spans="1:19" s="125" customFormat="1" ht="26.25" customHeight="1" x14ac:dyDescent="0.2">
      <c r="A8" s="125" t="s">
        <v>869</v>
      </c>
      <c r="B8" s="125" t="s">
        <v>1089</v>
      </c>
      <c r="C8" s="125" t="s">
        <v>873</v>
      </c>
      <c r="D8" s="125" t="s">
        <v>201</v>
      </c>
      <c r="E8" s="125">
        <v>1835</v>
      </c>
      <c r="F8" s="125">
        <v>259</v>
      </c>
      <c r="G8" s="125" t="s">
        <v>1298</v>
      </c>
      <c r="K8" s="128" t="s">
        <v>1299</v>
      </c>
      <c r="M8" s="125" t="s">
        <v>1065</v>
      </c>
      <c r="N8" s="125" t="s">
        <v>1091</v>
      </c>
      <c r="O8" s="125" t="s">
        <v>1092</v>
      </c>
      <c r="S8" s="125" t="s">
        <v>1056</v>
      </c>
    </row>
    <row r="9" spans="1:19" s="93" customFormat="1" x14ac:dyDescent="0.2">
      <c r="A9" s="93" t="s">
        <v>256</v>
      </c>
      <c r="B9" s="93" t="s">
        <v>257</v>
      </c>
      <c r="C9" s="93" t="s">
        <v>258</v>
      </c>
      <c r="D9" s="93" t="s">
        <v>150</v>
      </c>
      <c r="E9" s="93">
        <v>1752</v>
      </c>
      <c r="F9" s="93">
        <v>78</v>
      </c>
      <c r="G9" s="93">
        <v>1</v>
      </c>
      <c r="K9" s="129" t="s">
        <v>1300</v>
      </c>
      <c r="M9" s="93" t="s">
        <v>259</v>
      </c>
      <c r="N9" s="93" t="s">
        <v>260</v>
      </c>
      <c r="O9" s="93" t="s">
        <v>474</v>
      </c>
      <c r="S9" s="93" t="s">
        <v>1301</v>
      </c>
    </row>
    <row r="10" spans="1:19" s="93" customFormat="1" x14ac:dyDescent="0.2">
      <c r="B10" s="93" t="s">
        <v>1302</v>
      </c>
      <c r="C10" s="93" t="s">
        <v>1303</v>
      </c>
    </row>
    <row r="11" spans="1:19" x14ac:dyDescent="0.2">
      <c r="A11" s="31" t="s">
        <v>978</v>
      </c>
      <c r="F11" s="1" t="s">
        <v>980</v>
      </c>
    </row>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9"/>
  <sheetViews>
    <sheetView topLeftCell="A3" zoomScaleNormal="100" workbookViewId="0">
      <selection activeCell="A3" sqref="A3"/>
    </sheetView>
  </sheetViews>
  <sheetFormatPr baseColWidth="10" defaultColWidth="155.83203125" defaultRowHeight="15" x14ac:dyDescent="0.2"/>
  <cols>
    <col min="1" max="1" width="315" style="1" customWidth="1"/>
  </cols>
  <sheetData>
    <row r="1" spans="1:1" x14ac:dyDescent="0.2">
      <c r="A1" s="78" t="s">
        <v>1304</v>
      </c>
    </row>
    <row r="2" spans="1:1" ht="16" x14ac:dyDescent="0.2">
      <c r="A2" s="130" t="s">
        <v>1305</v>
      </c>
    </row>
    <row r="3" spans="1:1" ht="16" x14ac:dyDescent="0.2">
      <c r="A3" s="130" t="s">
        <v>1306</v>
      </c>
    </row>
    <row r="4" spans="1:1" x14ac:dyDescent="0.2">
      <c r="A4" s="1" t="s">
        <v>519</v>
      </c>
    </row>
    <row r="5" spans="1:1" x14ac:dyDescent="0.2">
      <c r="A5" s="1" t="s">
        <v>536</v>
      </c>
    </row>
    <row r="6" spans="1:1" x14ac:dyDescent="0.2">
      <c r="A6" s="1" t="s">
        <v>1075</v>
      </c>
    </row>
    <row r="7" spans="1:1" x14ac:dyDescent="0.2">
      <c r="A7" s="1" t="s">
        <v>593</v>
      </c>
    </row>
    <row r="8" spans="1:1" x14ac:dyDescent="0.2">
      <c r="A8" s="1" t="s">
        <v>1154</v>
      </c>
    </row>
    <row r="9" spans="1:1" x14ac:dyDescent="0.2">
      <c r="A9" s="1" t="s">
        <v>178</v>
      </c>
    </row>
    <row r="10" spans="1:1" x14ac:dyDescent="0.2">
      <c r="A10" s="1" t="s">
        <v>615</v>
      </c>
    </row>
    <row r="11" spans="1:1" x14ac:dyDescent="0.2">
      <c r="A11" s="1" t="s">
        <v>193</v>
      </c>
    </row>
    <row r="12" spans="1:1" x14ac:dyDescent="0.2">
      <c r="A12" s="1" t="s">
        <v>1166</v>
      </c>
    </row>
    <row r="13" spans="1:1" x14ac:dyDescent="0.2">
      <c r="A13" s="1" t="s">
        <v>660</v>
      </c>
    </row>
    <row r="14" spans="1:1" x14ac:dyDescent="0.2">
      <c r="A14" s="1" t="s">
        <v>1204</v>
      </c>
    </row>
    <row r="15" spans="1:1" x14ac:dyDescent="0.2">
      <c r="A15" s="1" t="s">
        <v>252</v>
      </c>
    </row>
    <row r="16" spans="1:1" x14ac:dyDescent="0.2">
      <c r="A16" s="1" t="s">
        <v>1307</v>
      </c>
    </row>
    <row r="17" spans="1:2" x14ac:dyDescent="0.2">
      <c r="A17" s="1" t="s">
        <v>716</v>
      </c>
    </row>
    <row r="18" spans="1:2" ht="15.75" customHeight="1" x14ac:dyDescent="0.2">
      <c r="A18" s="1" t="s">
        <v>724</v>
      </c>
    </row>
    <row r="19" spans="1:2" ht="15.75" customHeight="1" x14ac:dyDescent="0.2">
      <c r="A19" s="1" t="s">
        <v>1239</v>
      </c>
    </row>
    <row r="20" spans="1:2" ht="15.75" customHeight="1" x14ac:dyDescent="0.2">
      <c r="A20" s="1" t="s">
        <v>1279</v>
      </c>
    </row>
    <row r="21" spans="1:2" ht="15.75" customHeight="1" x14ac:dyDescent="0.2">
      <c r="A21" s="1" t="s">
        <v>820</v>
      </c>
    </row>
    <row r="22" spans="1:2" ht="15.75" customHeight="1" x14ac:dyDescent="0.2">
      <c r="A22" s="1" t="s">
        <v>822</v>
      </c>
    </row>
    <row r="23" spans="1:2" ht="15.75" customHeight="1" x14ac:dyDescent="0.2">
      <c r="A23" s="1" t="s">
        <v>317</v>
      </c>
    </row>
    <row r="24" spans="1:2" ht="15.75" customHeight="1" x14ac:dyDescent="0.2">
      <c r="A24" s="1" t="s">
        <v>1276</v>
      </c>
      <c r="B24" s="1" t="s">
        <v>1308</v>
      </c>
    </row>
    <row r="25" spans="1:2" ht="15.75" customHeight="1" x14ac:dyDescent="0.2">
      <c r="A25" s="1" t="s">
        <v>1309</v>
      </c>
    </row>
    <row r="26" spans="1:2" ht="15.75" customHeight="1" x14ac:dyDescent="0.2">
      <c r="A26" s="1" t="s">
        <v>903</v>
      </c>
      <c r="B26" s="1" t="s">
        <v>1308</v>
      </c>
    </row>
    <row r="27" spans="1:2" ht="15.75" customHeight="1" x14ac:dyDescent="0.2">
      <c r="A27" s="1" t="s">
        <v>1310</v>
      </c>
    </row>
    <row r="28" spans="1:2" ht="16.5" customHeight="1" x14ac:dyDescent="0.2">
      <c r="A28" s="1" t="s">
        <v>905</v>
      </c>
    </row>
    <row r="29" spans="1:2" ht="16.5" customHeight="1" x14ac:dyDescent="0.2">
      <c r="A29" s="1" t="s">
        <v>822</v>
      </c>
    </row>
    <row r="30" spans="1:2" ht="16.5" customHeight="1" x14ac:dyDescent="0.2">
      <c r="A30" s="1" t="s">
        <v>269</v>
      </c>
    </row>
    <row r="31" spans="1:2" ht="16.5" customHeight="1" x14ac:dyDescent="0.2">
      <c r="A31" s="1" t="s">
        <v>226</v>
      </c>
      <c r="B31" s="1" t="s">
        <v>1311</v>
      </c>
    </row>
    <row r="33" spans="1:3" ht="16" x14ac:dyDescent="0.2">
      <c r="A33" s="130" t="s">
        <v>1312</v>
      </c>
      <c r="B33" s="1" t="s">
        <v>1313</v>
      </c>
    </row>
    <row r="34" spans="1:3" x14ac:dyDescent="0.2">
      <c r="A34" s="1" t="s">
        <v>908</v>
      </c>
      <c r="B34" s="1" t="s">
        <v>507</v>
      </c>
    </row>
    <row r="35" spans="1:3" x14ac:dyDescent="0.2">
      <c r="A35" s="1" t="s">
        <v>911</v>
      </c>
      <c r="B35" s="1" t="s">
        <v>507</v>
      </c>
    </row>
    <row r="36" spans="1:3" x14ac:dyDescent="0.2">
      <c r="A36" s="1" t="s">
        <v>913</v>
      </c>
      <c r="B36" s="1" t="s">
        <v>507</v>
      </c>
    </row>
    <row r="37" spans="1:3" x14ac:dyDescent="0.2">
      <c r="A37" s="1" t="s">
        <v>1078</v>
      </c>
      <c r="B37" s="1" t="s">
        <v>1314</v>
      </c>
    </row>
    <row r="38" spans="1:3" x14ac:dyDescent="0.2">
      <c r="A38" s="1" t="s">
        <v>1080</v>
      </c>
      <c r="B38" s="1" t="s">
        <v>1315</v>
      </c>
    </row>
    <row r="39" spans="1:3" x14ac:dyDescent="0.2">
      <c r="A39" s="1" t="s">
        <v>1171</v>
      </c>
      <c r="B39" s="1" t="s">
        <v>507</v>
      </c>
      <c r="C39" s="1" t="s">
        <v>1316</v>
      </c>
    </row>
    <row r="40" spans="1:3" x14ac:dyDescent="0.2">
      <c r="A40" s="1" t="s">
        <v>1317</v>
      </c>
      <c r="B40" s="1" t="s">
        <v>948</v>
      </c>
      <c r="C40" s="1" t="s">
        <v>1318</v>
      </c>
    </row>
    <row r="41" spans="1:3" x14ac:dyDescent="0.2">
      <c r="A41" s="1" t="s">
        <v>1319</v>
      </c>
      <c r="B41" s="1" t="s">
        <v>507</v>
      </c>
      <c r="C41" s="1" t="s">
        <v>1320</v>
      </c>
    </row>
    <row r="46" spans="1:3" x14ac:dyDescent="0.2">
      <c r="A46" s="2" t="s">
        <v>1321</v>
      </c>
    </row>
    <row r="47" spans="1:3" x14ac:dyDescent="0.2">
      <c r="A47" s="1" t="s">
        <v>1322</v>
      </c>
      <c r="B47" s="1" t="s">
        <v>1321</v>
      </c>
    </row>
    <row r="48" spans="1:3" x14ac:dyDescent="0.2">
      <c r="A48" s="1" t="s">
        <v>1323</v>
      </c>
      <c r="B48" s="1" t="s">
        <v>952</v>
      </c>
    </row>
    <row r="49" spans="1:1" x14ac:dyDescent="0.2">
      <c r="A49" s="1" t="s">
        <v>818</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5"/>
  <sheetViews>
    <sheetView zoomScaleNormal="100" workbookViewId="0"/>
  </sheetViews>
  <sheetFormatPr baseColWidth="10" defaultColWidth="155.83203125" defaultRowHeight="15" x14ac:dyDescent="0.2"/>
  <cols>
    <col min="1" max="1" width="295.83203125" style="1" customWidth="1"/>
  </cols>
  <sheetData>
    <row r="1" spans="1:2" x14ac:dyDescent="0.2">
      <c r="A1" s="78" t="s">
        <v>1324</v>
      </c>
    </row>
    <row r="2" spans="1:2" ht="16" x14ac:dyDescent="0.2">
      <c r="A2" s="130" t="s">
        <v>1305</v>
      </c>
      <c r="B2" s="130" t="s">
        <v>1306</v>
      </c>
    </row>
    <row r="3" spans="1:2" x14ac:dyDescent="0.2">
      <c r="A3" s="1" t="s">
        <v>522</v>
      </c>
    </row>
    <row r="4" spans="1:2" x14ac:dyDescent="0.2">
      <c r="A4" s="1" t="s">
        <v>590</v>
      </c>
    </row>
    <row r="5" spans="1:2" x14ac:dyDescent="0.2">
      <c r="A5" s="1" t="s">
        <v>1325</v>
      </c>
    </row>
    <row r="6" spans="1:2" x14ac:dyDescent="0.2">
      <c r="A6" s="1" t="s">
        <v>635</v>
      </c>
    </row>
    <row r="7" spans="1:2" x14ac:dyDescent="0.2">
      <c r="A7" s="1" t="s">
        <v>657</v>
      </c>
    </row>
    <row r="8" spans="1:2" x14ac:dyDescent="0.2">
      <c r="A8" s="1" t="s">
        <v>1191</v>
      </c>
    </row>
    <row r="9" spans="1:2" x14ac:dyDescent="0.2">
      <c r="A9" s="1" t="s">
        <v>781</v>
      </c>
    </row>
    <row r="10" spans="1:2" x14ac:dyDescent="0.2">
      <c r="A10" s="1" t="s">
        <v>782</v>
      </c>
    </row>
    <row r="11" spans="1:2" x14ac:dyDescent="0.2">
      <c r="A11" s="1" t="s">
        <v>812</v>
      </c>
    </row>
    <row r="16" spans="1:2" ht="15.75" customHeight="1" x14ac:dyDescent="0.2"/>
    <row r="23" spans="4:4" x14ac:dyDescent="0.2">
      <c r="D23" s="1"/>
    </row>
    <row r="35" spans="1:2" ht="16" x14ac:dyDescent="0.2">
      <c r="A35" s="130" t="s">
        <v>1305</v>
      </c>
    </row>
    <row r="36" spans="1:2" ht="16" x14ac:dyDescent="0.2">
      <c r="A36" s="130" t="s">
        <v>1312</v>
      </c>
      <c r="B36" s="1" t="s">
        <v>1313</v>
      </c>
    </row>
    <row r="37" spans="1:2" x14ac:dyDescent="0.2">
      <c r="A37" s="1" t="s">
        <v>1326</v>
      </c>
      <c r="B37" s="1" t="s">
        <v>507</v>
      </c>
    </row>
    <row r="38" spans="1:2" x14ac:dyDescent="0.2">
      <c r="A38" s="1" t="s">
        <v>1327</v>
      </c>
      <c r="B38" s="1" t="s">
        <v>507</v>
      </c>
    </row>
    <row r="39" spans="1:2" x14ac:dyDescent="0.2">
      <c r="A39" s="1" t="s">
        <v>1328</v>
      </c>
      <c r="B39" s="1" t="s">
        <v>507</v>
      </c>
    </row>
    <row r="40" spans="1:2" x14ac:dyDescent="0.2">
      <c r="A40" s="1" t="s">
        <v>1329</v>
      </c>
      <c r="B40" s="1" t="s">
        <v>507</v>
      </c>
    </row>
    <row r="41" spans="1:2" x14ac:dyDescent="0.2">
      <c r="A41" s="131" t="s">
        <v>1322</v>
      </c>
      <c r="B41" s="1" t="s">
        <v>1330</v>
      </c>
    </row>
    <row r="42" spans="1:2" x14ac:dyDescent="0.2">
      <c r="A42" s="1" t="s">
        <v>588</v>
      </c>
      <c r="B42" s="1" t="s">
        <v>1330</v>
      </c>
    </row>
    <row r="43" spans="1:2" x14ac:dyDescent="0.2">
      <c r="A43" s="1" t="s">
        <v>898</v>
      </c>
      <c r="B43" s="1" t="s">
        <v>1330</v>
      </c>
    </row>
    <row r="44" spans="1:2" x14ac:dyDescent="0.2">
      <c r="A44" s="1" t="s">
        <v>1323</v>
      </c>
      <c r="B44" s="1" t="s">
        <v>1330</v>
      </c>
    </row>
    <row r="45" spans="1:2" x14ac:dyDescent="0.2">
      <c r="A45" s="1" t="s">
        <v>818</v>
      </c>
      <c r="B45" s="1" t="s">
        <v>1330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7980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Batch 1</vt:lpstr>
      <vt:lpstr>Batch 2</vt:lpstr>
      <vt:lpstr>Sheet2</vt:lpstr>
      <vt:lpstr>Alle kronieken</vt:lpstr>
      <vt:lpstr>Overzicht werkzaamheden batch 1</vt:lpstr>
      <vt:lpstr>Overzicht werkzaamheden batch 2</vt:lpstr>
      <vt:lpstr>Batch 3</vt:lpstr>
      <vt:lpstr>Batch 4</vt:lpstr>
      <vt:lpstr>Kronieken waar iets mee is</vt:lpstr>
      <vt:lpstr>TL Project 1</vt:lpstr>
      <vt:lpstr>TL Project 2</vt:lpstr>
      <vt:lpstr>'Batch 4'!_FilterDatabase</vt:lpstr>
      <vt:lpstr>'Batch 3'!Batch_3_najaar_2019</vt:lpstr>
      <vt:lpstr>'Batch 4'!Batch_4_Januari_2020</vt:lpstr>
      <vt:lpstr>'Batch 4'!Billet_batch_4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Kuijpers, H.M.E.P.</dc:creator>
  <dc:description/>
  <cp:lastModifiedBy>Kuijpers, H.M.E.P. (Erika)</cp:lastModifiedBy>
  <cp:revision>453</cp:revision>
  <dcterms:created xsi:type="dcterms:W3CDTF">2020-03-19T09:18:13Z</dcterms:created>
  <dcterms:modified xsi:type="dcterms:W3CDTF">2024-05-19T20:11:23Z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